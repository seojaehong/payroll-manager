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ceam\OneDrive\1.쿠우쿠우\노성창\부평\0.급여\"/>
    </mc:Choice>
  </mc:AlternateContent>
  <xr:revisionPtr revIDLastSave="0" documentId="13_ncr:1_{F001DCDE-DAB6-4C93-9679-C27A4F8E78B8}" xr6:coauthVersionLast="47" xr6:coauthVersionMax="47" xr10:uidLastSave="{00000000-0000-0000-0000-000000000000}"/>
  <bookViews>
    <workbookView xWindow="-21697" yWindow="-1530" windowWidth="21795" windowHeight="12975" firstSheet="1" activeTab="1" xr2:uid="{00000000-000D-0000-FFFF-FFFF00000000}"/>
  </bookViews>
  <sheets>
    <sheet name="세액표(1202)" sheetId="6" state="hidden" r:id="rId1"/>
    <sheet name="임금대장" sheetId="33" r:id="rId2"/>
    <sheet name="직원급여" sheetId="17" r:id="rId3"/>
    <sheet name="일용" sheetId="43" state="hidden" r:id="rId4"/>
    <sheet name="사업소득지급대장" sheetId="45" state="hidden" r:id="rId5"/>
    <sheet name="명세서" sheetId="8" r:id="rId6"/>
    <sheet name="임금대장(파트)" sheetId="40" state="hidden" r:id="rId7"/>
    <sheet name="명세서 (파트)" sheetId="42" state="hidden" r:id="rId8"/>
    <sheet name="정직원 (2)" sheetId="38" state="hidden" r:id="rId9"/>
    <sheet name="파트" sheetId="44" state="hidden" r:id="rId10"/>
  </sheets>
  <externalReferences>
    <externalReference r:id="rId11"/>
  </externalReferences>
  <definedNames>
    <definedName name="_xlnm._FilterDatabase" localSheetId="4" hidden="1">사업소득지급대장!$A$2:$E$27</definedName>
    <definedName name="_xlnm._FilterDatabase" localSheetId="1" hidden="1">임금대장!$AI$4:$AI$86</definedName>
    <definedName name="_xlnm._FilterDatabase" localSheetId="6" hidden="1">'임금대장(파트)'!$A$3:$AI$31</definedName>
    <definedName name="_xlnm._FilterDatabase" localSheetId="8" hidden="1">'정직원 (2)'!$B$3:$J$20</definedName>
    <definedName name="_xlnm._FilterDatabase" localSheetId="9" hidden="1">파트!$K$4:$K$20</definedName>
    <definedName name="AccessDatabase" hidden="1">"C:\My Documents\체당금.mdb"</definedName>
    <definedName name="_xlnm.Print_Area" localSheetId="5">명세서!$A$1:$J$1840</definedName>
    <definedName name="_xlnm.Print_Area" localSheetId="7">'명세서 (파트)'!$A$1:$J$1127</definedName>
    <definedName name="_xlnm.Print_Area" localSheetId="4">사업소득지급대장!$A$1:$I$27</definedName>
    <definedName name="_xlnm.Print_Area" localSheetId="1">임금대장!$A$1:$AI$84</definedName>
    <definedName name="_xlnm.Print_Area" localSheetId="6">'임금대장(파트)'!$A$1:$AH$30</definedName>
    <definedName name="_xlnm.Print_Titles" localSheetId="0">'세액표(1202)'!$1:$1</definedName>
    <definedName name="간호과근로계약서" localSheetId="4">#REF!</definedName>
    <definedName name="간호과근로계약서" localSheetId="3">#REF!</definedName>
    <definedName name="간호과근로계약서" localSheetId="1">#REF!</definedName>
    <definedName name="간호과근로계약서" localSheetId="6">#REF!</definedName>
    <definedName name="간호과근로계약서" localSheetId="2">#REF!</definedName>
    <definedName name="간호과근로계약서">#REF!</definedName>
    <definedName name="디비" localSheetId="5">#REF!</definedName>
    <definedName name="디비" localSheetId="7">#REF!</definedName>
    <definedName name="디비" localSheetId="4">#REF!</definedName>
    <definedName name="디비" localSheetId="0">#REF!</definedName>
    <definedName name="디비" localSheetId="3">#REF!</definedName>
    <definedName name="디비" localSheetId="1">#REF!</definedName>
    <definedName name="디비" localSheetId="6">#REF!</definedName>
    <definedName name="디비" localSheetId="2">#REF!</definedName>
    <definedName name="디비">#REF!</definedName>
    <definedName name="ㅁㄴ" localSheetId="4">#REF!</definedName>
    <definedName name="ㅁㄴ" localSheetId="3">#REF!</definedName>
    <definedName name="ㅁㄴ" localSheetId="1">#REF!</definedName>
    <definedName name="ㅁㄴ" localSheetId="6">#REF!</definedName>
    <definedName name="ㅁㄴ" localSheetId="2">#REF!</definedName>
    <definedName name="ㅁㄴ">#REF!</definedName>
    <definedName name="보험료공제" localSheetId="5">#REF!</definedName>
    <definedName name="보험료공제" localSheetId="7">#REF!</definedName>
    <definedName name="보험료공제" localSheetId="4">#REF!</definedName>
    <definedName name="보험료공제" localSheetId="0">#REF!</definedName>
    <definedName name="보험료공제" localSheetId="3">#REF!</definedName>
    <definedName name="보험료공제" localSheetId="1">#REF!</definedName>
    <definedName name="보험료공제" localSheetId="6">#REF!</definedName>
    <definedName name="보험료공제" localSheetId="2">#REF!</definedName>
    <definedName name="보험료공제">#REF!</definedName>
    <definedName name="보험료공제1" localSheetId="5">#REF!</definedName>
    <definedName name="보험료공제1" localSheetId="7">#REF!</definedName>
    <definedName name="보험료공제1" localSheetId="4">#REF!</definedName>
    <definedName name="보험료공제1" localSheetId="0">#REF!</definedName>
    <definedName name="보험료공제1" localSheetId="3">#REF!</definedName>
    <definedName name="보험료공제1" localSheetId="1">#REF!</definedName>
    <definedName name="보험료공제1" localSheetId="6">#REF!</definedName>
    <definedName name="보험료공제1" localSheetId="2">#REF!</definedName>
    <definedName name="보험료공제1">#REF!</definedName>
    <definedName name="ㅇㄴㅁ" localSheetId="4">#REF!</definedName>
    <definedName name="ㅇㄴㅁ" localSheetId="3">#REF!</definedName>
    <definedName name="ㅇㄴㅁ" localSheetId="1">#REF!</definedName>
    <definedName name="ㅇㄴㅁ" localSheetId="6">#REF!</definedName>
    <definedName name="ㅇㄴㅁ" localSheetId="2">#REF!</definedName>
    <definedName name="ㅇㄴㅁ">#REF!</definedName>
    <definedName name="직능2" localSheetId="5">#REF!</definedName>
    <definedName name="직능2" localSheetId="7">#REF!</definedName>
    <definedName name="직능2" localSheetId="4">#REF!</definedName>
    <definedName name="직능2" localSheetId="0">#REF!</definedName>
    <definedName name="직능2" localSheetId="3">#REF!</definedName>
    <definedName name="직능2" localSheetId="1">#REF!</definedName>
    <definedName name="직능2" localSheetId="6">#REF!</definedName>
    <definedName name="직능2" localSheetId="2">#REF!</definedName>
    <definedName name="직능2">#REF!</definedName>
    <definedName name="직능3" localSheetId="5">#REF!</definedName>
    <definedName name="직능3" localSheetId="7">#REF!</definedName>
    <definedName name="직능3" localSheetId="4">#REF!</definedName>
    <definedName name="직능3" localSheetId="0">#REF!</definedName>
    <definedName name="직능3" localSheetId="3">#REF!</definedName>
    <definedName name="직능3" localSheetId="1">#REF!</definedName>
    <definedName name="직능3" localSheetId="6">#REF!</definedName>
    <definedName name="직능3" localSheetId="2">#REF!</definedName>
    <definedName name="직능3">#REF!</definedName>
    <definedName name="직능4" localSheetId="5">#REF!</definedName>
    <definedName name="직능4" localSheetId="7">#REF!</definedName>
    <definedName name="직능4" localSheetId="4">#REF!</definedName>
    <definedName name="직능4" localSheetId="0">#REF!</definedName>
    <definedName name="직능4" localSheetId="3">#REF!</definedName>
    <definedName name="직능4" localSheetId="1">#REF!</definedName>
    <definedName name="직능4" localSheetId="6">#REF!</definedName>
    <definedName name="직능4" localSheetId="2">#REF!</definedName>
    <definedName name="직능4">#REF!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17" i="8" l="1"/>
  <c r="C917" i="8"/>
  <c r="H916" i="8"/>
  <c r="C916" i="8"/>
  <c r="H915" i="8"/>
  <c r="C915" i="8"/>
  <c r="H914" i="8"/>
  <c r="C914" i="8"/>
  <c r="H913" i="8"/>
  <c r="C913" i="8"/>
  <c r="C904" i="8"/>
  <c r="G902" i="8"/>
  <c r="J901" i="8"/>
  <c r="G901" i="8"/>
  <c r="I900" i="8"/>
  <c r="F900" i="8"/>
  <c r="D900" i="8"/>
  <c r="A900" i="8"/>
  <c r="A73" i="17"/>
  <c r="B73" i="17"/>
  <c r="A74" i="17"/>
  <c r="B74" i="17"/>
  <c r="A75" i="17"/>
  <c r="B75" i="17" s="1"/>
  <c r="A76" i="17"/>
  <c r="B76" i="17"/>
  <c r="AB37" i="33"/>
  <c r="AC37" i="33" s="1"/>
  <c r="AB38" i="33"/>
  <c r="AC38" i="33" s="1"/>
  <c r="AB39" i="33"/>
  <c r="AC39" i="33"/>
  <c r="AB40" i="33"/>
  <c r="AC40" i="33"/>
  <c r="AB41" i="33"/>
  <c r="AC41" i="33" s="1"/>
  <c r="AB42" i="33"/>
  <c r="AC42" i="33" s="1"/>
  <c r="X46" i="33"/>
  <c r="P46" i="33"/>
  <c r="N46" i="33"/>
  <c r="G46" i="33"/>
  <c r="D46" i="33"/>
  <c r="A46" i="33"/>
  <c r="W46" i="33" s="1"/>
  <c r="X79" i="33"/>
  <c r="N79" i="33"/>
  <c r="G79" i="33"/>
  <c r="D79" i="33"/>
  <c r="A79" i="33"/>
  <c r="W79" i="33" s="1"/>
  <c r="X78" i="33"/>
  <c r="N78" i="33"/>
  <c r="G78" i="33"/>
  <c r="D78" i="33"/>
  <c r="A78" i="33"/>
  <c r="W78" i="33" s="1"/>
  <c r="X77" i="33"/>
  <c r="N77" i="33"/>
  <c r="G77" i="33"/>
  <c r="D77" i="33"/>
  <c r="A77" i="33"/>
  <c r="W77" i="33" s="1"/>
  <c r="X76" i="33"/>
  <c r="N76" i="33"/>
  <c r="G76" i="33"/>
  <c r="D76" i="33"/>
  <c r="A76" i="33"/>
  <c r="W76" i="33" s="1"/>
  <c r="L5" i="38"/>
  <c r="M5" i="38"/>
  <c r="L6" i="38"/>
  <c r="F8" i="33" s="1"/>
  <c r="M6" i="38"/>
  <c r="L7" i="38"/>
  <c r="F9" i="33" s="1"/>
  <c r="M7" i="38"/>
  <c r="L8" i="38"/>
  <c r="F10" i="33" s="1"/>
  <c r="M8" i="38"/>
  <c r="L9" i="38"/>
  <c r="F11" i="33" s="1"/>
  <c r="M9" i="38"/>
  <c r="L10" i="38"/>
  <c r="F12" i="33" s="1"/>
  <c r="M10" i="38"/>
  <c r="L11" i="38"/>
  <c r="F14" i="33" s="1"/>
  <c r="M11" i="38"/>
  <c r="L12" i="38"/>
  <c r="F13" i="33" s="1"/>
  <c r="M12" i="38"/>
  <c r="L13" i="38"/>
  <c r="F15" i="33" s="1"/>
  <c r="M13" i="38"/>
  <c r="L14" i="38"/>
  <c r="F16" i="33" s="1"/>
  <c r="M14" i="38"/>
  <c r="L15" i="38"/>
  <c r="F17" i="33" s="1"/>
  <c r="M15" i="38"/>
  <c r="L16" i="38"/>
  <c r="F18" i="33" s="1"/>
  <c r="M16" i="38"/>
  <c r="L17" i="38"/>
  <c r="F19" i="33" s="1"/>
  <c r="M17" i="38"/>
  <c r="L18" i="38"/>
  <c r="F20" i="33" s="1"/>
  <c r="M18" i="38"/>
  <c r="L19" i="38"/>
  <c r="F30" i="33" s="1"/>
  <c r="M19" i="38"/>
  <c r="L20" i="38"/>
  <c r="F21" i="33" s="1"/>
  <c r="M20" i="38"/>
  <c r="L21" i="38"/>
  <c r="F22" i="33" s="1"/>
  <c r="M21" i="38"/>
  <c r="L22" i="38"/>
  <c r="F23" i="33" s="1"/>
  <c r="M22" i="38"/>
  <c r="L23" i="38"/>
  <c r="F24" i="33" s="1"/>
  <c r="M23" i="38"/>
  <c r="L24" i="38"/>
  <c r="F26" i="33" s="1"/>
  <c r="M24" i="38"/>
  <c r="L25" i="38"/>
  <c r="F28" i="33" s="1"/>
  <c r="M25" i="38"/>
  <c r="L26" i="38"/>
  <c r="F27" i="33" s="1"/>
  <c r="M26" i="38"/>
  <c r="L28" i="38"/>
  <c r="F32" i="33" s="1"/>
  <c r="M28" i="38"/>
  <c r="F29" i="33"/>
  <c r="M29" i="38"/>
  <c r="L30" i="38"/>
  <c r="F25" i="33" s="1"/>
  <c r="M30" i="38"/>
  <c r="L31" i="38"/>
  <c r="F33" i="33" s="1"/>
  <c r="M31" i="38"/>
  <c r="L32" i="38"/>
  <c r="F34" i="33" s="1"/>
  <c r="M32" i="38"/>
  <c r="L33" i="38"/>
  <c r="F35" i="33" s="1"/>
  <c r="M33" i="38"/>
  <c r="L34" i="38"/>
  <c r="F37" i="33" s="1"/>
  <c r="M34" i="38"/>
  <c r="L35" i="38"/>
  <c r="F40" i="33" s="1"/>
  <c r="M35" i="38"/>
  <c r="L36" i="38"/>
  <c r="F41" i="33" s="1"/>
  <c r="M36" i="38"/>
  <c r="L37" i="38"/>
  <c r="F36" i="33" s="1"/>
  <c r="M37" i="38"/>
  <c r="L38" i="38"/>
  <c r="F39" i="33" s="1"/>
  <c r="M38" i="38"/>
  <c r="L39" i="38"/>
  <c r="F38" i="33" s="1"/>
  <c r="M39" i="38"/>
  <c r="L40" i="38"/>
  <c r="M40" i="38"/>
  <c r="L41" i="38"/>
  <c r="M41" i="38"/>
  <c r="L42" i="38"/>
  <c r="M42" i="38"/>
  <c r="M4" i="38"/>
  <c r="L4" i="38"/>
  <c r="F7" i="33" s="1"/>
  <c r="F41" i="38"/>
  <c r="F42" i="38"/>
  <c r="F40" i="38"/>
  <c r="X44" i="33"/>
  <c r="L44" i="33"/>
  <c r="AE44" i="33" s="1"/>
  <c r="F44" i="33"/>
  <c r="E44" i="33"/>
  <c r="D44" i="33"/>
  <c r="C44" i="33"/>
  <c r="A44" i="33"/>
  <c r="W44" i="33" s="1"/>
  <c r="X43" i="33"/>
  <c r="L43" i="33"/>
  <c r="AE43" i="33" s="1"/>
  <c r="F43" i="33"/>
  <c r="E43" i="33"/>
  <c r="D43" i="33"/>
  <c r="C43" i="33"/>
  <c r="A43" i="33"/>
  <c r="W43" i="33" s="1"/>
  <c r="X42" i="33"/>
  <c r="L42" i="33"/>
  <c r="AE42" i="33" s="1"/>
  <c r="F42" i="33"/>
  <c r="E42" i="33"/>
  <c r="D42" i="33"/>
  <c r="C42" i="33"/>
  <c r="A42" i="33"/>
  <c r="W42" i="33" s="1"/>
  <c r="E5" i="38"/>
  <c r="G6" i="33" s="1"/>
  <c r="E6" i="38"/>
  <c r="G8" i="33" s="1"/>
  <c r="E7" i="38"/>
  <c r="G9" i="33" s="1"/>
  <c r="E8" i="38"/>
  <c r="G10" i="33" s="1"/>
  <c r="E9" i="38"/>
  <c r="G11" i="33" s="1"/>
  <c r="E10" i="38"/>
  <c r="G12" i="33" s="1"/>
  <c r="E11" i="38"/>
  <c r="G14" i="33" s="1"/>
  <c r="E12" i="38"/>
  <c r="E13" i="38"/>
  <c r="G15" i="33" s="1"/>
  <c r="E14" i="38"/>
  <c r="G16" i="33" s="1"/>
  <c r="E15" i="38"/>
  <c r="G17" i="33" s="1"/>
  <c r="E16" i="38"/>
  <c r="G18" i="33" s="1"/>
  <c r="E17" i="38"/>
  <c r="G19" i="33" s="1"/>
  <c r="E18" i="38"/>
  <c r="G20" i="33" s="1"/>
  <c r="E19" i="38"/>
  <c r="G30" i="33" s="1"/>
  <c r="E20" i="38"/>
  <c r="G21" i="33" s="1"/>
  <c r="E21" i="38"/>
  <c r="E22" i="38"/>
  <c r="G23" i="33" s="1"/>
  <c r="E23" i="38"/>
  <c r="G24" i="33" s="1"/>
  <c r="E24" i="38"/>
  <c r="G26" i="33" s="1"/>
  <c r="E25" i="38"/>
  <c r="G28" i="33" s="1"/>
  <c r="E26" i="38"/>
  <c r="G27" i="33" s="1"/>
  <c r="E28" i="38"/>
  <c r="G32" i="33" s="1"/>
  <c r="E29" i="38"/>
  <c r="G29" i="33" s="1"/>
  <c r="E30" i="38"/>
  <c r="G25" i="33" s="1"/>
  <c r="E31" i="38"/>
  <c r="G33" i="33" s="1"/>
  <c r="E32" i="38"/>
  <c r="G34" i="33" s="1"/>
  <c r="E33" i="38"/>
  <c r="G35" i="33" s="1"/>
  <c r="E34" i="38"/>
  <c r="G37" i="33" s="1"/>
  <c r="E35" i="38"/>
  <c r="G40" i="33" s="1"/>
  <c r="E36" i="38"/>
  <c r="G41" i="33" s="1"/>
  <c r="E37" i="38"/>
  <c r="G36" i="33" s="1"/>
  <c r="E38" i="38"/>
  <c r="G39" i="33" s="1"/>
  <c r="E39" i="38"/>
  <c r="G38" i="33" s="1"/>
  <c r="E40" i="38"/>
  <c r="G42" i="33" s="1"/>
  <c r="E41" i="38"/>
  <c r="G43" i="33" s="1"/>
  <c r="E42" i="38"/>
  <c r="G44" i="33" s="1"/>
  <c r="E4" i="38"/>
  <c r="G7" i="33" s="1"/>
  <c r="K37" i="44"/>
  <c r="K38" i="44"/>
  <c r="K39" i="44"/>
  <c r="K40" i="44"/>
  <c r="K41" i="44"/>
  <c r="K42" i="44"/>
  <c r="K43" i="44"/>
  <c r="L16" i="33"/>
  <c r="L17" i="33"/>
  <c r="L18" i="33"/>
  <c r="L21" i="33"/>
  <c r="L29" i="33"/>
  <c r="L41" i="33"/>
  <c r="L37" i="33"/>
  <c r="AE37" i="33" s="1"/>
  <c r="L32" i="33"/>
  <c r="AE32" i="33" s="1"/>
  <c r="AX6" i="33"/>
  <c r="X6" i="33"/>
  <c r="L6" i="33"/>
  <c r="AE6" i="33" s="1"/>
  <c r="F6" i="33"/>
  <c r="E6" i="33"/>
  <c r="D6" i="33"/>
  <c r="C6" i="33"/>
  <c r="A6" i="33"/>
  <c r="A41" i="17"/>
  <c r="X39" i="33"/>
  <c r="L39" i="33"/>
  <c r="AE39" i="33" s="1"/>
  <c r="E39" i="33"/>
  <c r="D39" i="33"/>
  <c r="C39" i="33"/>
  <c r="A39" i="33"/>
  <c r="W39" i="33" s="1"/>
  <c r="X38" i="33"/>
  <c r="L38" i="33"/>
  <c r="AE38" i="33" s="1"/>
  <c r="E38" i="33"/>
  <c r="D38" i="33"/>
  <c r="C38" i="33"/>
  <c r="A38" i="33"/>
  <c r="W38" i="33" s="1"/>
  <c r="A35" i="17"/>
  <c r="A36" i="17"/>
  <c r="A37" i="17"/>
  <c r="A38" i="17"/>
  <c r="A39" i="17"/>
  <c r="X36" i="33"/>
  <c r="L36" i="33"/>
  <c r="AE36" i="33" s="1"/>
  <c r="E36" i="33"/>
  <c r="D36" i="33"/>
  <c r="C36" i="33"/>
  <c r="A36" i="33"/>
  <c r="W36" i="33" s="1"/>
  <c r="N83" i="33"/>
  <c r="N82" i="33"/>
  <c r="N81" i="33"/>
  <c r="N80" i="33"/>
  <c r="N75" i="33"/>
  <c r="N74" i="33"/>
  <c r="N73" i="33"/>
  <c r="N72" i="33"/>
  <c r="N71" i="33"/>
  <c r="N70" i="33"/>
  <c r="N69" i="33"/>
  <c r="N68" i="33"/>
  <c r="N67" i="33"/>
  <c r="N66" i="33"/>
  <c r="N65" i="33"/>
  <c r="N64" i="33"/>
  <c r="N63" i="33"/>
  <c r="N62" i="33"/>
  <c r="N61" i="33"/>
  <c r="N60" i="33"/>
  <c r="N59" i="33"/>
  <c r="N58" i="33"/>
  <c r="N57" i="33"/>
  <c r="N56" i="33"/>
  <c r="N55" i="33"/>
  <c r="N54" i="33"/>
  <c r="N53" i="33"/>
  <c r="N52" i="33"/>
  <c r="N51" i="33"/>
  <c r="N50" i="33"/>
  <c r="N49" i="33"/>
  <c r="N48" i="33"/>
  <c r="N47" i="33"/>
  <c r="N45" i="33"/>
  <c r="M3" i="33"/>
  <c r="N3" i="33"/>
  <c r="O3" i="33" s="1"/>
  <c r="L19" i="33"/>
  <c r="L20" i="33"/>
  <c r="L22" i="33"/>
  <c r="AE22" i="33" s="1"/>
  <c r="L23" i="33"/>
  <c r="L24" i="33"/>
  <c r="L25" i="33"/>
  <c r="L26" i="33"/>
  <c r="AE26" i="33" s="1"/>
  <c r="L27" i="33"/>
  <c r="L28" i="33"/>
  <c r="AE28" i="33" s="1"/>
  <c r="L30" i="33"/>
  <c r="AE30" i="33" s="1"/>
  <c r="L31" i="33"/>
  <c r="L33" i="33"/>
  <c r="AE33" i="33" s="1"/>
  <c r="L34" i="33"/>
  <c r="AE34" i="33" s="1"/>
  <c r="L35" i="33"/>
  <c r="AE35" i="33" s="1"/>
  <c r="L40" i="33"/>
  <c r="AE40" i="33" s="1"/>
  <c r="L15" i="33"/>
  <c r="L14" i="33"/>
  <c r="AE14" i="33" s="1"/>
  <c r="L13" i="33"/>
  <c r="L12" i="33"/>
  <c r="AE12" i="33" s="1"/>
  <c r="L11" i="33"/>
  <c r="L10" i="33"/>
  <c r="L9" i="33"/>
  <c r="L8" i="33"/>
  <c r="L7" i="33"/>
  <c r="X41" i="33"/>
  <c r="E41" i="33"/>
  <c r="D41" i="33"/>
  <c r="C41" i="33"/>
  <c r="A41" i="33"/>
  <c r="W41" i="33" s="1"/>
  <c r="X40" i="33"/>
  <c r="E40" i="33"/>
  <c r="D40" i="33"/>
  <c r="C40" i="33"/>
  <c r="A40" i="33"/>
  <c r="W40" i="33" s="1"/>
  <c r="X37" i="33"/>
  <c r="E37" i="33"/>
  <c r="D37" i="33"/>
  <c r="C37" i="33"/>
  <c r="A37" i="33"/>
  <c r="W37" i="33" s="1"/>
  <c r="A72" i="17"/>
  <c r="A77" i="17"/>
  <c r="A78" i="17"/>
  <c r="X81" i="33"/>
  <c r="G81" i="33"/>
  <c r="D81" i="33"/>
  <c r="A81" i="33"/>
  <c r="W81" i="33" s="1"/>
  <c r="X80" i="33"/>
  <c r="G80" i="33"/>
  <c r="D80" i="33"/>
  <c r="A80" i="33"/>
  <c r="W80" i="33" s="1"/>
  <c r="X75" i="33"/>
  <c r="G75" i="33"/>
  <c r="D75" i="33"/>
  <c r="A75" i="33"/>
  <c r="W75" i="33" s="1"/>
  <c r="X74" i="33"/>
  <c r="G74" i="33"/>
  <c r="D74" i="33"/>
  <c r="A74" i="33"/>
  <c r="W74" i="33" s="1"/>
  <c r="X73" i="33"/>
  <c r="G73" i="33"/>
  <c r="D73" i="33"/>
  <c r="A73" i="33"/>
  <c r="W73" i="33" s="1"/>
  <c r="X35" i="33"/>
  <c r="E35" i="33"/>
  <c r="D35" i="33"/>
  <c r="C35" i="33"/>
  <c r="A35" i="33"/>
  <c r="W35" i="33" s="1"/>
  <c r="Q24" i="38"/>
  <c r="Q25" i="38"/>
  <c r="Q26" i="38"/>
  <c r="Q27" i="38"/>
  <c r="Q28" i="38"/>
  <c r="Q29" i="38"/>
  <c r="Q30" i="38"/>
  <c r="Q31" i="38"/>
  <c r="Q32" i="38"/>
  <c r="Q33" i="38"/>
  <c r="X34" i="33"/>
  <c r="E34" i="33"/>
  <c r="D34" i="33"/>
  <c r="C34" i="33"/>
  <c r="A34" i="33"/>
  <c r="W34" i="33" s="1"/>
  <c r="X33" i="33"/>
  <c r="E33" i="33"/>
  <c r="D33" i="33"/>
  <c r="C33" i="33"/>
  <c r="A33" i="33"/>
  <c r="W33" i="33" s="1"/>
  <c r="X30" i="33"/>
  <c r="D30" i="33"/>
  <c r="C30" i="33"/>
  <c r="A30" i="33"/>
  <c r="W30" i="33" s="1"/>
  <c r="A34" i="17"/>
  <c r="A40" i="17"/>
  <c r="X25" i="33"/>
  <c r="E25" i="33"/>
  <c r="D25" i="33"/>
  <c r="C25" i="33"/>
  <c r="A25" i="33"/>
  <c r="W25" i="33" s="1"/>
  <c r="X31" i="33"/>
  <c r="I31" i="33"/>
  <c r="E31" i="33"/>
  <c r="D31" i="33"/>
  <c r="C31" i="33"/>
  <c r="A31" i="33"/>
  <c r="W31" i="33" s="1"/>
  <c r="X29" i="33"/>
  <c r="E29" i="33"/>
  <c r="D29" i="33"/>
  <c r="C29" i="33"/>
  <c r="A29" i="33"/>
  <c r="W29" i="33" s="1"/>
  <c r="X32" i="33"/>
  <c r="E32" i="33"/>
  <c r="D32" i="33"/>
  <c r="C32" i="33"/>
  <c r="A32" i="33"/>
  <c r="W32" i="33" s="1"/>
  <c r="X83" i="33"/>
  <c r="G83" i="33"/>
  <c r="D83" i="33"/>
  <c r="A83" i="33"/>
  <c r="W83" i="33" s="1"/>
  <c r="X82" i="33"/>
  <c r="G82" i="33"/>
  <c r="D82" i="33"/>
  <c r="A82" i="33"/>
  <c r="W82" i="33" s="1"/>
  <c r="X72" i="33"/>
  <c r="G72" i="33"/>
  <c r="D72" i="33"/>
  <c r="A72" i="33"/>
  <c r="W72" i="33" s="1"/>
  <c r="X71" i="33"/>
  <c r="G71" i="33"/>
  <c r="D71" i="33"/>
  <c r="A71" i="33"/>
  <c r="W71" i="33" s="1"/>
  <c r="A66" i="17"/>
  <c r="A67" i="17"/>
  <c r="A68" i="17"/>
  <c r="A69" i="17"/>
  <c r="A70" i="17"/>
  <c r="A71" i="17"/>
  <c r="A79" i="17"/>
  <c r="A80" i="17"/>
  <c r="A29" i="17"/>
  <c r="A30" i="17"/>
  <c r="A31" i="17"/>
  <c r="A32" i="17"/>
  <c r="A33" i="17"/>
  <c r="K1590" i="8"/>
  <c r="K1613" i="8" s="1"/>
  <c r="K1636" i="8" s="1"/>
  <c r="K1659" i="8" s="1"/>
  <c r="K1682" i="8" s="1"/>
  <c r="K1705" i="8" s="1"/>
  <c r="K1728" i="8" s="1"/>
  <c r="K1751" i="8" s="1"/>
  <c r="K1774" i="8" s="1"/>
  <c r="K1797" i="8" s="1"/>
  <c r="K1820" i="8" s="1"/>
  <c r="K1567" i="8"/>
  <c r="K1544" i="8"/>
  <c r="K1521" i="8"/>
  <c r="K1498" i="8"/>
  <c r="K1475" i="8"/>
  <c r="K1452" i="8"/>
  <c r="X27" i="33"/>
  <c r="E27" i="33"/>
  <c r="D27" i="33"/>
  <c r="AJ27" i="33" s="1"/>
  <c r="C27" i="33"/>
  <c r="A27" i="33"/>
  <c r="W27" i="33" s="1"/>
  <c r="E28" i="33"/>
  <c r="E26" i="33"/>
  <c r="E24" i="33"/>
  <c r="E22" i="33"/>
  <c r="E21" i="33"/>
  <c r="E20" i="33"/>
  <c r="E19" i="33"/>
  <c r="E18" i="33"/>
  <c r="E17" i="33"/>
  <c r="E16" i="33"/>
  <c r="E15" i="33"/>
  <c r="E14" i="33"/>
  <c r="E13" i="33"/>
  <c r="E11" i="33"/>
  <c r="E10" i="33"/>
  <c r="E9" i="33"/>
  <c r="E8" i="33"/>
  <c r="E7" i="33"/>
  <c r="X28" i="33"/>
  <c r="D28" i="33"/>
  <c r="C28" i="33"/>
  <c r="A28" i="33"/>
  <c r="W28" i="33" s="1"/>
  <c r="X26" i="33"/>
  <c r="D26" i="33"/>
  <c r="AJ26" i="33" s="1"/>
  <c r="C26" i="33"/>
  <c r="A26" i="33"/>
  <c r="W26" i="33" s="1"/>
  <c r="C17" i="33"/>
  <c r="D17" i="33"/>
  <c r="AJ17" i="33" s="1"/>
  <c r="C18" i="33"/>
  <c r="D18" i="33"/>
  <c r="AJ18" i="33" s="1"/>
  <c r="C19" i="33"/>
  <c r="D19" i="33"/>
  <c r="C20" i="33"/>
  <c r="D20" i="33"/>
  <c r="G47" i="33"/>
  <c r="D47" i="33"/>
  <c r="D48" i="33"/>
  <c r="D70" i="33"/>
  <c r="D69" i="33"/>
  <c r="D68" i="33"/>
  <c r="D67" i="33"/>
  <c r="D66" i="33"/>
  <c r="D65" i="33"/>
  <c r="D64" i="33"/>
  <c r="D63" i="33"/>
  <c r="D62" i="33"/>
  <c r="D61" i="33"/>
  <c r="D60" i="33"/>
  <c r="D59" i="33"/>
  <c r="D58" i="33"/>
  <c r="D57" i="33"/>
  <c r="D56" i="33"/>
  <c r="D55" i="33"/>
  <c r="D54" i="33"/>
  <c r="D53" i="33"/>
  <c r="D52" i="33"/>
  <c r="D51" i="33"/>
  <c r="D50" i="33"/>
  <c r="D49" i="33"/>
  <c r="D45" i="33"/>
  <c r="X70" i="33"/>
  <c r="G70" i="33"/>
  <c r="A70" i="33"/>
  <c r="W70" i="33" s="1"/>
  <c r="X69" i="33"/>
  <c r="G69" i="33"/>
  <c r="A69" i="33"/>
  <c r="W69" i="33" s="1"/>
  <c r="X68" i="33"/>
  <c r="G68" i="33"/>
  <c r="A68" i="33"/>
  <c r="W68" i="33" s="1"/>
  <c r="X67" i="33"/>
  <c r="G67" i="33"/>
  <c r="A67" i="33"/>
  <c r="W67" i="33" s="1"/>
  <c r="X66" i="33"/>
  <c r="G66" i="33"/>
  <c r="A66" i="33"/>
  <c r="W66" i="33" s="1"/>
  <c r="X65" i="33"/>
  <c r="G65" i="33"/>
  <c r="A65" i="33"/>
  <c r="W65" i="33" s="1"/>
  <c r="X64" i="33"/>
  <c r="G64" i="33"/>
  <c r="A64" i="33"/>
  <c r="W64" i="33" s="1"/>
  <c r="X63" i="33"/>
  <c r="G63" i="33"/>
  <c r="A63" i="33"/>
  <c r="W63" i="33" s="1"/>
  <c r="X62" i="33"/>
  <c r="G62" i="33"/>
  <c r="A62" i="33"/>
  <c r="W62" i="33" s="1"/>
  <c r="X61" i="33"/>
  <c r="G61" i="33"/>
  <c r="A61" i="33"/>
  <c r="W61" i="33" s="1"/>
  <c r="X60" i="33"/>
  <c r="G60" i="33"/>
  <c r="A60" i="33"/>
  <c r="W60" i="33" s="1"/>
  <c r="X59" i="33"/>
  <c r="G59" i="33"/>
  <c r="A59" i="33"/>
  <c r="W59" i="33" s="1"/>
  <c r="X58" i="33"/>
  <c r="G58" i="33"/>
  <c r="A58" i="33"/>
  <c r="W58" i="33" s="1"/>
  <c r="X57" i="33"/>
  <c r="G57" i="33"/>
  <c r="A57" i="33"/>
  <c r="W57" i="33" s="1"/>
  <c r="X56" i="33"/>
  <c r="G56" i="33"/>
  <c r="A56" i="33"/>
  <c r="W56" i="33" s="1"/>
  <c r="X55" i="33"/>
  <c r="G55" i="33"/>
  <c r="A55" i="33"/>
  <c r="W55" i="33" s="1"/>
  <c r="X54" i="33"/>
  <c r="G54" i="33"/>
  <c r="A54" i="33"/>
  <c r="W54" i="33" s="1"/>
  <c r="X53" i="33"/>
  <c r="G53" i="33"/>
  <c r="A53" i="33"/>
  <c r="W53" i="33" s="1"/>
  <c r="X52" i="33"/>
  <c r="G52" i="33"/>
  <c r="A52" i="33"/>
  <c r="W52" i="33" s="1"/>
  <c r="X51" i="33"/>
  <c r="G51" i="33"/>
  <c r="A51" i="33"/>
  <c r="W51" i="33" s="1"/>
  <c r="X50" i="33"/>
  <c r="G50" i="33"/>
  <c r="A50" i="33"/>
  <c r="X49" i="33"/>
  <c r="G49" i="33"/>
  <c r="A49" i="33"/>
  <c r="W49" i="33" s="1"/>
  <c r="Q5" i="38"/>
  <c r="Q6" i="38"/>
  <c r="Q7" i="38"/>
  <c r="Q8" i="38"/>
  <c r="Q9" i="38"/>
  <c r="Q10" i="38"/>
  <c r="Q11" i="38"/>
  <c r="Q12" i="38"/>
  <c r="Q13" i="38"/>
  <c r="Q14" i="38"/>
  <c r="Q15" i="38"/>
  <c r="Q16" i="38"/>
  <c r="Q17" i="38"/>
  <c r="Q18" i="38"/>
  <c r="Q19" i="38"/>
  <c r="Q20" i="38"/>
  <c r="Q21" i="38"/>
  <c r="Q22" i="38"/>
  <c r="Q23" i="38"/>
  <c r="X24" i="33"/>
  <c r="D24" i="33"/>
  <c r="C24" i="33"/>
  <c r="A24" i="33"/>
  <c r="W24" i="33" s="1"/>
  <c r="X23" i="33"/>
  <c r="D23" i="33"/>
  <c r="AJ23" i="33" s="1"/>
  <c r="C23" i="33"/>
  <c r="A23" i="33"/>
  <c r="W23" i="33" s="1"/>
  <c r="K33" i="44"/>
  <c r="K34" i="44"/>
  <c r="K35" i="44"/>
  <c r="K36" i="44"/>
  <c r="AX13" i="33"/>
  <c r="AX14" i="33"/>
  <c r="AX15" i="33"/>
  <c r="AX16" i="33"/>
  <c r="AX17" i="33"/>
  <c r="X22" i="33"/>
  <c r="D22" i="33"/>
  <c r="C22" i="33"/>
  <c r="A22" i="33"/>
  <c r="W22" i="33" s="1"/>
  <c r="A57" i="17"/>
  <c r="A58" i="17"/>
  <c r="A59" i="17"/>
  <c r="A60" i="17"/>
  <c r="A61" i="17"/>
  <c r="A62" i="17"/>
  <c r="A63" i="17"/>
  <c r="A64" i="17"/>
  <c r="A65" i="17"/>
  <c r="K25" i="44"/>
  <c r="K26" i="44"/>
  <c r="K27" i="44"/>
  <c r="K28" i="44"/>
  <c r="K29" i="44"/>
  <c r="K30" i="44"/>
  <c r="K31" i="44"/>
  <c r="K32" i="44"/>
  <c r="X21" i="33"/>
  <c r="D21" i="33"/>
  <c r="C21" i="33"/>
  <c r="A21" i="33"/>
  <c r="W21" i="33" s="1"/>
  <c r="Q4" i="38"/>
  <c r="X20" i="33"/>
  <c r="A20" i="33"/>
  <c r="W20" i="33" s="1"/>
  <c r="X19" i="33"/>
  <c r="A19" i="33"/>
  <c r="W19" i="33" s="1"/>
  <c r="X18" i="33"/>
  <c r="A18" i="33"/>
  <c r="W18" i="33" s="1"/>
  <c r="X17" i="33"/>
  <c r="A17" i="33"/>
  <c r="W17" i="33" s="1"/>
  <c r="G45" i="33"/>
  <c r="G48" i="33"/>
  <c r="D16" i="33"/>
  <c r="D15" i="33"/>
  <c r="D14" i="33"/>
  <c r="D13" i="33"/>
  <c r="C16" i="33"/>
  <c r="C15" i="33"/>
  <c r="C14" i="33"/>
  <c r="C13" i="33"/>
  <c r="X16" i="33"/>
  <c r="A16" i="33"/>
  <c r="W16" i="33" s="1"/>
  <c r="X15" i="33"/>
  <c r="A15" i="33"/>
  <c r="W15" i="33" s="1"/>
  <c r="X45" i="33"/>
  <c r="X47" i="33"/>
  <c r="X48" i="33"/>
  <c r="A47" i="33"/>
  <c r="W47" i="33" s="1"/>
  <c r="A48" i="33"/>
  <c r="W48" i="33" s="1"/>
  <c r="A45" i="33"/>
  <c r="W45" i="33" s="1"/>
  <c r="G27" i="45"/>
  <c r="E26" i="45"/>
  <c r="A26" i="45"/>
  <c r="E25" i="45"/>
  <c r="A25" i="45"/>
  <c r="E24" i="45"/>
  <c r="F24" i="45"/>
  <c r="H24" i="45"/>
  <c r="I24" i="45"/>
  <c r="A24" i="45"/>
  <c r="E23" i="45"/>
  <c r="A23" i="45"/>
  <c r="E22" i="45"/>
  <c r="A22" i="45"/>
  <c r="E21" i="45"/>
  <c r="A21" i="45"/>
  <c r="E20" i="45"/>
  <c r="A20" i="45"/>
  <c r="E19" i="45"/>
  <c r="A19" i="45"/>
  <c r="E18" i="45"/>
  <c r="A18" i="45"/>
  <c r="E17" i="45"/>
  <c r="A17" i="45"/>
  <c r="E16" i="45"/>
  <c r="A16" i="45"/>
  <c r="E15" i="45"/>
  <c r="A15" i="45"/>
  <c r="E14" i="45"/>
  <c r="A14" i="45"/>
  <c r="E13" i="45"/>
  <c r="A13" i="45"/>
  <c r="E12" i="45"/>
  <c r="A12" i="45"/>
  <c r="E11" i="45"/>
  <c r="F11" i="45"/>
  <c r="H11" i="45"/>
  <c r="I11" i="45"/>
  <c r="A11" i="45"/>
  <c r="E10" i="45"/>
  <c r="A10" i="45"/>
  <c r="E9" i="45"/>
  <c r="A9" i="45"/>
  <c r="E8" i="45"/>
  <c r="F8" i="45"/>
  <c r="H8" i="45"/>
  <c r="I8" i="45"/>
  <c r="A8" i="45"/>
  <c r="E7" i="45"/>
  <c r="A7" i="45"/>
  <c r="D27" i="45"/>
  <c r="A6" i="45"/>
  <c r="E5" i="45"/>
  <c r="F5" i="45"/>
  <c r="A5" i="45"/>
  <c r="H5" i="45"/>
  <c r="F21" i="45"/>
  <c r="H21" i="45"/>
  <c r="I21" i="45"/>
  <c r="F18" i="45"/>
  <c r="H18" i="45"/>
  <c r="I18" i="45"/>
  <c r="F15" i="45"/>
  <c r="H15" i="45"/>
  <c r="I15" i="45"/>
  <c r="F12" i="45"/>
  <c r="H12" i="45"/>
  <c r="I12" i="45"/>
  <c r="E6" i="45"/>
  <c r="F9" i="45"/>
  <c r="H9" i="45"/>
  <c r="I9" i="45"/>
  <c r="F25" i="45"/>
  <c r="H25" i="45"/>
  <c r="I25" i="45"/>
  <c r="F22" i="45"/>
  <c r="H22" i="45"/>
  <c r="I22" i="45"/>
  <c r="F19" i="45"/>
  <c r="H19" i="45"/>
  <c r="I19" i="45"/>
  <c r="F16" i="45"/>
  <c r="H16" i="45"/>
  <c r="I16" i="45"/>
  <c r="F13" i="45"/>
  <c r="H13" i="45"/>
  <c r="I13" i="45"/>
  <c r="F10" i="45"/>
  <c r="H10" i="45"/>
  <c r="I10" i="45"/>
  <c r="F26" i="45"/>
  <c r="H26" i="45"/>
  <c r="I26" i="45"/>
  <c r="F7" i="45"/>
  <c r="H7" i="45"/>
  <c r="I7" i="45"/>
  <c r="F23" i="45"/>
  <c r="H23" i="45"/>
  <c r="I23" i="45"/>
  <c r="F20" i="45"/>
  <c r="H20" i="45"/>
  <c r="I20" i="45"/>
  <c r="F17" i="45"/>
  <c r="H17" i="45"/>
  <c r="I17" i="45"/>
  <c r="F14" i="45"/>
  <c r="H14" i="45"/>
  <c r="I14" i="45"/>
  <c r="E27" i="45"/>
  <c r="F6" i="45"/>
  <c r="F27" i="45"/>
  <c r="I5" i="45"/>
  <c r="H6" i="45"/>
  <c r="I6" i="45"/>
  <c r="H27" i="45"/>
  <c r="I27" i="45"/>
  <c r="X13" i="33"/>
  <c r="A13" i="33"/>
  <c r="W13" i="33" s="1"/>
  <c r="AX12" i="33"/>
  <c r="X12" i="33"/>
  <c r="D12" i="33"/>
  <c r="C12" i="33"/>
  <c r="A12" i="33"/>
  <c r="W12" i="33" s="1"/>
  <c r="X14" i="33"/>
  <c r="A14" i="33"/>
  <c r="AX11" i="33"/>
  <c r="X11" i="33"/>
  <c r="D11" i="33"/>
  <c r="C11" i="33"/>
  <c r="A11" i="33"/>
  <c r="W11" i="33" s="1"/>
  <c r="AX10" i="33"/>
  <c r="X10" i="33"/>
  <c r="D10" i="33"/>
  <c r="C10" i="33"/>
  <c r="A10" i="33"/>
  <c r="W10" i="33" s="1"/>
  <c r="AF14" i="8"/>
  <c r="AX8" i="33"/>
  <c r="AX9" i="33"/>
  <c r="I85" i="33"/>
  <c r="X9" i="33"/>
  <c r="D9" i="33"/>
  <c r="C9" i="33"/>
  <c r="A9" i="33"/>
  <c r="W9" i="33" s="1"/>
  <c r="K23" i="44"/>
  <c r="K21" i="44"/>
  <c r="K22" i="44"/>
  <c r="A26" i="17"/>
  <c r="A27" i="17"/>
  <c r="A28" i="17"/>
  <c r="X8" i="33"/>
  <c r="D8" i="33"/>
  <c r="C8" i="33"/>
  <c r="A8" i="33"/>
  <c r="W8" i="33" s="1"/>
  <c r="D7" i="33"/>
  <c r="C7" i="33"/>
  <c r="E28" i="43"/>
  <c r="E27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E6" i="43"/>
  <c r="E5" i="43"/>
  <c r="E4" i="43"/>
  <c r="E3" i="43"/>
  <c r="K6" i="44"/>
  <c r="K7" i="44"/>
  <c r="K8" i="44"/>
  <c r="K9" i="44"/>
  <c r="K10" i="44"/>
  <c r="K11" i="44"/>
  <c r="K24" i="44"/>
  <c r="K12" i="44"/>
  <c r="K13" i="44"/>
  <c r="K14" i="44"/>
  <c r="K15" i="44"/>
  <c r="K16" i="44"/>
  <c r="K17" i="44"/>
  <c r="K18" i="44"/>
  <c r="K19" i="44"/>
  <c r="K20" i="44"/>
  <c r="AX7" i="33"/>
  <c r="A7" i="33"/>
  <c r="X7" i="33"/>
  <c r="K5" i="44"/>
  <c r="A53" i="17"/>
  <c r="A54" i="17"/>
  <c r="A55" i="17"/>
  <c r="A56" i="17"/>
  <c r="A24" i="17"/>
  <c r="A25" i="17"/>
  <c r="A23" i="17"/>
  <c r="A22" i="17"/>
  <c r="A21" i="17"/>
  <c r="A19" i="17"/>
  <c r="A20" i="17"/>
  <c r="A15" i="17"/>
  <c r="A16" i="17"/>
  <c r="A17" i="17"/>
  <c r="A18" i="17"/>
  <c r="A43" i="17"/>
  <c r="A44" i="17"/>
  <c r="A45" i="17"/>
  <c r="A46" i="17"/>
  <c r="A47" i="17"/>
  <c r="A48" i="17"/>
  <c r="A49" i="17"/>
  <c r="A50" i="17"/>
  <c r="A51" i="17"/>
  <c r="A52" i="17"/>
  <c r="A13" i="17"/>
  <c r="A14" i="17"/>
  <c r="A24" i="43"/>
  <c r="A25" i="43"/>
  <c r="A26" i="43"/>
  <c r="A27" i="43"/>
  <c r="A28" i="43"/>
  <c r="G24" i="43"/>
  <c r="H24" i="43"/>
  <c r="I24" i="43"/>
  <c r="G25" i="43"/>
  <c r="H25" i="43"/>
  <c r="I25" i="43"/>
  <c r="G26" i="43"/>
  <c r="H26" i="43"/>
  <c r="I26" i="43"/>
  <c r="G27" i="43"/>
  <c r="H27" i="43"/>
  <c r="I27" i="43"/>
  <c r="G28" i="43"/>
  <c r="H28" i="43"/>
  <c r="I28" i="43"/>
  <c r="A23" i="43"/>
  <c r="F53" i="43"/>
  <c r="D53" i="43"/>
  <c r="I23" i="43"/>
  <c r="H23" i="43"/>
  <c r="G23" i="43"/>
  <c r="I22" i="43"/>
  <c r="H22" i="43"/>
  <c r="G22" i="43"/>
  <c r="A22" i="43"/>
  <c r="I21" i="43"/>
  <c r="H21" i="43"/>
  <c r="G21" i="43"/>
  <c r="A21" i="43"/>
  <c r="I20" i="43"/>
  <c r="H20" i="43"/>
  <c r="G20" i="43"/>
  <c r="A20" i="43"/>
  <c r="I19" i="43"/>
  <c r="H19" i="43"/>
  <c r="G19" i="43"/>
  <c r="A19" i="43"/>
  <c r="I18" i="43"/>
  <c r="H18" i="43"/>
  <c r="G18" i="43"/>
  <c r="A18" i="43"/>
  <c r="I17" i="43"/>
  <c r="H17" i="43"/>
  <c r="G17" i="43"/>
  <c r="A17" i="43"/>
  <c r="I16" i="43"/>
  <c r="H16" i="43"/>
  <c r="G16" i="43"/>
  <c r="A16" i="43"/>
  <c r="I15" i="43"/>
  <c r="H15" i="43"/>
  <c r="G15" i="43"/>
  <c r="A15" i="43"/>
  <c r="I14" i="43"/>
  <c r="H14" i="43"/>
  <c r="G14" i="43"/>
  <c r="A14" i="43"/>
  <c r="I13" i="43"/>
  <c r="H13" i="43"/>
  <c r="G13" i="43"/>
  <c r="A13" i="43"/>
  <c r="I12" i="43"/>
  <c r="H12" i="43"/>
  <c r="G12" i="43"/>
  <c r="A12" i="43"/>
  <c r="I11" i="43"/>
  <c r="H11" i="43"/>
  <c r="G11" i="43"/>
  <c r="A11" i="43"/>
  <c r="I10" i="43"/>
  <c r="H10" i="43"/>
  <c r="G10" i="43"/>
  <c r="A10" i="43"/>
  <c r="I9" i="43"/>
  <c r="H9" i="43"/>
  <c r="G9" i="43"/>
  <c r="A9" i="43"/>
  <c r="I8" i="43"/>
  <c r="H8" i="43"/>
  <c r="G8" i="43"/>
  <c r="A8" i="43"/>
  <c r="I7" i="43"/>
  <c r="H7" i="43"/>
  <c r="G7" i="43"/>
  <c r="A7" i="43"/>
  <c r="I6" i="43"/>
  <c r="H6" i="43"/>
  <c r="G6" i="43"/>
  <c r="A6" i="43"/>
  <c r="I5" i="43"/>
  <c r="H5" i="43"/>
  <c r="G5" i="43"/>
  <c r="A5" i="43"/>
  <c r="I4" i="43"/>
  <c r="H4" i="43"/>
  <c r="G4" i="43"/>
  <c r="A4" i="43"/>
  <c r="I3" i="43"/>
  <c r="H3" i="43"/>
  <c r="G3" i="43"/>
  <c r="A3" i="43"/>
  <c r="F348" i="42"/>
  <c r="F325" i="42"/>
  <c r="F302" i="42"/>
  <c r="F279" i="42"/>
  <c r="F256" i="42"/>
  <c r="F233" i="42"/>
  <c r="F210" i="42"/>
  <c r="F187" i="42"/>
  <c r="F164" i="42"/>
  <c r="F141" i="42"/>
  <c r="F118" i="42"/>
  <c r="F95" i="42"/>
  <c r="F72" i="42"/>
  <c r="F49" i="42"/>
  <c r="F26" i="42"/>
  <c r="F3" i="42"/>
  <c r="T7" i="40"/>
  <c r="T8" i="40"/>
  <c r="T9" i="40"/>
  <c r="T10" i="40"/>
  <c r="T11" i="40"/>
  <c r="T12" i="40"/>
  <c r="T13" i="40"/>
  <c r="T14" i="40"/>
  <c r="AD14" i="40"/>
  <c r="T15" i="40"/>
  <c r="T16" i="40"/>
  <c r="T17" i="40"/>
  <c r="T18" i="40"/>
  <c r="T19" i="40"/>
  <c r="T20" i="40"/>
  <c r="T6" i="40"/>
  <c r="A1109" i="42"/>
  <c r="D1108" i="42"/>
  <c r="F1107" i="42"/>
  <c r="A1086" i="42"/>
  <c r="D1085" i="42"/>
  <c r="F1084" i="42"/>
  <c r="A1063" i="42"/>
  <c r="D1062" i="42"/>
  <c r="F1061" i="42"/>
  <c r="A1040" i="42"/>
  <c r="D1039" i="42"/>
  <c r="F1038" i="42"/>
  <c r="A1017" i="42"/>
  <c r="D1016" i="42"/>
  <c r="F1015" i="42"/>
  <c r="A994" i="42"/>
  <c r="D993" i="42"/>
  <c r="F992" i="42"/>
  <c r="A971" i="42"/>
  <c r="D970" i="42"/>
  <c r="F969" i="42"/>
  <c r="X20" i="40"/>
  <c r="O20" i="40"/>
  <c r="A20" i="40"/>
  <c r="W20" i="40"/>
  <c r="X19" i="40"/>
  <c r="O19" i="40"/>
  <c r="A19" i="40"/>
  <c r="W19" i="40"/>
  <c r="X18" i="40"/>
  <c r="O18" i="40"/>
  <c r="A18" i="40"/>
  <c r="W18" i="40"/>
  <c r="X17" i="40"/>
  <c r="O17" i="40"/>
  <c r="A17" i="40"/>
  <c r="W17" i="40"/>
  <c r="X16" i="40"/>
  <c r="O16" i="40"/>
  <c r="A16" i="40"/>
  <c r="W16" i="40"/>
  <c r="X15" i="40"/>
  <c r="O15" i="40"/>
  <c r="A15" i="40"/>
  <c r="W15" i="40"/>
  <c r="X14" i="40"/>
  <c r="O14" i="40"/>
  <c r="A14" i="40"/>
  <c r="W14" i="40"/>
  <c r="X13" i="40"/>
  <c r="O13" i="40"/>
  <c r="A13" i="40"/>
  <c r="W13" i="40"/>
  <c r="X12" i="40"/>
  <c r="O12" i="40"/>
  <c r="A12" i="40"/>
  <c r="W12" i="40"/>
  <c r="X11" i="40"/>
  <c r="O11" i="40"/>
  <c r="A11" i="40"/>
  <c r="W11" i="40"/>
  <c r="X10" i="40"/>
  <c r="O10" i="40"/>
  <c r="A10" i="40"/>
  <c r="W10" i="40"/>
  <c r="X9" i="40"/>
  <c r="O9" i="40"/>
  <c r="A9" i="40"/>
  <c r="W9" i="40"/>
  <c r="X8" i="40"/>
  <c r="O8" i="40"/>
  <c r="A8" i="40"/>
  <c r="W8" i="40"/>
  <c r="X7" i="40"/>
  <c r="O7" i="40"/>
  <c r="A7" i="40"/>
  <c r="W7" i="40"/>
  <c r="X6" i="40"/>
  <c r="O6" i="40"/>
  <c r="G4" i="42"/>
  <c r="A6" i="40"/>
  <c r="G50" i="42"/>
  <c r="G73" i="42"/>
  <c r="G96" i="42"/>
  <c r="C179" i="42"/>
  <c r="C202" i="42"/>
  <c r="C225" i="42"/>
  <c r="W6" i="40"/>
  <c r="C365" i="42"/>
  <c r="H364" i="42"/>
  <c r="C364" i="42"/>
  <c r="C362" i="42"/>
  <c r="C356" i="42"/>
  <c r="C352" i="42"/>
  <c r="J360" i="42"/>
  <c r="G349" i="42"/>
  <c r="D348" i="42"/>
  <c r="H338" i="42"/>
  <c r="C331" i="42"/>
  <c r="C329" i="42"/>
  <c r="C330" i="42"/>
  <c r="C332" i="42"/>
  <c r="C333" i="42"/>
  <c r="C334" i="42"/>
  <c r="J337" i="42"/>
  <c r="A327" i="42"/>
  <c r="H316" i="42"/>
  <c r="C309" i="42"/>
  <c r="G304" i="42"/>
  <c r="I302" i="42"/>
  <c r="H294" i="42"/>
  <c r="C287" i="42"/>
  <c r="C283" i="42"/>
  <c r="C284" i="42"/>
  <c r="C285" i="42"/>
  <c r="C286" i="42"/>
  <c r="C288" i="42"/>
  <c r="J291" i="42"/>
  <c r="C292" i="42"/>
  <c r="H292" i="42"/>
  <c r="C293" i="42"/>
  <c r="H293" i="42"/>
  <c r="C294" i="42"/>
  <c r="C295" i="42"/>
  <c r="H295" i="42"/>
  <c r="C296" i="42"/>
  <c r="J296" i="42"/>
  <c r="J297" i="42"/>
  <c r="D280" i="42"/>
  <c r="A279" i="42"/>
  <c r="C265" i="42"/>
  <c r="C261" i="42"/>
  <c r="J257" i="42"/>
  <c r="D256" i="42"/>
  <c r="H248" i="42"/>
  <c r="C242" i="42"/>
  <c r="C238" i="42"/>
  <c r="J234" i="42"/>
  <c r="D233" i="42"/>
  <c r="H223" i="42"/>
  <c r="C216" i="42"/>
  <c r="A212" i="42"/>
  <c r="H201" i="42"/>
  <c r="C194" i="42"/>
  <c r="C191" i="42"/>
  <c r="C192" i="42"/>
  <c r="C193" i="42"/>
  <c r="C195" i="42"/>
  <c r="C196" i="42"/>
  <c r="J199" i="42"/>
  <c r="C200" i="42"/>
  <c r="H200" i="42"/>
  <c r="C201" i="42"/>
  <c r="H202" i="42"/>
  <c r="C203" i="42"/>
  <c r="H203" i="42"/>
  <c r="C204" i="42"/>
  <c r="J204" i="42"/>
  <c r="J205" i="42"/>
  <c r="G189" i="42"/>
  <c r="H363" i="42"/>
  <c r="H361" i="42"/>
  <c r="C355" i="42"/>
  <c r="G350" i="42"/>
  <c r="D349" i="42"/>
  <c r="A348" i="42"/>
  <c r="J326" i="42"/>
  <c r="D325" i="42"/>
  <c r="H315" i="42"/>
  <c r="C308" i="42"/>
  <c r="A304" i="42"/>
  <c r="G281" i="42"/>
  <c r="I279" i="42"/>
  <c r="H271" i="42"/>
  <c r="C264" i="42"/>
  <c r="C260" i="42"/>
  <c r="D257" i="42"/>
  <c r="A256" i="42"/>
  <c r="C248" i="42"/>
  <c r="C241" i="42"/>
  <c r="C237" i="42"/>
  <c r="D234" i="42"/>
  <c r="A233" i="42"/>
  <c r="C219" i="42"/>
  <c r="C215" i="42"/>
  <c r="C214" i="42"/>
  <c r="C217" i="42"/>
  <c r="C218" i="42"/>
  <c r="J222" i="42"/>
  <c r="J211" i="42"/>
  <c r="D210" i="42"/>
  <c r="A189" i="42"/>
  <c r="H178" i="42"/>
  <c r="C171" i="42"/>
  <c r="G166" i="42"/>
  <c r="I164" i="42"/>
  <c r="H156" i="42"/>
  <c r="C149" i="42"/>
  <c r="C145" i="42"/>
  <c r="D142" i="42"/>
  <c r="A141" i="42"/>
  <c r="C127" i="42"/>
  <c r="C123" i="42"/>
  <c r="J119" i="42"/>
  <c r="D118" i="42"/>
  <c r="H110" i="42"/>
  <c r="C104" i="42"/>
  <c r="C100" i="42"/>
  <c r="J96" i="42"/>
  <c r="D95" i="42"/>
  <c r="H85" i="42"/>
  <c r="C78" i="42"/>
  <c r="A74" i="42"/>
  <c r="H63" i="42"/>
  <c r="C56" i="42"/>
  <c r="G51" i="42"/>
  <c r="I49" i="42"/>
  <c r="C43" i="42"/>
  <c r="H40" i="42"/>
  <c r="C33" i="42"/>
  <c r="G28" i="42"/>
  <c r="I26" i="42"/>
  <c r="C20" i="42"/>
  <c r="H17" i="42"/>
  <c r="C10" i="42"/>
  <c r="G5" i="42"/>
  <c r="I3" i="42"/>
  <c r="C363" i="42"/>
  <c r="C361" i="42"/>
  <c r="J365" i="42"/>
  <c r="C354" i="42"/>
  <c r="A350" i="42"/>
  <c r="I348" i="42"/>
  <c r="H340" i="42"/>
  <c r="D326" i="42"/>
  <c r="A325" i="42"/>
  <c r="C311" i="42"/>
  <c r="C307" i="42"/>
  <c r="J303" i="42"/>
  <c r="D302" i="42"/>
  <c r="C357" i="42"/>
  <c r="H339" i="42"/>
  <c r="D303" i="42"/>
  <c r="D279" i="42"/>
  <c r="C262" i="42"/>
  <c r="H246" i="42"/>
  <c r="A235" i="42"/>
  <c r="H224" i="42"/>
  <c r="G212" i="42"/>
  <c r="A210" i="42"/>
  <c r="I187" i="42"/>
  <c r="H179" i="42"/>
  <c r="C170" i="42"/>
  <c r="J165" i="42"/>
  <c r="A164" i="42"/>
  <c r="C148" i="42"/>
  <c r="A143" i="42"/>
  <c r="D141" i="42"/>
  <c r="C126" i="42"/>
  <c r="G120" i="42"/>
  <c r="C110" i="42"/>
  <c r="C102" i="42"/>
  <c r="A97" i="42"/>
  <c r="A95" i="42"/>
  <c r="C80" i="42"/>
  <c r="G74" i="42"/>
  <c r="H62" i="42"/>
  <c r="C54" i="42"/>
  <c r="D50" i="42"/>
  <c r="C42" i="42"/>
  <c r="C35" i="42"/>
  <c r="C30" i="42"/>
  <c r="H18" i="42"/>
  <c r="C11" i="42"/>
  <c r="A5" i="42"/>
  <c r="D3" i="42"/>
  <c r="A3" i="42"/>
  <c r="I325" i="42"/>
  <c r="H247" i="42"/>
  <c r="A187" i="42"/>
  <c r="D164" i="42"/>
  <c r="H131" i="42"/>
  <c r="C111" i="42"/>
  <c r="C81" i="42"/>
  <c r="H64" i="42"/>
  <c r="A49" i="42"/>
  <c r="D27" i="42"/>
  <c r="C7" i="42"/>
  <c r="C353" i="42"/>
  <c r="H317" i="42"/>
  <c r="A281" i="42"/>
  <c r="H270" i="42"/>
  <c r="G258" i="42"/>
  <c r="C250" i="42"/>
  <c r="C240" i="42"/>
  <c r="I233" i="42"/>
  <c r="D211" i="42"/>
  <c r="H177" i="42"/>
  <c r="C169" i="42"/>
  <c r="D165" i="42"/>
  <c r="H155" i="42"/>
  <c r="C147" i="42"/>
  <c r="J142" i="42"/>
  <c r="H133" i="42"/>
  <c r="C125" i="42"/>
  <c r="A120" i="42"/>
  <c r="A118" i="42"/>
  <c r="H109" i="42"/>
  <c r="C101" i="42"/>
  <c r="D96" i="42"/>
  <c r="H87" i="42"/>
  <c r="C79" i="42"/>
  <c r="C76" i="42"/>
  <c r="C77" i="42"/>
  <c r="J84" i="42"/>
  <c r="J73" i="42"/>
  <c r="D72" i="42"/>
  <c r="C58" i="42"/>
  <c r="C53" i="42"/>
  <c r="H41" i="42"/>
  <c r="C34" i="42"/>
  <c r="A28" i="42"/>
  <c r="D26" i="42"/>
  <c r="C18" i="42"/>
  <c r="C9" i="42"/>
  <c r="C8" i="42"/>
  <c r="C12" i="42"/>
  <c r="J15" i="42"/>
  <c r="C16" i="42"/>
  <c r="H16" i="42"/>
  <c r="C17" i="42"/>
  <c r="C19" i="42"/>
  <c r="H19" i="42"/>
  <c r="J20" i="42"/>
  <c r="J21" i="42"/>
  <c r="J4" i="42"/>
  <c r="C306" i="42"/>
  <c r="C263" i="42"/>
  <c r="G235" i="42"/>
  <c r="C172" i="42"/>
  <c r="C150" i="42"/>
  <c r="C122" i="42"/>
  <c r="C124" i="42"/>
  <c r="J130" i="42"/>
  <c r="C103" i="42"/>
  <c r="I72" i="42"/>
  <c r="J50" i="42"/>
  <c r="C31" i="42"/>
  <c r="J349" i="42"/>
  <c r="G327" i="42"/>
  <c r="C310" i="42"/>
  <c r="J314" i="42"/>
  <c r="C315" i="42"/>
  <c r="C316" i="42"/>
  <c r="C317" i="42"/>
  <c r="C318" i="42"/>
  <c r="H318" i="42"/>
  <c r="C319" i="42"/>
  <c r="J319" i="42"/>
  <c r="J320" i="42"/>
  <c r="A302" i="42"/>
  <c r="J280" i="42"/>
  <c r="H269" i="42"/>
  <c r="A258" i="42"/>
  <c r="C249" i="42"/>
  <c r="C239" i="42"/>
  <c r="J245" i="42"/>
  <c r="I210" i="42"/>
  <c r="J188" i="42"/>
  <c r="D187" i="42"/>
  <c r="C173" i="42"/>
  <c r="C168" i="42"/>
  <c r="H154" i="42"/>
  <c r="C146" i="42"/>
  <c r="I141" i="42"/>
  <c r="H132" i="42"/>
  <c r="D119" i="42"/>
  <c r="C112" i="42"/>
  <c r="H108" i="42"/>
  <c r="C99" i="42"/>
  <c r="I95" i="42"/>
  <c r="H86" i="42"/>
  <c r="D73" i="42"/>
  <c r="A72" i="42"/>
  <c r="C57" i="42"/>
  <c r="A51" i="42"/>
  <c r="D49" i="42"/>
  <c r="C41" i="42"/>
  <c r="C32" i="42"/>
  <c r="J38" i="42"/>
  <c r="J27" i="42"/>
  <c r="A26" i="42"/>
  <c r="D4" i="42"/>
  <c r="H362" i="42"/>
  <c r="I256" i="42"/>
  <c r="H225" i="42"/>
  <c r="D188" i="42"/>
  <c r="A166" i="42"/>
  <c r="G143" i="42"/>
  <c r="I118" i="42"/>
  <c r="G97" i="42"/>
  <c r="C55" i="42"/>
  <c r="J61" i="42"/>
  <c r="C62" i="42"/>
  <c r="C63" i="42"/>
  <c r="C64" i="42"/>
  <c r="C65" i="42"/>
  <c r="H65" i="42"/>
  <c r="C66" i="42"/>
  <c r="J66" i="42"/>
  <c r="J67" i="42"/>
  <c r="H39" i="42"/>
  <c r="C156" i="42"/>
  <c r="G27" i="42"/>
  <c r="C133" i="42"/>
  <c r="G257" i="42"/>
  <c r="G280" i="42"/>
  <c r="G303" i="42"/>
  <c r="G326" i="42"/>
  <c r="C87" i="42"/>
  <c r="G165" i="42"/>
  <c r="G188" i="42"/>
  <c r="G211" i="42"/>
  <c r="G234" i="42"/>
  <c r="G119" i="42"/>
  <c r="G142" i="42"/>
  <c r="C271" i="42"/>
  <c r="C340" i="42"/>
  <c r="J176" i="42"/>
  <c r="J153" i="42"/>
  <c r="J107" i="42"/>
  <c r="J268" i="42"/>
  <c r="Y18" i="40"/>
  <c r="AD19" i="40"/>
  <c r="Y8" i="40"/>
  <c r="AD8" i="40"/>
  <c r="H341" i="42"/>
  <c r="Y20" i="40"/>
  <c r="C338" i="42"/>
  <c r="Y6" i="40"/>
  <c r="AD13" i="40"/>
  <c r="H180" i="42"/>
  <c r="Y13" i="40"/>
  <c r="C177" i="42"/>
  <c r="C178" i="42"/>
  <c r="C180" i="42"/>
  <c r="C181" i="42"/>
  <c r="J181" i="42"/>
  <c r="H249" i="42"/>
  <c r="Y16" i="40"/>
  <c r="C246" i="42"/>
  <c r="H111" i="42"/>
  <c r="Y10" i="40"/>
  <c r="C108" i="42"/>
  <c r="H88" i="42"/>
  <c r="Y9" i="40"/>
  <c r="C85" i="42"/>
  <c r="AD15" i="40"/>
  <c r="H226" i="42"/>
  <c r="Y15" i="40"/>
  <c r="C223" i="42"/>
  <c r="C224" i="42"/>
  <c r="C226" i="42"/>
  <c r="C227" i="42"/>
  <c r="J227" i="42"/>
  <c r="Y17" i="40"/>
  <c r="Z17" i="40"/>
  <c r="C270" i="42"/>
  <c r="H272" i="42"/>
  <c r="Y14" i="40"/>
  <c r="C273" i="42"/>
  <c r="C272" i="42"/>
  <c r="C89" i="42"/>
  <c r="C88" i="42"/>
  <c r="C342" i="42"/>
  <c r="C341" i="42"/>
  <c r="Y19" i="40"/>
  <c r="H42" i="42"/>
  <c r="Y7" i="40"/>
  <c r="C39" i="42"/>
  <c r="Z10" i="40"/>
  <c r="AF10" i="40"/>
  <c r="AG10" i="40"/>
  <c r="Z18" i="40"/>
  <c r="Z13" i="40"/>
  <c r="AD12" i="40"/>
  <c r="H157" i="42"/>
  <c r="Y12" i="40"/>
  <c r="C154" i="42"/>
  <c r="Z6" i="40"/>
  <c r="Z14" i="40"/>
  <c r="AD11" i="40"/>
  <c r="H134" i="42"/>
  <c r="Y11" i="40"/>
  <c r="C131" i="42"/>
  <c r="Z15" i="40"/>
  <c r="Z16" i="40"/>
  <c r="AF16" i="40"/>
  <c r="AG16" i="40"/>
  <c r="Z8" i="40"/>
  <c r="AF13" i="40"/>
  <c r="AG13" i="40"/>
  <c r="Z19" i="40"/>
  <c r="AF15" i="40"/>
  <c r="AG15" i="40"/>
  <c r="AF14" i="40"/>
  <c r="AG14" i="40"/>
  <c r="C158" i="42"/>
  <c r="C157" i="42"/>
  <c r="AF18" i="40"/>
  <c r="AG18" i="40"/>
  <c r="C135" i="42"/>
  <c r="C134" i="42"/>
  <c r="AF8" i="40"/>
  <c r="AG8" i="40"/>
  <c r="AF6" i="40"/>
  <c r="AG6" i="40"/>
  <c r="Z12" i="40"/>
  <c r="C155" i="42"/>
  <c r="AF19" i="40"/>
  <c r="AG19" i="40"/>
  <c r="A4" i="17"/>
  <c r="A5" i="17"/>
  <c r="A6" i="17"/>
  <c r="A7" i="17"/>
  <c r="A8" i="17"/>
  <c r="A9" i="17"/>
  <c r="A10" i="17"/>
  <c r="A11" i="17"/>
  <c r="A12" i="17"/>
  <c r="A3" i="17"/>
  <c r="J158" i="42"/>
  <c r="J159" i="42"/>
  <c r="J182" i="42"/>
  <c r="J228" i="42"/>
  <c r="C109" i="42"/>
  <c r="J112" i="42"/>
  <c r="J113" i="42"/>
  <c r="J366" i="42"/>
  <c r="AF20" i="40"/>
  <c r="AG20" i="40"/>
  <c r="AF12" i="40"/>
  <c r="AG12" i="40"/>
  <c r="Z11" i="40"/>
  <c r="C132" i="42"/>
  <c r="J135" i="42"/>
  <c r="J136" i="42"/>
  <c r="AF17" i="40"/>
  <c r="AG17" i="40"/>
  <c r="Z7" i="40"/>
  <c r="C247" i="42"/>
  <c r="J250" i="42"/>
  <c r="J251" i="42"/>
  <c r="Z9" i="40"/>
  <c r="C86" i="42"/>
  <c r="J89" i="42"/>
  <c r="J90" i="42"/>
  <c r="C269" i="42"/>
  <c r="J273" i="42"/>
  <c r="J274" i="42"/>
  <c r="Z20" i="40"/>
  <c r="C339" i="42"/>
  <c r="J342" i="42"/>
  <c r="J343" i="42"/>
  <c r="AF11" i="40"/>
  <c r="AG11" i="40"/>
  <c r="H53" i="43"/>
  <c r="G53" i="43"/>
  <c r="E53" i="43"/>
  <c r="C40" i="42"/>
  <c r="J43" i="42"/>
  <c r="J44" i="42"/>
  <c r="AF7" i="40"/>
  <c r="AF9" i="40"/>
  <c r="AG9" i="40"/>
  <c r="AG7" i="40"/>
  <c r="AG30" i="40"/>
  <c r="AF30" i="40"/>
  <c r="AE30" i="40"/>
  <c r="N30" i="40"/>
  <c r="AA30" i="40"/>
  <c r="AB30" i="40"/>
  <c r="AC30" i="40"/>
  <c r="T30" i="40"/>
  <c r="Y30" i="40"/>
  <c r="AF84" i="33"/>
  <c r="Z30" i="40"/>
  <c r="M30" i="40"/>
  <c r="K30" i="40"/>
  <c r="G30" i="40"/>
  <c r="J30" i="40"/>
  <c r="AD30" i="40"/>
  <c r="U30" i="40"/>
  <c r="L30" i="40"/>
  <c r="I30" i="40"/>
  <c r="AA84" i="33"/>
  <c r="J917" i="8" l="1"/>
  <c r="A902" i="8"/>
  <c r="J912" i="8"/>
  <c r="J918" i="8" s="1"/>
  <c r="C73" i="17"/>
  <c r="D73" i="17"/>
  <c r="E73" i="17"/>
  <c r="F73" i="17"/>
  <c r="C74" i="17"/>
  <c r="D74" i="17"/>
  <c r="E74" i="17"/>
  <c r="F74" i="17"/>
  <c r="F75" i="17"/>
  <c r="E75" i="17"/>
  <c r="D75" i="17"/>
  <c r="C75" i="17"/>
  <c r="C76" i="17"/>
  <c r="D76" i="17"/>
  <c r="E76" i="17"/>
  <c r="F76" i="17"/>
  <c r="Q46" i="33"/>
  <c r="T46" i="33" s="1"/>
  <c r="O46" i="33"/>
  <c r="I46" i="33"/>
  <c r="P79" i="33"/>
  <c r="P78" i="33"/>
  <c r="P77" i="33"/>
  <c r="P76" i="33"/>
  <c r="Q79" i="33"/>
  <c r="T79" i="33" s="1"/>
  <c r="O79" i="33"/>
  <c r="I79" i="33"/>
  <c r="Q78" i="33"/>
  <c r="T78" i="33" s="1"/>
  <c r="I78" i="33"/>
  <c r="O78" i="33"/>
  <c r="O77" i="33"/>
  <c r="I77" i="33"/>
  <c r="Q77" i="33"/>
  <c r="T77" i="33" s="1"/>
  <c r="Q76" i="33"/>
  <c r="I76" i="33"/>
  <c r="T76" i="33"/>
  <c r="O76" i="33"/>
  <c r="K44" i="33"/>
  <c r="I44" i="33"/>
  <c r="H44" i="33"/>
  <c r="S44" i="33" s="1"/>
  <c r="J44" i="33"/>
  <c r="M44" i="33"/>
  <c r="AI44" i="33"/>
  <c r="AJ44" i="33"/>
  <c r="H43" i="33"/>
  <c r="S43" i="33" s="1"/>
  <c r="I43" i="33"/>
  <c r="M43" i="33"/>
  <c r="K43" i="33"/>
  <c r="J43" i="33"/>
  <c r="AJ43" i="33"/>
  <c r="AI43" i="33"/>
  <c r="I42" i="33"/>
  <c r="C835" i="8" s="1"/>
  <c r="J42" i="33"/>
  <c r="C836" i="8" s="1"/>
  <c r="M42" i="33"/>
  <c r="C839" i="8" s="1"/>
  <c r="H42" i="33"/>
  <c r="S42" i="33" s="1"/>
  <c r="K42" i="33"/>
  <c r="C837" i="8" s="1"/>
  <c r="AJ42" i="33"/>
  <c r="AI42" i="33"/>
  <c r="J32" i="33"/>
  <c r="K32" i="33"/>
  <c r="M32" i="33"/>
  <c r="I32" i="33"/>
  <c r="K41" i="33"/>
  <c r="J41" i="33"/>
  <c r="I41" i="33"/>
  <c r="M41" i="33"/>
  <c r="M37" i="33"/>
  <c r="K37" i="33"/>
  <c r="J37" i="33"/>
  <c r="I37" i="33"/>
  <c r="K29" i="33"/>
  <c r="J29" i="33"/>
  <c r="I29" i="33"/>
  <c r="M29" i="33"/>
  <c r="K16" i="33"/>
  <c r="M16" i="33"/>
  <c r="J16" i="33"/>
  <c r="I16" i="33"/>
  <c r="M17" i="33"/>
  <c r="K17" i="33"/>
  <c r="J17" i="33"/>
  <c r="I17" i="33"/>
  <c r="I18" i="33"/>
  <c r="M18" i="33"/>
  <c r="J18" i="33"/>
  <c r="K18" i="33"/>
  <c r="M21" i="33"/>
  <c r="J21" i="33"/>
  <c r="I21" i="33"/>
  <c r="K21" i="33"/>
  <c r="B41" i="17"/>
  <c r="M6" i="33"/>
  <c r="K6" i="33"/>
  <c r="I6" i="33"/>
  <c r="H6" i="33"/>
  <c r="S6" i="33" s="1"/>
  <c r="J6" i="33"/>
  <c r="AJ6" i="33"/>
  <c r="AI6" i="33"/>
  <c r="W6" i="33"/>
  <c r="J39" i="33"/>
  <c r="K39" i="33"/>
  <c r="I39" i="33"/>
  <c r="M39" i="33"/>
  <c r="H39" i="33"/>
  <c r="S39" i="33" s="1"/>
  <c r="AI39" i="33"/>
  <c r="AJ39" i="33"/>
  <c r="K38" i="33"/>
  <c r="J38" i="33"/>
  <c r="H38" i="33"/>
  <c r="S38" i="33" s="1"/>
  <c r="M38" i="33"/>
  <c r="I38" i="33"/>
  <c r="AJ38" i="33"/>
  <c r="AI38" i="33"/>
  <c r="B38" i="17"/>
  <c r="B36" i="17"/>
  <c r="B39" i="17"/>
  <c r="F877" i="8"/>
  <c r="F854" i="8"/>
  <c r="F831" i="8"/>
  <c r="H871" i="8"/>
  <c r="C869" i="8"/>
  <c r="A856" i="8"/>
  <c r="D854" i="8"/>
  <c r="C848" i="8"/>
  <c r="A833" i="8"/>
  <c r="D832" i="8"/>
  <c r="A831" i="8"/>
  <c r="H894" i="8"/>
  <c r="A879" i="8"/>
  <c r="D878" i="8"/>
  <c r="D877" i="8"/>
  <c r="C871" i="8"/>
  <c r="D855" i="8"/>
  <c r="H848" i="8"/>
  <c r="B35" i="17"/>
  <c r="C892" i="8"/>
  <c r="C894" i="8"/>
  <c r="C847" i="8"/>
  <c r="D831" i="8"/>
  <c r="B37" i="17"/>
  <c r="C893" i="8"/>
  <c r="A877" i="8"/>
  <c r="C870" i="8"/>
  <c r="A854" i="8"/>
  <c r="C846" i="8"/>
  <c r="AE41" i="33"/>
  <c r="H846" i="42" s="1"/>
  <c r="C838" i="8"/>
  <c r="C861" i="8"/>
  <c r="H892" i="8"/>
  <c r="C884" i="8"/>
  <c r="C35" i="17"/>
  <c r="E36" i="17"/>
  <c r="D36" i="17"/>
  <c r="C36" i="17"/>
  <c r="E37" i="17"/>
  <c r="C37" i="17"/>
  <c r="D37" i="17"/>
  <c r="E38" i="17"/>
  <c r="C38" i="17"/>
  <c r="D38" i="17"/>
  <c r="C39" i="17"/>
  <c r="D39" i="17"/>
  <c r="E39" i="17"/>
  <c r="M36" i="33"/>
  <c r="K36" i="33"/>
  <c r="H36" i="33"/>
  <c r="S36" i="33" s="1"/>
  <c r="J36" i="33"/>
  <c r="I36" i="33"/>
  <c r="AI36" i="33"/>
  <c r="AJ36" i="33"/>
  <c r="P62" i="33"/>
  <c r="P64" i="33"/>
  <c r="P56" i="33"/>
  <c r="P54" i="33"/>
  <c r="P53" i="33"/>
  <c r="P51" i="33"/>
  <c r="P49" i="33"/>
  <c r="P66" i="33"/>
  <c r="P69" i="33"/>
  <c r="P71" i="33"/>
  <c r="P72" i="33"/>
  <c r="Q72" i="33" s="1"/>
  <c r="P74" i="33"/>
  <c r="P75" i="33"/>
  <c r="P68" i="33"/>
  <c r="P81" i="33"/>
  <c r="P82" i="33"/>
  <c r="Q82" i="33" s="1"/>
  <c r="P57" i="33"/>
  <c r="Q57" i="33" s="1"/>
  <c r="P48" i="33"/>
  <c r="P47" i="33"/>
  <c r="P50" i="33"/>
  <c r="P52" i="33"/>
  <c r="P55" i="33"/>
  <c r="Q55" i="33" s="1"/>
  <c r="P58" i="33"/>
  <c r="P61" i="33"/>
  <c r="Q61" i="33" s="1"/>
  <c r="T61" i="33" s="1"/>
  <c r="P63" i="33"/>
  <c r="Q63" i="33" s="1"/>
  <c r="P65" i="33"/>
  <c r="P67" i="33"/>
  <c r="Q67" i="33" s="1"/>
  <c r="T67" i="33" s="1"/>
  <c r="P70" i="33"/>
  <c r="Q70" i="33" s="1"/>
  <c r="P73" i="33"/>
  <c r="P80" i="33"/>
  <c r="P83" i="33"/>
  <c r="P45" i="33"/>
  <c r="P59" i="33"/>
  <c r="Q59" i="33" s="1"/>
  <c r="P60" i="33"/>
  <c r="F578" i="8"/>
  <c r="F601" i="8"/>
  <c r="F624" i="8"/>
  <c r="F923" i="8"/>
  <c r="F946" i="8"/>
  <c r="F969" i="8"/>
  <c r="F992" i="8"/>
  <c r="F1015" i="8"/>
  <c r="F1038" i="8"/>
  <c r="F1061" i="8"/>
  <c r="K12" i="33"/>
  <c r="I47" i="33"/>
  <c r="I69" i="33"/>
  <c r="I67" i="33"/>
  <c r="I65" i="33"/>
  <c r="I63" i="33"/>
  <c r="I61" i="33"/>
  <c r="I59" i="33"/>
  <c r="I57" i="33"/>
  <c r="I55" i="33"/>
  <c r="I53" i="33"/>
  <c r="I51" i="33"/>
  <c r="I49" i="33"/>
  <c r="I45" i="33"/>
  <c r="I48" i="33"/>
  <c r="F1567" i="8"/>
  <c r="F440" i="42"/>
  <c r="F808" i="8"/>
  <c r="F1797" i="8"/>
  <c r="F1751" i="8"/>
  <c r="F1705" i="8"/>
  <c r="F1659" i="8"/>
  <c r="F1613" i="8"/>
  <c r="F1475" i="8"/>
  <c r="F1521" i="8"/>
  <c r="F1452" i="8"/>
  <c r="F762" i="8"/>
  <c r="F716" i="8"/>
  <c r="F417" i="42"/>
  <c r="F1820" i="8"/>
  <c r="F1774" i="8"/>
  <c r="F1728" i="8"/>
  <c r="F1682" i="8"/>
  <c r="F1636" i="8"/>
  <c r="F1590" i="8"/>
  <c r="F1544" i="8"/>
  <c r="F1498" i="8"/>
  <c r="F394" i="42"/>
  <c r="F785" i="8"/>
  <c r="F739" i="8"/>
  <c r="F371" i="42"/>
  <c r="F1429" i="8"/>
  <c r="F693" i="8"/>
  <c r="F670" i="8"/>
  <c r="F647" i="8"/>
  <c r="F3" i="8"/>
  <c r="F1406" i="8"/>
  <c r="F1383" i="8"/>
  <c r="F1360" i="8"/>
  <c r="F1337" i="8"/>
  <c r="F1314" i="8"/>
  <c r="F1291" i="8"/>
  <c r="F1268" i="8"/>
  <c r="F72" i="8"/>
  <c r="F49" i="8"/>
  <c r="F1245" i="8"/>
  <c r="F1222" i="8"/>
  <c r="F1199" i="8"/>
  <c r="F1176" i="8"/>
  <c r="F1153" i="8"/>
  <c r="F1130" i="8"/>
  <c r="F1107" i="8"/>
  <c r="F1084" i="8"/>
  <c r="F555" i="8"/>
  <c r="F532" i="8"/>
  <c r="F509" i="8"/>
  <c r="F486" i="8"/>
  <c r="F463" i="8"/>
  <c r="F440" i="8"/>
  <c r="F417" i="8"/>
  <c r="F394" i="8"/>
  <c r="F371" i="8"/>
  <c r="F348" i="8"/>
  <c r="F325" i="8"/>
  <c r="F302" i="8"/>
  <c r="F279" i="8"/>
  <c r="F256" i="8"/>
  <c r="F233" i="8"/>
  <c r="F210" i="8"/>
  <c r="F187" i="8"/>
  <c r="F164" i="8"/>
  <c r="F141" i="8"/>
  <c r="F118" i="8"/>
  <c r="F95" i="8"/>
  <c r="F26" i="8"/>
  <c r="F946" i="42"/>
  <c r="F923" i="42"/>
  <c r="F900" i="42"/>
  <c r="F877" i="42"/>
  <c r="F854" i="42"/>
  <c r="F831" i="42"/>
  <c r="F808" i="42"/>
  <c r="F785" i="42"/>
  <c r="F762" i="42"/>
  <c r="F739" i="42"/>
  <c r="F716" i="42"/>
  <c r="F693" i="42"/>
  <c r="F670" i="42"/>
  <c r="F647" i="42"/>
  <c r="F624" i="42"/>
  <c r="F601" i="42"/>
  <c r="F578" i="42"/>
  <c r="F555" i="42"/>
  <c r="F532" i="42"/>
  <c r="F509" i="42"/>
  <c r="F486" i="42"/>
  <c r="F463" i="42"/>
  <c r="C929" i="42"/>
  <c r="H936" i="8"/>
  <c r="H41" i="33"/>
  <c r="S41" i="33" s="1"/>
  <c r="AJ41" i="33"/>
  <c r="AI41" i="33"/>
  <c r="P41" i="33" s="1"/>
  <c r="H40" i="33"/>
  <c r="S40" i="33" s="1"/>
  <c r="M40" i="33"/>
  <c r="J40" i="33"/>
  <c r="I40" i="33"/>
  <c r="K40" i="33"/>
  <c r="AI40" i="33"/>
  <c r="P40" i="33" s="1"/>
  <c r="AJ40" i="33"/>
  <c r="H37" i="33"/>
  <c r="S37" i="33" s="1"/>
  <c r="AJ37" i="33"/>
  <c r="AI37" i="33"/>
  <c r="P37" i="33" s="1"/>
  <c r="B72" i="17"/>
  <c r="B77" i="17"/>
  <c r="B78" i="17"/>
  <c r="AI14" i="33"/>
  <c r="P14" i="33" s="1"/>
  <c r="Q14" i="33" s="1"/>
  <c r="AI12" i="33"/>
  <c r="P12" i="33" s="1"/>
  <c r="Q12" i="33" s="1"/>
  <c r="AI7" i="33"/>
  <c r="P7" i="33" s="1"/>
  <c r="Q7" i="33" s="1"/>
  <c r="O81" i="33"/>
  <c r="I81" i="33"/>
  <c r="O80" i="33"/>
  <c r="I80" i="33"/>
  <c r="O75" i="33"/>
  <c r="I75" i="33"/>
  <c r="O74" i="33"/>
  <c r="I74" i="33"/>
  <c r="I73" i="33"/>
  <c r="O73" i="33"/>
  <c r="K35" i="33"/>
  <c r="M35" i="33"/>
  <c r="I35" i="33"/>
  <c r="H35" i="33"/>
  <c r="S35" i="33" s="1"/>
  <c r="J35" i="33"/>
  <c r="AJ35" i="33"/>
  <c r="AI35" i="33"/>
  <c r="P35" i="33" s="1"/>
  <c r="AJ16" i="33"/>
  <c r="AI16" i="33"/>
  <c r="P16" i="33" s="1"/>
  <c r="Q16" i="33" s="1"/>
  <c r="AJ15" i="33"/>
  <c r="AI15" i="33"/>
  <c r="P15" i="33" s="1"/>
  <c r="Q15" i="33" s="1"/>
  <c r="AJ13" i="33"/>
  <c r="AI13" i="33"/>
  <c r="P13" i="33" s="1"/>
  <c r="AJ11" i="33"/>
  <c r="AI11" i="33"/>
  <c r="P11" i="33" s="1"/>
  <c r="Q11" i="33" s="1"/>
  <c r="AJ10" i="33"/>
  <c r="AI10" i="33"/>
  <c r="P10" i="33" s="1"/>
  <c r="Q10" i="33" s="1"/>
  <c r="AJ9" i="33"/>
  <c r="AI9" i="33"/>
  <c r="P9" i="33" s="1"/>
  <c r="Q9" i="33" s="1"/>
  <c r="AJ8" i="33"/>
  <c r="AI8" i="33"/>
  <c r="P8" i="33" s="1"/>
  <c r="Q8" i="33" s="1"/>
  <c r="AI25" i="33"/>
  <c r="P25" i="33" s="1"/>
  <c r="Q25" i="33" s="1"/>
  <c r="AI32" i="33"/>
  <c r="P32" i="33" s="1"/>
  <c r="Q32" i="33" s="1"/>
  <c r="AJ28" i="33"/>
  <c r="AI28" i="33"/>
  <c r="P28" i="33" s="1"/>
  <c r="Q28" i="33" s="1"/>
  <c r="AJ22" i="33"/>
  <c r="AI22" i="33"/>
  <c r="P22" i="33" s="1"/>
  <c r="Q22" i="33" s="1"/>
  <c r="AJ34" i="33"/>
  <c r="AI34" i="33"/>
  <c r="P34" i="33" s="1"/>
  <c r="AJ33" i="33"/>
  <c r="AI33" i="33"/>
  <c r="P33" i="33" s="1"/>
  <c r="Q33" i="33" s="1"/>
  <c r="J26" i="33"/>
  <c r="J27" i="33"/>
  <c r="K20" i="33"/>
  <c r="H8" i="33"/>
  <c r="S8" i="33" s="1"/>
  <c r="AE8" i="33"/>
  <c r="AE9" i="33"/>
  <c r="AE10" i="33"/>
  <c r="AE11" i="33"/>
  <c r="AE13" i="33"/>
  <c r="H179" i="8" s="1"/>
  <c r="AE16" i="33"/>
  <c r="AE17" i="33"/>
  <c r="AE18" i="33"/>
  <c r="AE19" i="33"/>
  <c r="AE31" i="33"/>
  <c r="AE20" i="33"/>
  <c r="AE21" i="33"/>
  <c r="AE23" i="33"/>
  <c r="AE24" i="33"/>
  <c r="AE27" i="33"/>
  <c r="H524" i="42" s="1"/>
  <c r="AE29" i="33"/>
  <c r="AE25" i="33"/>
  <c r="L84" i="33"/>
  <c r="AE15" i="33"/>
  <c r="M34" i="33"/>
  <c r="K34" i="33"/>
  <c r="J34" i="33"/>
  <c r="I34" i="33"/>
  <c r="H34" i="33"/>
  <c r="S34" i="33" s="1"/>
  <c r="M33" i="33"/>
  <c r="K33" i="33"/>
  <c r="J33" i="33"/>
  <c r="I33" i="33"/>
  <c r="H33" i="33"/>
  <c r="S33" i="33" s="1"/>
  <c r="M30" i="33"/>
  <c r="K30" i="33"/>
  <c r="J30" i="33"/>
  <c r="I30" i="33"/>
  <c r="H30" i="33"/>
  <c r="S30" i="33" s="1"/>
  <c r="AJ30" i="33"/>
  <c r="AI30" i="33"/>
  <c r="B40" i="17"/>
  <c r="H825" i="8"/>
  <c r="C823" i="8"/>
  <c r="A810" i="8"/>
  <c r="D809" i="8"/>
  <c r="D808" i="8"/>
  <c r="H823" i="8"/>
  <c r="B34" i="17"/>
  <c r="C815" i="8"/>
  <c r="A808" i="8"/>
  <c r="H14" i="33"/>
  <c r="S14" i="33" s="1"/>
  <c r="I7" i="33"/>
  <c r="C30" i="8" s="1"/>
  <c r="AE7" i="33"/>
  <c r="H41" i="8" s="1"/>
  <c r="M25" i="33"/>
  <c r="K25" i="33"/>
  <c r="J25" i="33"/>
  <c r="I25" i="33"/>
  <c r="H25" i="33"/>
  <c r="S25" i="33" s="1"/>
  <c r="AJ25" i="33"/>
  <c r="M31" i="33"/>
  <c r="K31" i="33"/>
  <c r="J31" i="33"/>
  <c r="H31" i="33"/>
  <c r="S31" i="33" s="1"/>
  <c r="AJ31" i="33"/>
  <c r="P31" i="33"/>
  <c r="Q31" i="33" s="1"/>
  <c r="H29" i="33"/>
  <c r="S29" i="33" s="1"/>
  <c r="AJ29" i="33"/>
  <c r="AI29" i="33"/>
  <c r="Q29" i="33" s="1"/>
  <c r="H32" i="33"/>
  <c r="S32" i="33" s="1"/>
  <c r="AJ32" i="33"/>
  <c r="AI24" i="33"/>
  <c r="G1821" i="8"/>
  <c r="G1729" i="8"/>
  <c r="O83" i="33"/>
  <c r="I83" i="33"/>
  <c r="O82" i="33"/>
  <c r="G1752" i="8" s="1"/>
  <c r="I82" i="33"/>
  <c r="O72" i="33"/>
  <c r="I72" i="33"/>
  <c r="I71" i="33"/>
  <c r="O71" i="33"/>
  <c r="H526" i="8"/>
  <c r="B66" i="17"/>
  <c r="B68" i="17"/>
  <c r="B70" i="17"/>
  <c r="B79" i="17"/>
  <c r="B29" i="17"/>
  <c r="B32" i="17"/>
  <c r="C1722" i="8"/>
  <c r="C1651" i="8"/>
  <c r="C1606" i="8"/>
  <c r="A739" i="8"/>
  <c r="A741" i="8"/>
  <c r="D786" i="8"/>
  <c r="C792" i="8"/>
  <c r="A785" i="8"/>
  <c r="C1766" i="8"/>
  <c r="H777" i="8"/>
  <c r="H1787" i="8"/>
  <c r="D763" i="8"/>
  <c r="B69" i="17"/>
  <c r="B80" i="17"/>
  <c r="B30" i="17"/>
  <c r="B31" i="17"/>
  <c r="B33" i="17"/>
  <c r="H1813" i="8"/>
  <c r="C1744" i="8"/>
  <c r="H1695" i="8"/>
  <c r="H1628" i="8"/>
  <c r="C1584" i="8"/>
  <c r="H1557" i="8"/>
  <c r="H731" i="8"/>
  <c r="D717" i="8"/>
  <c r="A716" i="8"/>
  <c r="D740" i="8"/>
  <c r="A762" i="8"/>
  <c r="H754" i="8"/>
  <c r="H756" i="8"/>
  <c r="B67" i="17"/>
  <c r="H1835" i="8"/>
  <c r="H1834" i="8"/>
  <c r="J1821" i="8"/>
  <c r="I1820" i="8"/>
  <c r="A1820" i="8"/>
  <c r="H1652" i="8"/>
  <c r="C1630" i="8"/>
  <c r="A1613" i="8"/>
  <c r="A1590" i="8"/>
  <c r="C1560" i="8"/>
  <c r="D1544" i="8"/>
  <c r="H1536" i="8"/>
  <c r="H1514" i="8"/>
  <c r="C1492" i="8"/>
  <c r="H1468" i="8"/>
  <c r="A1751" i="8"/>
  <c r="C777" i="8"/>
  <c r="D762" i="8"/>
  <c r="C746" i="8"/>
  <c r="C1814" i="8"/>
  <c r="H1812" i="8"/>
  <c r="C1812" i="8"/>
  <c r="H1810" i="8"/>
  <c r="G1799" i="8"/>
  <c r="J1798" i="8"/>
  <c r="I1797" i="8"/>
  <c r="D1797" i="8"/>
  <c r="A1797" i="8"/>
  <c r="C1790" i="8"/>
  <c r="D1774" i="8"/>
  <c r="H1767" i="8"/>
  <c r="C1767" i="8"/>
  <c r="H1766" i="8"/>
  <c r="G1753" i="8"/>
  <c r="I1751" i="8"/>
  <c r="D1751" i="8"/>
  <c r="C731" i="8"/>
  <c r="C1745" i="8"/>
  <c r="H1744" i="8"/>
  <c r="H1741" i="8"/>
  <c r="D1728" i="8"/>
  <c r="A1728" i="8"/>
  <c r="H1720" i="8"/>
  <c r="C1720" i="8"/>
  <c r="H1718" i="8"/>
  <c r="D1705" i="8"/>
  <c r="A1705" i="8"/>
  <c r="C1698" i="8"/>
  <c r="C1697" i="8"/>
  <c r="D1682" i="8"/>
  <c r="A1682" i="8"/>
  <c r="H1675" i="8"/>
  <c r="C1675" i="8"/>
  <c r="H1674" i="8"/>
  <c r="C1674" i="8"/>
  <c r="D1659" i="8"/>
  <c r="C1653" i="8"/>
  <c r="H1649" i="8"/>
  <c r="D1636" i="8"/>
  <c r="D1613" i="8"/>
  <c r="C1605" i="8"/>
  <c r="C1582" i="8"/>
  <c r="D1567" i="8"/>
  <c r="C1559" i="8"/>
  <c r="H1537" i="8"/>
  <c r="H1534" i="8"/>
  <c r="C1514" i="8"/>
  <c r="A1498" i="8"/>
  <c r="C1491" i="8"/>
  <c r="H1488" i="8"/>
  <c r="A1475" i="8"/>
  <c r="H1465" i="8"/>
  <c r="D716" i="8"/>
  <c r="H1651" i="8"/>
  <c r="A1636" i="8"/>
  <c r="H1606" i="8"/>
  <c r="A1567" i="8"/>
  <c r="A1544" i="8"/>
  <c r="C1536" i="8"/>
  <c r="C1515" i="8"/>
  <c r="H1491" i="8"/>
  <c r="C1469" i="8"/>
  <c r="A1452" i="8"/>
  <c r="H779" i="8"/>
  <c r="C723" i="8"/>
  <c r="C1629" i="8"/>
  <c r="H1582" i="8"/>
  <c r="H1559" i="8"/>
  <c r="C1537" i="8"/>
  <c r="D1521" i="8"/>
  <c r="C1513" i="8"/>
  <c r="H1490" i="8"/>
  <c r="H1467" i="8"/>
  <c r="C754" i="8"/>
  <c r="H733" i="8"/>
  <c r="B71" i="17"/>
  <c r="C1836" i="8"/>
  <c r="C1835" i="8"/>
  <c r="H1833" i="8"/>
  <c r="G1822" i="8"/>
  <c r="D1821" i="8"/>
  <c r="D1820" i="8"/>
  <c r="A1659" i="8"/>
  <c r="C1652" i="8"/>
  <c r="H1629" i="8"/>
  <c r="H1626" i="8"/>
  <c r="C1607" i="8"/>
  <c r="H1603" i="8"/>
  <c r="D1590" i="8"/>
  <c r="H1580" i="8"/>
  <c r="H1560" i="8"/>
  <c r="C1538" i="8"/>
  <c r="A1521" i="8"/>
  <c r="H1513" i="8"/>
  <c r="H1511" i="8"/>
  <c r="D1498" i="8"/>
  <c r="C1490" i="8"/>
  <c r="C1468" i="8"/>
  <c r="H802" i="8"/>
  <c r="C800" i="8"/>
  <c r="C769" i="8"/>
  <c r="D739" i="8"/>
  <c r="D1475" i="8"/>
  <c r="C1467" i="8"/>
  <c r="D1452" i="8"/>
  <c r="H800" i="8"/>
  <c r="D785" i="8"/>
  <c r="A764" i="8"/>
  <c r="A787" i="8"/>
  <c r="A718" i="8"/>
  <c r="H1836" i="8"/>
  <c r="C1837" i="8"/>
  <c r="H1811" i="8"/>
  <c r="C1813" i="8"/>
  <c r="C1789" i="8"/>
  <c r="A1774" i="8"/>
  <c r="G1776" i="8"/>
  <c r="H1789" i="8"/>
  <c r="H1790" i="8"/>
  <c r="I1774" i="8"/>
  <c r="C1791" i="8"/>
  <c r="C1768" i="8"/>
  <c r="H1764" i="8"/>
  <c r="C1743" i="8"/>
  <c r="H1743" i="8"/>
  <c r="C1721" i="8"/>
  <c r="H1721" i="8"/>
  <c r="H1697" i="8"/>
  <c r="H1698" i="8"/>
  <c r="C1699" i="8"/>
  <c r="C1676" i="8"/>
  <c r="H1672" i="8"/>
  <c r="C1628" i="8"/>
  <c r="H1605" i="8"/>
  <c r="C1583" i="8"/>
  <c r="H1583" i="8"/>
  <c r="C1561" i="8"/>
  <c r="K27" i="33"/>
  <c r="M27" i="33"/>
  <c r="H27" i="33"/>
  <c r="S27" i="33" s="1"/>
  <c r="I27" i="33"/>
  <c r="AI27" i="33"/>
  <c r="P27" i="33" s="1"/>
  <c r="Q27" i="33" s="1"/>
  <c r="H43" i="8"/>
  <c r="O59" i="33"/>
  <c r="K22" i="33"/>
  <c r="K15" i="33"/>
  <c r="J23" i="33"/>
  <c r="H23" i="33"/>
  <c r="S23" i="33" s="1"/>
  <c r="K28" i="33"/>
  <c r="J28" i="33"/>
  <c r="H10" i="33"/>
  <c r="S10" i="33" s="1"/>
  <c r="H9" i="33"/>
  <c r="S9" i="33" s="1"/>
  <c r="AI20" i="33"/>
  <c r="AI21" i="33"/>
  <c r="M24" i="33"/>
  <c r="G13" i="33"/>
  <c r="K11" i="33"/>
  <c r="D510" i="42"/>
  <c r="D4" i="8"/>
  <c r="I70" i="33"/>
  <c r="B4" i="17"/>
  <c r="E4" i="17" s="1"/>
  <c r="B3" i="17"/>
  <c r="D3" i="17" s="1"/>
  <c r="I62" i="33"/>
  <c r="A3" i="8"/>
  <c r="C18" i="8"/>
  <c r="H20" i="8"/>
  <c r="C10" i="8"/>
  <c r="I54" i="33"/>
  <c r="K26" i="33"/>
  <c r="H181" i="8"/>
  <c r="C41" i="8"/>
  <c r="D3" i="8"/>
  <c r="M26" i="33"/>
  <c r="M28" i="33"/>
  <c r="H26" i="33"/>
  <c r="S26" i="33" s="1"/>
  <c r="H28" i="33"/>
  <c r="S28" i="33" s="1"/>
  <c r="I26" i="33"/>
  <c r="AI26" i="33"/>
  <c r="I28" i="33"/>
  <c r="AI17" i="33"/>
  <c r="M23" i="33"/>
  <c r="AJ24" i="33"/>
  <c r="I9" i="33"/>
  <c r="J9" i="33"/>
  <c r="J11" i="33"/>
  <c r="I23" i="33"/>
  <c r="K23" i="33"/>
  <c r="I10" i="33"/>
  <c r="M22" i="33"/>
  <c r="J22" i="33"/>
  <c r="H24" i="33"/>
  <c r="S24" i="33" s="1"/>
  <c r="I12" i="33"/>
  <c r="K14" i="33"/>
  <c r="I8" i="33"/>
  <c r="A5" i="8"/>
  <c r="J8" i="33"/>
  <c r="M11" i="33"/>
  <c r="M15" i="33"/>
  <c r="M8" i="33"/>
  <c r="I11" i="33"/>
  <c r="H11" i="33"/>
  <c r="S11" i="33" s="1"/>
  <c r="M20" i="33"/>
  <c r="AJ14" i="33"/>
  <c r="I24" i="33"/>
  <c r="J20" i="33"/>
  <c r="H16" i="8"/>
  <c r="K24" i="33"/>
  <c r="K8" i="33"/>
  <c r="H15" i="33"/>
  <c r="S15" i="33" s="1"/>
  <c r="J24" i="33"/>
  <c r="A580" i="8"/>
  <c r="C562" i="8"/>
  <c r="K9" i="33"/>
  <c r="M14" i="33"/>
  <c r="J15" i="33"/>
  <c r="M7" i="33"/>
  <c r="C34" i="8" s="1"/>
  <c r="I20" i="33"/>
  <c r="O55" i="33"/>
  <c r="A557" i="8"/>
  <c r="D555" i="8"/>
  <c r="M9" i="33"/>
  <c r="I14" i="33"/>
  <c r="I15" i="33"/>
  <c r="K7" i="33"/>
  <c r="C32" i="8" s="1"/>
  <c r="H18" i="33"/>
  <c r="S18" i="33" s="1"/>
  <c r="H20" i="33"/>
  <c r="S20" i="33" s="1"/>
  <c r="I68" i="33"/>
  <c r="I60" i="33"/>
  <c r="I52" i="33"/>
  <c r="J14" i="33"/>
  <c r="I66" i="33"/>
  <c r="I58" i="33"/>
  <c r="I50" i="33"/>
  <c r="C539" i="42"/>
  <c r="A120" i="8"/>
  <c r="C194" i="8"/>
  <c r="D417" i="8"/>
  <c r="C639" i="8"/>
  <c r="I64" i="33"/>
  <c r="I56" i="33"/>
  <c r="AI18" i="33"/>
  <c r="C916" i="42"/>
  <c r="A396" i="42"/>
  <c r="D602" i="8"/>
  <c r="C493" i="8"/>
  <c r="D647" i="42"/>
  <c r="D119" i="8"/>
  <c r="C1009" i="8"/>
  <c r="C64" i="8"/>
  <c r="C87" i="8"/>
  <c r="A624" i="8"/>
  <c r="D671" i="42"/>
  <c r="C309" i="8"/>
  <c r="B5" i="17"/>
  <c r="H1031" i="42"/>
  <c r="H1099" i="42"/>
  <c r="C1031" i="8"/>
  <c r="C1124" i="8"/>
  <c r="C939" i="8"/>
  <c r="A601" i="42"/>
  <c r="A350" i="8"/>
  <c r="H985" i="42"/>
  <c r="H66" i="8"/>
  <c r="H89" i="8"/>
  <c r="C1008" i="8"/>
  <c r="C593" i="8"/>
  <c r="A534" i="8"/>
  <c r="D510" i="8"/>
  <c r="H112" i="8"/>
  <c r="C616" i="8"/>
  <c r="A626" i="42"/>
  <c r="C1088" i="42"/>
  <c r="A580" i="42"/>
  <c r="A603" i="8"/>
  <c r="A97" i="8"/>
  <c r="A371" i="8"/>
  <c r="A327" i="8"/>
  <c r="C110" i="8"/>
  <c r="C940" i="42"/>
  <c r="D624" i="8"/>
  <c r="A557" i="42"/>
  <c r="C962" i="8"/>
  <c r="C940" i="8"/>
  <c r="C148" i="8"/>
  <c r="C746" i="42"/>
  <c r="H800" i="42"/>
  <c r="A555" i="8"/>
  <c r="D625" i="42"/>
  <c r="H524" i="8"/>
  <c r="C470" i="42"/>
  <c r="C547" i="42"/>
  <c r="C225" i="8"/>
  <c r="C240" i="8"/>
  <c r="C294" i="8"/>
  <c r="A716" i="42"/>
  <c r="D326" i="8"/>
  <c r="C917" i="42"/>
  <c r="A486" i="42"/>
  <c r="D487" i="8"/>
  <c r="C447" i="8"/>
  <c r="B13" i="17"/>
  <c r="H227" i="8"/>
  <c r="D440" i="8"/>
  <c r="A396" i="8"/>
  <c r="A532" i="42"/>
  <c r="A256" i="8"/>
  <c r="D601" i="42"/>
  <c r="D49" i="8"/>
  <c r="A419" i="8"/>
  <c r="D533" i="42"/>
  <c r="B25" i="17"/>
  <c r="C1100" i="8"/>
  <c r="A511" i="8"/>
  <c r="A348" i="8"/>
  <c r="H754" i="42"/>
  <c r="D72" i="8"/>
  <c r="B7" i="17"/>
  <c r="E7" i="17" s="1"/>
  <c r="A95" i="8"/>
  <c r="C133" i="8"/>
  <c r="D578" i="42"/>
  <c r="B11" i="17"/>
  <c r="C11" i="17" s="1"/>
  <c r="C432" i="42"/>
  <c r="D141" i="8"/>
  <c r="B8" i="17"/>
  <c r="D8" i="17" s="1"/>
  <c r="A118" i="8"/>
  <c r="C156" i="8"/>
  <c r="C570" i="42"/>
  <c r="D118" i="8"/>
  <c r="C516" i="42"/>
  <c r="C570" i="8"/>
  <c r="D739" i="42"/>
  <c r="D556" i="8"/>
  <c r="C639" i="42"/>
  <c r="D716" i="42"/>
  <c r="D648" i="42"/>
  <c r="A649" i="42"/>
  <c r="C792" i="42"/>
  <c r="D578" i="8"/>
  <c r="D486" i="8"/>
  <c r="B20" i="17"/>
  <c r="E20" i="17" s="1"/>
  <c r="A762" i="42"/>
  <c r="D762" i="42"/>
  <c r="D464" i="8"/>
  <c r="D372" i="8"/>
  <c r="D142" i="8"/>
  <c r="A28" i="8"/>
  <c r="D487" i="42"/>
  <c r="A672" i="42"/>
  <c r="D441" i="8"/>
  <c r="A601" i="8"/>
  <c r="D648" i="8"/>
  <c r="H434" i="8"/>
  <c r="C79" i="8"/>
  <c r="D73" i="8"/>
  <c r="D95" i="8"/>
  <c r="C340" i="8"/>
  <c r="C125" i="8"/>
  <c r="C271" i="8"/>
  <c r="C202" i="8"/>
  <c r="C493" i="42"/>
  <c r="D325" i="8"/>
  <c r="C286" i="8"/>
  <c r="D187" i="8"/>
  <c r="D533" i="8"/>
  <c r="D280" i="8"/>
  <c r="D786" i="42"/>
  <c r="C1091" i="42"/>
  <c r="C501" i="8"/>
  <c r="D601" i="8"/>
  <c r="D1038" i="42"/>
  <c r="A1038" i="42" s="1"/>
  <c r="A279" i="8"/>
  <c r="D349" i="8"/>
  <c r="D27" i="8"/>
  <c r="A442" i="42"/>
  <c r="H1214" i="8"/>
  <c r="H135" i="8"/>
  <c r="H342" i="8"/>
  <c r="H641" i="8"/>
  <c r="H296" i="8"/>
  <c r="C56" i="8"/>
  <c r="D50" i="8"/>
  <c r="C102" i="8"/>
  <c r="D164" i="8"/>
  <c r="D302" i="8"/>
  <c r="D371" i="8"/>
  <c r="B12" i="17"/>
  <c r="B14" i="17"/>
  <c r="D509" i="8"/>
  <c r="C562" i="42"/>
  <c r="C547" i="8"/>
  <c r="D256" i="8"/>
  <c r="A302" i="8"/>
  <c r="A141" i="8"/>
  <c r="D234" i="8"/>
  <c r="C700" i="42"/>
  <c r="C631" i="42"/>
  <c r="C754" i="42"/>
  <c r="A787" i="42"/>
  <c r="H204" i="8"/>
  <c r="H595" i="8"/>
  <c r="A72" i="8"/>
  <c r="C33" i="8"/>
  <c r="B6" i="17"/>
  <c r="C524" i="42"/>
  <c r="C263" i="8"/>
  <c r="C171" i="8"/>
  <c r="D257" i="8"/>
  <c r="B24" i="17"/>
  <c r="D96" i="8"/>
  <c r="C662" i="42"/>
  <c r="C631" i="8"/>
  <c r="C777" i="42"/>
  <c r="D395" i="8"/>
  <c r="C800" i="42"/>
  <c r="H273" i="8"/>
  <c r="H572" i="8"/>
  <c r="H503" i="8"/>
  <c r="B26" i="17"/>
  <c r="E26" i="17" s="1"/>
  <c r="C179" i="8"/>
  <c r="C409" i="42"/>
  <c r="C478" i="42"/>
  <c r="D210" i="8"/>
  <c r="D417" i="42"/>
  <c r="A210" i="8"/>
  <c r="C386" i="42"/>
  <c r="A233" i="8"/>
  <c r="D486" i="42"/>
  <c r="C401" i="42"/>
  <c r="D693" i="42"/>
  <c r="C685" i="42"/>
  <c r="C677" i="42"/>
  <c r="B43" i="17"/>
  <c r="C43" i="17" s="1"/>
  <c r="D188" i="8"/>
  <c r="C455" i="8"/>
  <c r="C539" i="8"/>
  <c r="C524" i="8"/>
  <c r="C409" i="8"/>
  <c r="D394" i="8"/>
  <c r="A394" i="8"/>
  <c r="A486" i="8"/>
  <c r="D625" i="8"/>
  <c r="A534" i="42"/>
  <c r="D372" i="42"/>
  <c r="A488" i="8"/>
  <c r="A440" i="8"/>
  <c r="A532" i="8"/>
  <c r="A465" i="42"/>
  <c r="H22" i="33"/>
  <c r="S22" i="33" s="1"/>
  <c r="I22" i="33"/>
  <c r="A304" i="8"/>
  <c r="A442" i="8"/>
  <c r="D464" i="42"/>
  <c r="D556" i="42"/>
  <c r="A417" i="42"/>
  <c r="C769" i="42"/>
  <c r="D717" i="42"/>
  <c r="D624" i="42"/>
  <c r="A281" i="8"/>
  <c r="B16" i="17"/>
  <c r="D463" i="42"/>
  <c r="A578" i="8"/>
  <c r="D532" i="42"/>
  <c r="A51" i="8"/>
  <c r="H664" i="8"/>
  <c r="A440" i="42"/>
  <c r="A739" i="42"/>
  <c r="D785" i="42"/>
  <c r="C355" i="8"/>
  <c r="B10" i="17"/>
  <c r="C424" i="8"/>
  <c r="A164" i="8"/>
  <c r="D26" i="8"/>
  <c r="H549" i="8"/>
  <c r="C677" i="8"/>
  <c r="M10" i="33"/>
  <c r="J10" i="33"/>
  <c r="K10" i="33"/>
  <c r="A670" i="42"/>
  <c r="A465" i="8"/>
  <c r="A626" i="8"/>
  <c r="A373" i="8"/>
  <c r="A235" i="8"/>
  <c r="D602" i="42"/>
  <c r="A394" i="42"/>
  <c r="A463" i="42"/>
  <c r="C1046" i="42"/>
  <c r="B23" i="17"/>
  <c r="C378" i="8"/>
  <c r="B19" i="17"/>
  <c r="C938" i="42"/>
  <c r="B15" i="17"/>
  <c r="E15" i="17" s="1"/>
  <c r="B17" i="17"/>
  <c r="A187" i="8"/>
  <c r="C248" i="8"/>
  <c r="A371" i="42"/>
  <c r="A74" i="8"/>
  <c r="H388" i="8"/>
  <c r="H319" i="8"/>
  <c r="J7" i="33"/>
  <c r="C31" i="8" s="1"/>
  <c r="H7" i="33"/>
  <c r="S7" i="33" s="1"/>
  <c r="H39" i="8" s="1"/>
  <c r="C7" i="8"/>
  <c r="C8" i="8"/>
  <c r="C9" i="8"/>
  <c r="C11" i="8"/>
  <c r="A419" i="42"/>
  <c r="A764" i="42"/>
  <c r="A695" i="42"/>
  <c r="A373" i="42"/>
  <c r="D418" i="42"/>
  <c r="A603" i="42"/>
  <c r="D165" i="8"/>
  <c r="D418" i="8"/>
  <c r="D763" i="42"/>
  <c r="C478" i="8"/>
  <c r="A463" i="8"/>
  <c r="C432" i="8"/>
  <c r="A624" i="42"/>
  <c r="A647" i="42"/>
  <c r="B9" i="17"/>
  <c r="C447" i="42"/>
  <c r="A26" i="8"/>
  <c r="C317" i="8"/>
  <c r="D371" i="42"/>
  <c r="D279" i="8"/>
  <c r="B46" i="17"/>
  <c r="C46" i="17" s="1"/>
  <c r="H250" i="8"/>
  <c r="H158" i="8"/>
  <c r="A488" i="42"/>
  <c r="A143" i="8"/>
  <c r="A578" i="42"/>
  <c r="A511" i="42"/>
  <c r="D303" i="8"/>
  <c r="D441" i="42"/>
  <c r="A509" i="8"/>
  <c r="A417" i="8"/>
  <c r="C470" i="8"/>
  <c r="D532" i="8"/>
  <c r="A785" i="42"/>
  <c r="H708" i="42"/>
  <c r="C723" i="42"/>
  <c r="D233" i="8"/>
  <c r="A49" i="8"/>
  <c r="B47" i="17"/>
  <c r="C47" i="17" s="1"/>
  <c r="H12" i="33"/>
  <c r="S12" i="33" s="1"/>
  <c r="J12" i="33"/>
  <c r="M12" i="33"/>
  <c r="H17" i="33"/>
  <c r="S17" i="33" s="1"/>
  <c r="H1101" i="8"/>
  <c r="O63" i="33"/>
  <c r="D211" i="8"/>
  <c r="O61" i="33"/>
  <c r="O67" i="33"/>
  <c r="O49" i="33"/>
  <c r="O53" i="33"/>
  <c r="A718" i="42"/>
  <c r="O57" i="33"/>
  <c r="O69" i="33"/>
  <c r="O51" i="33"/>
  <c r="O65" i="33"/>
  <c r="H1123" i="42"/>
  <c r="H1100" i="42"/>
  <c r="C1055" i="42"/>
  <c r="C1009" i="42"/>
  <c r="H1007" i="42"/>
  <c r="C977" i="42"/>
  <c r="G1108" i="42"/>
  <c r="H1147" i="8"/>
  <c r="C1146" i="8"/>
  <c r="A1199" i="8"/>
  <c r="H1074" i="42"/>
  <c r="C1077" i="42"/>
  <c r="C1019" i="42"/>
  <c r="C1078" i="8"/>
  <c r="C1078" i="42"/>
  <c r="C996" i="42"/>
  <c r="H1122" i="8"/>
  <c r="H1375" i="8"/>
  <c r="H1077" i="42"/>
  <c r="C1032" i="8"/>
  <c r="H984" i="42"/>
  <c r="H1122" i="42"/>
  <c r="D946" i="8"/>
  <c r="A1176" i="8"/>
  <c r="C1021" i="42"/>
  <c r="C986" i="8"/>
  <c r="C963" i="42"/>
  <c r="C1055" i="8"/>
  <c r="C1147" i="8"/>
  <c r="C985" i="8"/>
  <c r="C973" i="42"/>
  <c r="D947" i="42"/>
  <c r="C963" i="8"/>
  <c r="H1054" i="42"/>
  <c r="H1008" i="42"/>
  <c r="C1101" i="8"/>
  <c r="C962" i="42"/>
  <c r="C986" i="42"/>
  <c r="H1030" i="42"/>
  <c r="C954" i="42"/>
  <c r="H1283" i="8"/>
  <c r="H1396" i="8"/>
  <c r="D1383" i="8"/>
  <c r="B53" i="17"/>
  <c r="C1283" i="8"/>
  <c r="C1000" i="42"/>
  <c r="D1130" i="8"/>
  <c r="D923" i="42"/>
  <c r="D923" i="8"/>
  <c r="D831" i="42"/>
  <c r="C1030" i="8"/>
  <c r="C976" i="42"/>
  <c r="C1120" i="42"/>
  <c r="A992" i="8"/>
  <c r="C1238" i="8"/>
  <c r="D1084" i="8"/>
  <c r="C1169" i="8"/>
  <c r="C1214" i="8"/>
  <c r="A923" i="42"/>
  <c r="C1054" i="42"/>
  <c r="D1084" i="42"/>
  <c r="A1084" i="42" s="1"/>
  <c r="A1015" i="8"/>
  <c r="C931" i="42"/>
  <c r="A808" i="42"/>
  <c r="C955" i="42"/>
  <c r="C1069" i="42"/>
  <c r="W50" i="33"/>
  <c r="H1238" i="8"/>
  <c r="H1352" i="8"/>
  <c r="C1352" i="8"/>
  <c r="C1354" i="8"/>
  <c r="C907" i="42"/>
  <c r="A1153" i="8"/>
  <c r="A877" i="42"/>
  <c r="C1092" i="42"/>
  <c r="C1024" i="42"/>
  <c r="C846" i="42"/>
  <c r="C1122" i="8"/>
  <c r="C1168" i="8"/>
  <c r="C1007" i="8"/>
  <c r="C1099" i="8"/>
  <c r="D1245" i="8"/>
  <c r="D1061" i="8"/>
  <c r="D1038" i="8"/>
  <c r="A902" i="42"/>
  <c r="D832" i="42"/>
  <c r="A1130" i="8"/>
  <c r="G1039" i="42"/>
  <c r="H986" i="8"/>
  <c r="H1099" i="8"/>
  <c r="C1423" i="8"/>
  <c r="C1330" i="8"/>
  <c r="B54" i="17"/>
  <c r="C1284" i="8"/>
  <c r="C961" i="8"/>
  <c r="D992" i="8"/>
  <c r="D1061" i="42"/>
  <c r="J1062" i="42" s="1"/>
  <c r="C1001" i="42"/>
  <c r="A1038" i="8"/>
  <c r="C1145" i="8"/>
  <c r="C1070" i="42"/>
  <c r="A1084" i="8"/>
  <c r="C1262" i="8"/>
  <c r="A946" i="8"/>
  <c r="C1191" i="8"/>
  <c r="C952" i="42"/>
  <c r="G1016" i="42"/>
  <c r="C861" i="42"/>
  <c r="A1222" i="8"/>
  <c r="C975" i="42"/>
  <c r="G1085" i="42"/>
  <c r="H1421" i="8"/>
  <c r="H1120" i="8"/>
  <c r="H1124" i="8"/>
  <c r="H1074" i="8"/>
  <c r="H1076" i="8"/>
  <c r="C1421" i="8"/>
  <c r="C1308" i="8"/>
  <c r="C1285" i="8"/>
  <c r="C1100" i="42"/>
  <c r="H1005" i="42"/>
  <c r="H936" i="42"/>
  <c r="A879" i="42"/>
  <c r="C978" i="42"/>
  <c r="C1215" i="8"/>
  <c r="H823" i="42"/>
  <c r="C1239" i="8"/>
  <c r="A923" i="8"/>
  <c r="D1222" i="8"/>
  <c r="C1076" i="8"/>
  <c r="C1193" i="8"/>
  <c r="C984" i="8"/>
  <c r="C1216" i="8"/>
  <c r="C1044" i="42"/>
  <c r="C1113" i="42"/>
  <c r="C906" i="42"/>
  <c r="C1261" i="8"/>
  <c r="A900" i="42"/>
  <c r="C1067" i="42"/>
  <c r="A856" i="42"/>
  <c r="C1065" i="42"/>
  <c r="C1042" i="42"/>
  <c r="C1054" i="8"/>
  <c r="C939" i="42"/>
  <c r="H1054" i="8"/>
  <c r="H1055" i="8"/>
  <c r="H985" i="8"/>
  <c r="D1360" i="8"/>
  <c r="B55" i="17"/>
  <c r="C55" i="17" s="1"/>
  <c r="C1306" i="8"/>
  <c r="C838" i="42"/>
  <c r="C1114" i="42"/>
  <c r="D901" i="42"/>
  <c r="D1015" i="42"/>
  <c r="C985" i="42"/>
  <c r="D969" i="42"/>
  <c r="J970" i="42" s="1"/>
  <c r="C998" i="42"/>
  <c r="C1008" i="42"/>
  <c r="D855" i="42"/>
  <c r="C1031" i="42"/>
  <c r="A1245" i="8"/>
  <c r="C1260" i="8"/>
  <c r="D1153" i="8"/>
  <c r="A1061" i="8"/>
  <c r="C1192" i="8"/>
  <c r="C1116" i="42"/>
  <c r="D924" i="42"/>
  <c r="C961" i="42"/>
  <c r="C1115" i="42"/>
  <c r="A969" i="8"/>
  <c r="C1028" i="42"/>
  <c r="A948" i="42"/>
  <c r="C1101" i="42"/>
  <c r="C1077" i="8"/>
  <c r="C1123" i="8"/>
  <c r="H1053" i="42"/>
  <c r="H1146" i="8"/>
  <c r="H1051" i="8"/>
  <c r="H1419" i="8"/>
  <c r="H1258" i="8"/>
  <c r="C1353" i="8"/>
  <c r="B50" i="17"/>
  <c r="C50" i="17" s="1"/>
  <c r="D1107" i="42"/>
  <c r="J1108" i="42" s="1"/>
  <c r="C823" i="42"/>
  <c r="C982" i="42"/>
  <c r="C1074" i="42"/>
  <c r="C892" i="42"/>
  <c r="D877" i="42"/>
  <c r="D809" i="42"/>
  <c r="H1051" i="42"/>
  <c r="C1090" i="42"/>
  <c r="G1062" i="42"/>
  <c r="C884" i="42"/>
  <c r="D900" i="42"/>
  <c r="H982" i="42"/>
  <c r="C1123" i="42"/>
  <c r="D1199" i="8"/>
  <c r="D1015" i="8"/>
  <c r="C1053" i="8"/>
  <c r="D1176" i="8"/>
  <c r="A831" i="42"/>
  <c r="D808" i="42"/>
  <c r="D992" i="42"/>
  <c r="J993" i="42" s="1"/>
  <c r="C1068" i="42"/>
  <c r="C953" i="42"/>
  <c r="C951" i="42"/>
  <c r="C1051" i="42"/>
  <c r="A854" i="42"/>
  <c r="D1107" i="8"/>
  <c r="H959" i="42"/>
  <c r="C869" i="42"/>
  <c r="C1111" i="42"/>
  <c r="H1076" i="42"/>
  <c r="C1124" i="42"/>
  <c r="C1032" i="42"/>
  <c r="H1281" i="8"/>
  <c r="H1399" i="8"/>
  <c r="A1406" i="8"/>
  <c r="C1329" i="8"/>
  <c r="B48" i="17"/>
  <c r="C48" i="17" s="1"/>
  <c r="H938" i="42"/>
  <c r="C1005" i="42"/>
  <c r="C1093" i="42"/>
  <c r="C930" i="42"/>
  <c r="H1097" i="42"/>
  <c r="H1120" i="42"/>
  <c r="D946" i="42"/>
  <c r="C1022" i="42"/>
  <c r="D969" i="8"/>
  <c r="A1107" i="8"/>
  <c r="C1170" i="8"/>
  <c r="C1237" i="8"/>
  <c r="D854" i="42"/>
  <c r="H1028" i="42"/>
  <c r="C1023" i="42"/>
  <c r="G993" i="42"/>
  <c r="C938" i="8"/>
  <c r="A946" i="42"/>
  <c r="C999" i="42"/>
  <c r="C915" i="42"/>
  <c r="O50" i="33"/>
  <c r="O52" i="33"/>
  <c r="O54" i="33"/>
  <c r="O56" i="33"/>
  <c r="O58" i="33"/>
  <c r="O60" i="33"/>
  <c r="O62" i="33"/>
  <c r="O64" i="33"/>
  <c r="O66" i="33"/>
  <c r="O68" i="33"/>
  <c r="O70" i="33"/>
  <c r="C1445" i="8"/>
  <c r="AI19" i="33"/>
  <c r="AJ19" i="33"/>
  <c r="W14" i="33"/>
  <c r="A670" i="8"/>
  <c r="B57" i="17"/>
  <c r="C57" i="17" s="1"/>
  <c r="C654" i="8"/>
  <c r="H1008" i="8"/>
  <c r="H365" i="8"/>
  <c r="H961" i="8"/>
  <c r="H1284" i="8"/>
  <c r="H1212" i="8"/>
  <c r="B65" i="17"/>
  <c r="C65" i="17" s="1"/>
  <c r="H1304" i="8"/>
  <c r="H1168" i="8"/>
  <c r="H1373" i="8"/>
  <c r="H1261" i="8"/>
  <c r="H1005" i="8"/>
  <c r="H1030" i="8"/>
  <c r="H1169" i="8"/>
  <c r="H984" i="8"/>
  <c r="H1215" i="8"/>
  <c r="H1353" i="8"/>
  <c r="H1143" i="8"/>
  <c r="H1307" i="8"/>
  <c r="D1337" i="8"/>
  <c r="B44" i="17"/>
  <c r="C44" i="17" s="1"/>
  <c r="B49" i="17"/>
  <c r="C49" i="17" s="1"/>
  <c r="D1291" i="8"/>
  <c r="C815" i="42"/>
  <c r="D348" i="8"/>
  <c r="C616" i="42"/>
  <c r="C501" i="42"/>
  <c r="D579" i="42"/>
  <c r="D694" i="42"/>
  <c r="C1047" i="42"/>
  <c r="D878" i="42"/>
  <c r="H777" i="42"/>
  <c r="B62" i="17"/>
  <c r="C62" i="17" s="1"/>
  <c r="A647" i="8"/>
  <c r="H1306" i="8"/>
  <c r="H618" i="8"/>
  <c r="H1260" i="8"/>
  <c r="B63" i="17"/>
  <c r="C63" i="17" s="1"/>
  <c r="H1376" i="8"/>
  <c r="H1350" i="8"/>
  <c r="H480" i="8"/>
  <c r="H1123" i="8"/>
  <c r="H982" i="8"/>
  <c r="H959" i="8"/>
  <c r="H940" i="8"/>
  <c r="H1145" i="8"/>
  <c r="A1314" i="8"/>
  <c r="D1406" i="8"/>
  <c r="A1360" i="8"/>
  <c r="D1314" i="8"/>
  <c r="B28" i="17"/>
  <c r="B56" i="17"/>
  <c r="C56" i="17" s="1"/>
  <c r="C1307" i="8"/>
  <c r="C585" i="8"/>
  <c r="B21" i="17"/>
  <c r="D579" i="8"/>
  <c r="C401" i="8"/>
  <c r="C363" i="8"/>
  <c r="C593" i="42"/>
  <c r="C608" i="42"/>
  <c r="C654" i="42"/>
  <c r="B22" i="17"/>
  <c r="A325" i="8"/>
  <c r="C455" i="42"/>
  <c r="D509" i="42"/>
  <c r="D670" i="42"/>
  <c r="C1097" i="42"/>
  <c r="C928" i="42"/>
  <c r="C731" i="42"/>
  <c r="C1045" i="42"/>
  <c r="H1032" i="8"/>
  <c r="H1191" i="8"/>
  <c r="H1330" i="8"/>
  <c r="H1100" i="8"/>
  <c r="H1053" i="8"/>
  <c r="H1031" i="8"/>
  <c r="H1009" i="8"/>
  <c r="H1237" i="8"/>
  <c r="H1078" i="8"/>
  <c r="H1007" i="8"/>
  <c r="H938" i="8"/>
  <c r="H411" i="8"/>
  <c r="C1398" i="8"/>
  <c r="C1375" i="8"/>
  <c r="C1422" i="8"/>
  <c r="C1399" i="8"/>
  <c r="A1337" i="8"/>
  <c r="B27" i="17"/>
  <c r="B45" i="17"/>
  <c r="C45" i="17" s="1"/>
  <c r="D1268" i="8"/>
  <c r="C585" i="42"/>
  <c r="B18" i="17"/>
  <c r="A693" i="42"/>
  <c r="D555" i="42"/>
  <c r="C516" i="8"/>
  <c r="C378" i="42"/>
  <c r="D647" i="8"/>
  <c r="A649" i="8"/>
  <c r="H457" i="8"/>
  <c r="H1398" i="8"/>
  <c r="H1028" i="8"/>
  <c r="H1192" i="8"/>
  <c r="H1189" i="8"/>
  <c r="H1327" i="8"/>
  <c r="H1329" i="8"/>
  <c r="H1166" i="8"/>
  <c r="H1097" i="8"/>
  <c r="H963" i="8"/>
  <c r="H1422" i="8"/>
  <c r="H1077" i="8"/>
  <c r="H1235" i="8"/>
  <c r="C1376" i="8"/>
  <c r="C1331" i="8"/>
  <c r="C1400" i="8"/>
  <c r="C1377" i="8"/>
  <c r="A1383" i="8"/>
  <c r="B52" i="17"/>
  <c r="C52" i="17" s="1"/>
  <c r="B51" i="17"/>
  <c r="C51" i="17" s="1"/>
  <c r="A1291" i="8"/>
  <c r="A1268" i="8"/>
  <c r="C332" i="8"/>
  <c r="C424" i="42"/>
  <c r="D394" i="42"/>
  <c r="C386" i="8"/>
  <c r="D440" i="42"/>
  <c r="D463" i="8"/>
  <c r="A509" i="42"/>
  <c r="A555" i="42"/>
  <c r="C608" i="8"/>
  <c r="D395" i="42"/>
  <c r="C708" i="42"/>
  <c r="H961" i="42"/>
  <c r="G970" i="42"/>
  <c r="H731" i="42"/>
  <c r="D740" i="42"/>
  <c r="C217" i="8"/>
  <c r="AJ7" i="33"/>
  <c r="H21" i="33"/>
  <c r="S21" i="33" s="1"/>
  <c r="C685" i="8"/>
  <c r="D670" i="8"/>
  <c r="B61" i="17"/>
  <c r="C61" i="17" s="1"/>
  <c r="D671" i="8"/>
  <c r="B59" i="17"/>
  <c r="C59" i="17" s="1"/>
  <c r="B58" i="17"/>
  <c r="C58" i="17" s="1"/>
  <c r="W7" i="33"/>
  <c r="B64" i="17"/>
  <c r="C64" i="17" s="1"/>
  <c r="A672" i="8"/>
  <c r="B60" i="17"/>
  <c r="C60" i="17" s="1"/>
  <c r="C662" i="8"/>
  <c r="G1316" i="8"/>
  <c r="O48" i="33"/>
  <c r="AJ12" i="33"/>
  <c r="I19" i="33"/>
  <c r="J19" i="33"/>
  <c r="K19" i="33"/>
  <c r="M19" i="33"/>
  <c r="H19" i="33"/>
  <c r="S19" i="33" s="1"/>
  <c r="H1445" i="8"/>
  <c r="H687" i="8"/>
  <c r="C1446" i="8"/>
  <c r="AJ21" i="33"/>
  <c r="A695" i="8"/>
  <c r="AJ20" i="33"/>
  <c r="A693" i="8"/>
  <c r="H710" i="8"/>
  <c r="H1442" i="8"/>
  <c r="AI23" i="33"/>
  <c r="D693" i="8"/>
  <c r="A1429" i="8"/>
  <c r="D1429" i="8"/>
  <c r="C1444" i="8"/>
  <c r="H16" i="33"/>
  <c r="S16" i="33" s="1"/>
  <c r="C708" i="8"/>
  <c r="H1444" i="8"/>
  <c r="D694" i="8"/>
  <c r="C700" i="8"/>
  <c r="H708" i="8"/>
  <c r="A833" i="42"/>
  <c r="A810" i="42"/>
  <c r="A925" i="42"/>
  <c r="O45" i="33"/>
  <c r="O47" i="33"/>
  <c r="A741" i="42"/>
  <c r="G84" i="33"/>
  <c r="AE84" i="33"/>
  <c r="D35" i="17" l="1"/>
  <c r="E35" i="17"/>
  <c r="E41" i="17"/>
  <c r="C41" i="17"/>
  <c r="D41" i="17"/>
  <c r="Y46" i="33"/>
  <c r="G1730" i="8"/>
  <c r="I1728" i="8"/>
  <c r="Y79" i="33"/>
  <c r="Y78" i="33"/>
  <c r="Y77" i="33"/>
  <c r="Y76" i="33"/>
  <c r="G1707" i="8"/>
  <c r="I1705" i="8"/>
  <c r="G925" i="8"/>
  <c r="N44" i="33"/>
  <c r="AK44" i="33" s="1"/>
  <c r="P44" i="33"/>
  <c r="N43" i="33"/>
  <c r="AK43" i="33"/>
  <c r="P43" i="33"/>
  <c r="P42" i="33"/>
  <c r="N42" i="33"/>
  <c r="AK42" i="33" s="1"/>
  <c r="I946" i="42"/>
  <c r="H108" i="8"/>
  <c r="Q65" i="33"/>
  <c r="T65" i="33" s="1"/>
  <c r="Y65" i="33" s="1"/>
  <c r="I1291" i="8"/>
  <c r="H547" i="8"/>
  <c r="H547" i="42"/>
  <c r="A189" i="8"/>
  <c r="A166" i="8"/>
  <c r="H133" i="8"/>
  <c r="H340" i="8"/>
  <c r="H294" i="8"/>
  <c r="H248" i="8"/>
  <c r="G1293" i="8"/>
  <c r="H110" i="8"/>
  <c r="H156" i="8"/>
  <c r="H317" i="8"/>
  <c r="H363" i="8"/>
  <c r="H271" i="8"/>
  <c r="C53" i="8"/>
  <c r="H892" i="42"/>
  <c r="H432" i="42"/>
  <c r="H432" i="8"/>
  <c r="N6" i="33"/>
  <c r="P6" i="33"/>
  <c r="G1270" i="8"/>
  <c r="I1015" i="8"/>
  <c r="G1431" i="8"/>
  <c r="I1429" i="8"/>
  <c r="C25" i="17"/>
  <c r="D25" i="17"/>
  <c r="E25" i="17"/>
  <c r="C24" i="17"/>
  <c r="D24" i="17"/>
  <c r="E24" i="17"/>
  <c r="C860" i="8"/>
  <c r="H846" i="8"/>
  <c r="H915" i="42"/>
  <c r="C882" i="8"/>
  <c r="C881" i="8"/>
  <c r="H890" i="8"/>
  <c r="C885" i="8"/>
  <c r="I1038" i="8"/>
  <c r="G1040" i="8"/>
  <c r="Q66" i="33"/>
  <c r="G1385" i="8"/>
  <c r="I1498" i="8"/>
  <c r="G1132" i="8"/>
  <c r="H1098" i="42"/>
  <c r="G1086" i="8"/>
  <c r="I1590" i="8"/>
  <c r="G1569" i="8"/>
  <c r="G1454" i="8"/>
  <c r="G1408" i="8"/>
  <c r="N39" i="33"/>
  <c r="P39" i="33"/>
  <c r="AK39" i="33"/>
  <c r="G1592" i="8"/>
  <c r="I1383" i="8"/>
  <c r="Q81" i="33"/>
  <c r="G1638" i="8"/>
  <c r="I1636" i="8"/>
  <c r="P38" i="33"/>
  <c r="N38" i="33"/>
  <c r="AK38" i="33" s="1"/>
  <c r="I1130" i="8"/>
  <c r="I1268" i="8"/>
  <c r="G1362" i="8"/>
  <c r="I1659" i="8"/>
  <c r="I1199" i="8"/>
  <c r="C883" i="8"/>
  <c r="C859" i="8"/>
  <c r="C858" i="8"/>
  <c r="C862" i="8"/>
  <c r="Q62" i="33"/>
  <c r="I1314" i="8"/>
  <c r="Q51" i="33"/>
  <c r="H1075" i="42"/>
  <c r="Q69" i="33"/>
  <c r="T69" i="33" s="1"/>
  <c r="Y69" i="33" s="1"/>
  <c r="G1477" i="8"/>
  <c r="I1521" i="8"/>
  <c r="G1523" i="8"/>
  <c r="H1006" i="42"/>
  <c r="G994" i="8"/>
  <c r="Q47" i="33"/>
  <c r="H983" i="42"/>
  <c r="H844" i="8"/>
  <c r="H867" i="8"/>
  <c r="I1475" i="8"/>
  <c r="Q56" i="33"/>
  <c r="G1155" i="8"/>
  <c r="I1153" i="8"/>
  <c r="Q54" i="33"/>
  <c r="H1121" i="42"/>
  <c r="I1107" i="8"/>
  <c r="G1109" i="8"/>
  <c r="G948" i="8"/>
  <c r="G948" i="42"/>
  <c r="Q73" i="33"/>
  <c r="G1546" i="8"/>
  <c r="Q80" i="33"/>
  <c r="G1615" i="8"/>
  <c r="I1613" i="8"/>
  <c r="Q45" i="33"/>
  <c r="G925" i="42"/>
  <c r="I1245" i="8"/>
  <c r="G1247" i="8"/>
  <c r="H869" i="8"/>
  <c r="H869" i="42"/>
  <c r="H1052" i="42"/>
  <c r="I992" i="8"/>
  <c r="I1452" i="8"/>
  <c r="G1661" i="8"/>
  <c r="I1222" i="8"/>
  <c r="I1084" i="8"/>
  <c r="Q53" i="33"/>
  <c r="Q49" i="33"/>
  <c r="I969" i="8"/>
  <c r="Q74" i="33"/>
  <c r="I1544" i="8"/>
  <c r="I1567" i="8"/>
  <c r="Q75" i="33"/>
  <c r="Q68" i="33"/>
  <c r="I1406" i="8"/>
  <c r="T82" i="33"/>
  <c r="Y82" i="33" s="1"/>
  <c r="G971" i="8"/>
  <c r="Q48" i="33"/>
  <c r="I946" i="8"/>
  <c r="I1360" i="8"/>
  <c r="G1339" i="8"/>
  <c r="Q60" i="33"/>
  <c r="J1246" i="8" s="1"/>
  <c r="G1224" i="8"/>
  <c r="T63" i="33"/>
  <c r="Y63" i="33" s="1"/>
  <c r="T59" i="33"/>
  <c r="Y59" i="33" s="1"/>
  <c r="T57" i="33"/>
  <c r="Y57" i="33" s="1"/>
  <c r="T55" i="33"/>
  <c r="Y55" i="33" s="1"/>
  <c r="N36" i="33"/>
  <c r="AK36" i="33" s="1"/>
  <c r="P36" i="33"/>
  <c r="Q64" i="33"/>
  <c r="I1337" i="8"/>
  <c r="Q71" i="33"/>
  <c r="G1500" i="8"/>
  <c r="T72" i="33"/>
  <c r="Y72" i="33" s="1"/>
  <c r="I1176" i="8"/>
  <c r="G1178" i="8"/>
  <c r="Q50" i="33"/>
  <c r="H1029" i="42"/>
  <c r="G1017" i="8"/>
  <c r="Q52" i="33"/>
  <c r="T52" i="33" s="1"/>
  <c r="Y52" i="33" s="1"/>
  <c r="Z52" i="33" s="1"/>
  <c r="AG52" i="33" s="1"/>
  <c r="AH52" i="33" s="1"/>
  <c r="G1063" i="8"/>
  <c r="I1061" i="8"/>
  <c r="Q58" i="33"/>
  <c r="G1201" i="8"/>
  <c r="T70" i="33"/>
  <c r="Y70" i="33" s="1"/>
  <c r="Z70" i="33" s="1"/>
  <c r="AG70" i="33" s="1"/>
  <c r="AH70" i="33" s="1"/>
  <c r="I1682" i="8"/>
  <c r="G1684" i="8"/>
  <c r="Q83" i="33"/>
  <c r="I923" i="8"/>
  <c r="I923" i="42"/>
  <c r="G28" i="8"/>
  <c r="I26" i="8"/>
  <c r="O41" i="33"/>
  <c r="Q41" i="33"/>
  <c r="O40" i="33"/>
  <c r="Q40" i="33"/>
  <c r="Q37" i="33"/>
  <c r="O37" i="33"/>
  <c r="Q35" i="33"/>
  <c r="O35" i="33"/>
  <c r="I716" i="42"/>
  <c r="G718" i="42"/>
  <c r="G718" i="8"/>
  <c r="I716" i="8"/>
  <c r="Q34" i="33"/>
  <c r="O34" i="33"/>
  <c r="N30" i="33"/>
  <c r="P30" i="33"/>
  <c r="P24" i="33"/>
  <c r="N24" i="33"/>
  <c r="N20" i="33"/>
  <c r="P20" i="33"/>
  <c r="N21" i="33"/>
  <c r="P21" i="33"/>
  <c r="P26" i="33"/>
  <c r="N26" i="33"/>
  <c r="P17" i="33"/>
  <c r="N17" i="33"/>
  <c r="P18" i="33"/>
  <c r="N18" i="33"/>
  <c r="N19" i="33"/>
  <c r="P19" i="33"/>
  <c r="P23" i="33"/>
  <c r="N23" i="33"/>
  <c r="Q13" i="33"/>
  <c r="N41" i="33"/>
  <c r="N40" i="33"/>
  <c r="N37" i="33"/>
  <c r="N14" i="33"/>
  <c r="N12" i="33"/>
  <c r="N7" i="33"/>
  <c r="C35" i="8" s="1"/>
  <c r="J38" i="8" s="1"/>
  <c r="N35" i="33"/>
  <c r="N16" i="33"/>
  <c r="N15" i="33"/>
  <c r="AK15" i="33" s="1"/>
  <c r="N13" i="33"/>
  <c r="N11" i="33"/>
  <c r="N10" i="33"/>
  <c r="N9" i="33"/>
  <c r="N8" i="33"/>
  <c r="N25" i="33"/>
  <c r="N32" i="33"/>
  <c r="N28" i="33"/>
  <c r="AK22" i="33"/>
  <c r="N22" i="33"/>
  <c r="N34" i="33"/>
  <c r="C656" i="8" s="1"/>
  <c r="N33" i="33"/>
  <c r="N29" i="33"/>
  <c r="N27" i="33"/>
  <c r="H1673" i="8"/>
  <c r="J1660" i="8"/>
  <c r="H662" i="42"/>
  <c r="H662" i="8"/>
  <c r="H570" i="42"/>
  <c r="H570" i="8"/>
  <c r="D72" i="17"/>
  <c r="E72" i="17"/>
  <c r="C72" i="17"/>
  <c r="C77" i="17"/>
  <c r="E77" i="17"/>
  <c r="D77" i="17"/>
  <c r="C78" i="17"/>
  <c r="E78" i="17"/>
  <c r="D78" i="17"/>
  <c r="H616" i="42"/>
  <c r="H616" i="8"/>
  <c r="C606" i="8"/>
  <c r="C100" i="8"/>
  <c r="C78" i="8"/>
  <c r="H85" i="8"/>
  <c r="C77" i="8"/>
  <c r="H338" i="8"/>
  <c r="C329" i="8"/>
  <c r="A212" i="8"/>
  <c r="C284" i="8"/>
  <c r="H685" i="8"/>
  <c r="H685" i="42"/>
  <c r="H386" i="42"/>
  <c r="H386" i="8"/>
  <c r="H409" i="42"/>
  <c r="H409" i="8"/>
  <c r="H455" i="42"/>
  <c r="H455" i="8"/>
  <c r="H478" i="42"/>
  <c r="H478" i="8"/>
  <c r="H593" i="42"/>
  <c r="H593" i="8"/>
  <c r="H639" i="42"/>
  <c r="H639" i="8"/>
  <c r="H501" i="8"/>
  <c r="H501" i="42"/>
  <c r="H87" i="8"/>
  <c r="H64" i="8"/>
  <c r="C674" i="42"/>
  <c r="C310" i="8"/>
  <c r="G1637" i="8"/>
  <c r="C1387" i="8"/>
  <c r="J1395" i="8" s="1"/>
  <c r="G1614" i="8"/>
  <c r="G1499" i="8"/>
  <c r="C721" i="8"/>
  <c r="C333" i="8"/>
  <c r="H292" i="8"/>
  <c r="C652" i="42"/>
  <c r="C103" i="8"/>
  <c r="C813" i="8"/>
  <c r="C308" i="8"/>
  <c r="H200" i="8"/>
  <c r="H361" i="8"/>
  <c r="H154" i="8"/>
  <c r="C352" i="8"/>
  <c r="C195" i="8"/>
  <c r="E40" i="17"/>
  <c r="D40" i="17"/>
  <c r="C40" i="17"/>
  <c r="C126" i="8"/>
  <c r="C124" i="8"/>
  <c r="C816" i="8"/>
  <c r="C812" i="8"/>
  <c r="C814" i="8"/>
  <c r="C123" i="8"/>
  <c r="C122" i="8"/>
  <c r="C145" i="8"/>
  <c r="C146" i="8"/>
  <c r="C330" i="8"/>
  <c r="C331" i="8"/>
  <c r="C492" i="42"/>
  <c r="C285" i="8"/>
  <c r="C101" i="8"/>
  <c r="H315" i="8"/>
  <c r="C629" i="42"/>
  <c r="C147" i="8"/>
  <c r="C287" i="8"/>
  <c r="C307" i="8"/>
  <c r="C80" i="8"/>
  <c r="C149" i="8"/>
  <c r="C283" i="8"/>
  <c r="C306" i="8"/>
  <c r="H453" i="42"/>
  <c r="C99" i="8"/>
  <c r="C76" i="8"/>
  <c r="H225" i="8"/>
  <c r="H202" i="8"/>
  <c r="C34" i="17"/>
  <c r="E34" i="17"/>
  <c r="D34" i="17"/>
  <c r="C1341" i="8"/>
  <c r="J1349" i="8" s="1"/>
  <c r="C490" i="42"/>
  <c r="H821" i="8"/>
  <c r="C885" i="42"/>
  <c r="C908" i="42"/>
  <c r="C882" i="42"/>
  <c r="C905" i="42"/>
  <c r="C1019" i="8"/>
  <c r="J1027" i="8" s="1"/>
  <c r="C1020" i="42"/>
  <c r="J1027" i="42" s="1"/>
  <c r="D6" i="17"/>
  <c r="L6" i="17"/>
  <c r="C862" i="42"/>
  <c r="C859" i="42"/>
  <c r="C609" i="8"/>
  <c r="C421" i="8"/>
  <c r="C425" i="8"/>
  <c r="C881" i="42"/>
  <c r="C724" i="8"/>
  <c r="G1476" i="8"/>
  <c r="C883" i="42"/>
  <c r="C860" i="42"/>
  <c r="C858" i="42"/>
  <c r="H867" i="42"/>
  <c r="C491" i="42"/>
  <c r="C1824" i="8"/>
  <c r="C494" i="8"/>
  <c r="H476" i="42"/>
  <c r="C698" i="42"/>
  <c r="C698" i="8"/>
  <c r="C839" i="42"/>
  <c r="C837" i="42"/>
  <c r="C836" i="42"/>
  <c r="C814" i="42"/>
  <c r="C791" i="8"/>
  <c r="C1525" i="8"/>
  <c r="J1533" i="8" s="1"/>
  <c r="C1479" i="8"/>
  <c r="C1502" i="8"/>
  <c r="H844" i="42"/>
  <c r="C377" i="8"/>
  <c r="C354" i="8"/>
  <c r="C1801" i="8"/>
  <c r="J1809" i="8" s="1"/>
  <c r="C1686" i="8"/>
  <c r="J1694" i="8" s="1"/>
  <c r="C1663" i="8"/>
  <c r="J1671" i="8" s="1"/>
  <c r="C1640" i="8"/>
  <c r="C1157" i="8"/>
  <c r="J1165" i="8" s="1"/>
  <c r="H890" i="42"/>
  <c r="H913" i="42"/>
  <c r="C974" i="42"/>
  <c r="J981" i="42" s="1"/>
  <c r="C1066" i="42"/>
  <c r="J1073" i="42" s="1"/>
  <c r="H775" i="8"/>
  <c r="C766" i="8"/>
  <c r="C789" i="8"/>
  <c r="C1272" i="8"/>
  <c r="J1280" i="8" s="1"/>
  <c r="C770" i="8"/>
  <c r="C582" i="42"/>
  <c r="C904" i="42"/>
  <c r="C1364" i="8"/>
  <c r="J1372" i="8" s="1"/>
  <c r="H614" i="8"/>
  <c r="C586" i="42"/>
  <c r="C444" i="42"/>
  <c r="C1180" i="8"/>
  <c r="J1188" i="8" s="1"/>
  <c r="C996" i="8"/>
  <c r="J1004" i="8" s="1"/>
  <c r="C1318" i="8"/>
  <c r="J1326" i="8" s="1"/>
  <c r="H591" i="8"/>
  <c r="C379" i="42"/>
  <c r="C609" i="42"/>
  <c r="H752" i="8"/>
  <c r="C584" i="42"/>
  <c r="C398" i="42"/>
  <c r="G1568" i="8"/>
  <c r="H729" i="8"/>
  <c r="C720" i="8"/>
  <c r="C448" i="42"/>
  <c r="C1410" i="8"/>
  <c r="J1418" i="8" s="1"/>
  <c r="C1042" i="8"/>
  <c r="J1050" i="8" s="1"/>
  <c r="G1683" i="8"/>
  <c r="G1453" i="8"/>
  <c r="C1617" i="8"/>
  <c r="C1571" i="8"/>
  <c r="C1778" i="8"/>
  <c r="J1786" i="8" s="1"/>
  <c r="C1732" i="8"/>
  <c r="C1594" i="8"/>
  <c r="J1602" i="8" s="1"/>
  <c r="C1548" i="8"/>
  <c r="J1556" i="8" s="1"/>
  <c r="C1755" i="8"/>
  <c r="C1709" i="8"/>
  <c r="J1717" i="8" s="1"/>
  <c r="C446" i="8"/>
  <c r="C446" i="42"/>
  <c r="C423" i="8"/>
  <c r="C400" i="8"/>
  <c r="C400" i="42"/>
  <c r="C376" i="42"/>
  <c r="C353" i="8"/>
  <c r="C561" i="8"/>
  <c r="C583" i="8"/>
  <c r="C745" i="8"/>
  <c r="C632" i="42"/>
  <c r="C653" i="8"/>
  <c r="C651" i="8"/>
  <c r="H637" i="42"/>
  <c r="C607" i="8"/>
  <c r="C628" i="8"/>
  <c r="C630" i="8"/>
  <c r="C1249" i="8"/>
  <c r="J1257" i="8" s="1"/>
  <c r="G1591" i="8"/>
  <c r="G1545" i="8"/>
  <c r="C515" i="42"/>
  <c r="G1522" i="8"/>
  <c r="G1775" i="8"/>
  <c r="C517" i="42"/>
  <c r="C513" i="8"/>
  <c r="G1706" i="8"/>
  <c r="G1660" i="8"/>
  <c r="G1798" i="8"/>
  <c r="C66" i="17"/>
  <c r="E66" i="17"/>
  <c r="D66" i="17"/>
  <c r="C68" i="17"/>
  <c r="E68" i="17"/>
  <c r="D68" i="17"/>
  <c r="C70" i="17"/>
  <c r="D70" i="17"/>
  <c r="E70" i="17"/>
  <c r="C79" i="17"/>
  <c r="D79" i="17"/>
  <c r="E79" i="17"/>
  <c r="C29" i="17"/>
  <c r="D29" i="17"/>
  <c r="E29" i="17"/>
  <c r="C32" i="17"/>
  <c r="E32" i="17"/>
  <c r="D32" i="17"/>
  <c r="C69" i="17"/>
  <c r="D69" i="17"/>
  <c r="E69" i="17"/>
  <c r="C80" i="17"/>
  <c r="D80" i="17"/>
  <c r="E80" i="17"/>
  <c r="C30" i="17"/>
  <c r="D30" i="17"/>
  <c r="E30" i="17"/>
  <c r="C31" i="17"/>
  <c r="D31" i="17"/>
  <c r="E31" i="17"/>
  <c r="C33" i="17"/>
  <c r="D33" i="17"/>
  <c r="E33" i="17"/>
  <c r="C67" i="17"/>
  <c r="E67" i="17"/>
  <c r="D67" i="17"/>
  <c r="C71" i="17"/>
  <c r="E71" i="17"/>
  <c r="D71" i="17"/>
  <c r="C1456" i="8"/>
  <c r="J1464" i="8" s="1"/>
  <c r="C1433" i="8"/>
  <c r="J1441" i="8" s="1"/>
  <c r="C950" i="8"/>
  <c r="J958" i="8" s="1"/>
  <c r="C1065" i="8"/>
  <c r="J1073" i="8" s="1"/>
  <c r="C675" i="42"/>
  <c r="C744" i="8"/>
  <c r="D54" i="17"/>
  <c r="C54" i="17"/>
  <c r="C652" i="8"/>
  <c r="C790" i="8"/>
  <c r="C791" i="42"/>
  <c r="C768" i="8"/>
  <c r="C722" i="42"/>
  <c r="C722" i="8"/>
  <c r="C724" i="42"/>
  <c r="H798" i="8"/>
  <c r="C770" i="42"/>
  <c r="C747" i="8"/>
  <c r="D53" i="17"/>
  <c r="C53" i="17"/>
  <c r="C816" i="42"/>
  <c r="C793" i="8"/>
  <c r="C674" i="8"/>
  <c r="C743" i="8"/>
  <c r="C721" i="42"/>
  <c r="C767" i="8"/>
  <c r="C767" i="42"/>
  <c r="C744" i="42"/>
  <c r="H683" i="42"/>
  <c r="C632" i="8"/>
  <c r="G1384" i="8"/>
  <c r="G1085" i="8"/>
  <c r="C747" i="42"/>
  <c r="C676" i="8"/>
  <c r="C678" i="8"/>
  <c r="H798" i="42"/>
  <c r="G1269" i="8"/>
  <c r="C1295" i="8"/>
  <c r="J1303" i="8" s="1"/>
  <c r="C745" i="42"/>
  <c r="C697" i="42"/>
  <c r="G1017" i="42"/>
  <c r="H706" i="8"/>
  <c r="G1246" i="8"/>
  <c r="C1111" i="8"/>
  <c r="J1119" i="8" s="1"/>
  <c r="C1203" i="8"/>
  <c r="J1211" i="8" s="1"/>
  <c r="C720" i="42"/>
  <c r="C699" i="42"/>
  <c r="C768" i="42"/>
  <c r="C1112" i="42"/>
  <c r="J1119" i="42" s="1"/>
  <c r="H775" i="42"/>
  <c r="G1430" i="8"/>
  <c r="H752" i="42"/>
  <c r="H821" i="42"/>
  <c r="C701" i="42"/>
  <c r="H729" i="42"/>
  <c r="K13" i="33"/>
  <c r="J13" i="33"/>
  <c r="C701" i="8"/>
  <c r="A258" i="8"/>
  <c r="I1084" i="42"/>
  <c r="D4" i="17"/>
  <c r="C4" i="17"/>
  <c r="C790" i="42"/>
  <c r="C583" i="42"/>
  <c r="C561" i="42"/>
  <c r="C699" i="8"/>
  <c r="C651" i="42"/>
  <c r="H591" i="42"/>
  <c r="C586" i="8"/>
  <c r="C678" i="42"/>
  <c r="H13" i="33"/>
  <c r="S13" i="33" s="1"/>
  <c r="M13" i="33"/>
  <c r="C172" i="8" s="1"/>
  <c r="C675" i="8"/>
  <c r="G1315" i="8"/>
  <c r="C697" i="8"/>
  <c r="E3" i="17"/>
  <c r="C743" i="42"/>
  <c r="G1200" i="8"/>
  <c r="C676" i="42"/>
  <c r="C379" i="8"/>
  <c r="C3" i="17"/>
  <c r="C1089" i="42"/>
  <c r="J1096" i="42" s="1"/>
  <c r="C607" i="42"/>
  <c r="I13" i="33"/>
  <c r="C997" i="42"/>
  <c r="J1004" i="42" s="1"/>
  <c r="C1043" i="42"/>
  <c r="J1050" i="42" s="1"/>
  <c r="C1088" i="8"/>
  <c r="J1096" i="8" s="1"/>
  <c r="C1226" i="8"/>
  <c r="J1234" i="8" s="1"/>
  <c r="H706" i="42"/>
  <c r="G1086" i="42"/>
  <c r="G1407" i="8"/>
  <c r="C653" i="42"/>
  <c r="H614" i="42"/>
  <c r="E47" i="17"/>
  <c r="C655" i="8"/>
  <c r="H683" i="8"/>
  <c r="G1223" i="8"/>
  <c r="C1134" i="8"/>
  <c r="J1142" i="8" s="1"/>
  <c r="G1063" i="42"/>
  <c r="C793" i="42"/>
  <c r="G970" i="8"/>
  <c r="H660" i="42"/>
  <c r="G1338" i="8"/>
  <c r="C973" i="8"/>
  <c r="J981" i="8" s="1"/>
  <c r="G1154" i="8"/>
  <c r="I969" i="42"/>
  <c r="G1016" i="8"/>
  <c r="C813" i="42"/>
  <c r="C448" i="8"/>
  <c r="C6" i="17"/>
  <c r="D11" i="17"/>
  <c r="E6" i="17"/>
  <c r="C8" i="17"/>
  <c r="H453" i="8"/>
  <c r="H660" i="8"/>
  <c r="C655" i="42"/>
  <c r="H131" i="8"/>
  <c r="C629" i="8"/>
  <c r="C584" i="8"/>
  <c r="C398" i="8"/>
  <c r="H568" i="42"/>
  <c r="H545" i="42"/>
  <c r="H637" i="8"/>
  <c r="C606" i="42"/>
  <c r="C582" i="8"/>
  <c r="C630" i="42"/>
  <c r="C444" i="8"/>
  <c r="C377" i="42"/>
  <c r="C513" i="42"/>
  <c r="C605" i="8"/>
  <c r="C628" i="42"/>
  <c r="H407" i="8"/>
  <c r="H407" i="42"/>
  <c r="C517" i="8"/>
  <c r="C445" i="42"/>
  <c r="H522" i="8"/>
  <c r="C402" i="8"/>
  <c r="C491" i="8"/>
  <c r="H499" i="8"/>
  <c r="J1039" i="42"/>
  <c r="C950" i="42"/>
  <c r="J958" i="42" s="1"/>
  <c r="E8" i="17"/>
  <c r="C490" i="8"/>
  <c r="C492" i="8"/>
  <c r="G1177" i="8"/>
  <c r="C356" i="8"/>
  <c r="C376" i="8"/>
  <c r="C7" i="17"/>
  <c r="H522" i="42"/>
  <c r="G1361" i="8"/>
  <c r="I1015" i="42"/>
  <c r="C494" i="42"/>
  <c r="C425" i="42"/>
  <c r="C421" i="42"/>
  <c r="C399" i="42"/>
  <c r="C423" i="42"/>
  <c r="H499" i="42"/>
  <c r="C399" i="8"/>
  <c r="G1131" i="8"/>
  <c r="D7" i="17"/>
  <c r="A992" i="42"/>
  <c r="A1061" i="42"/>
  <c r="A969" i="42"/>
  <c r="E9" i="17"/>
  <c r="D9" i="17"/>
  <c r="C9" i="17"/>
  <c r="D23" i="17"/>
  <c r="E23" i="17"/>
  <c r="D20" i="17"/>
  <c r="C20" i="17"/>
  <c r="H430" i="8"/>
  <c r="H430" i="42"/>
  <c r="C15" i="17"/>
  <c r="E16" i="17"/>
  <c r="D16" i="17"/>
  <c r="D13" i="17"/>
  <c r="C13" i="17"/>
  <c r="E13" i="17"/>
  <c r="C515" i="8"/>
  <c r="C5" i="17"/>
  <c r="D5" i="17"/>
  <c r="E5" i="17"/>
  <c r="D15" i="17"/>
  <c r="D46" i="17"/>
  <c r="E46" i="17"/>
  <c r="D43" i="17"/>
  <c r="E43" i="17"/>
  <c r="E14" i="17"/>
  <c r="D14" i="17"/>
  <c r="C14" i="17"/>
  <c r="J27" i="8"/>
  <c r="H40" i="8"/>
  <c r="D12" i="17"/>
  <c r="E12" i="17"/>
  <c r="C12" i="17"/>
  <c r="C445" i="8"/>
  <c r="C16" i="17"/>
  <c r="C26" i="17"/>
  <c r="D26" i="17"/>
  <c r="C402" i="42"/>
  <c r="H545" i="8"/>
  <c r="A1107" i="42"/>
  <c r="C23" i="17"/>
  <c r="D47" i="17"/>
  <c r="C19" i="17"/>
  <c r="E19" i="17"/>
  <c r="D19" i="17"/>
  <c r="C605" i="42"/>
  <c r="E11" i="17"/>
  <c r="E17" i="17"/>
  <c r="D17" i="17"/>
  <c r="C17" i="17"/>
  <c r="D10" i="17"/>
  <c r="C10" i="17"/>
  <c r="E10" i="17"/>
  <c r="G971" i="42"/>
  <c r="G1292" i="8"/>
  <c r="J1085" i="42"/>
  <c r="Y61" i="33"/>
  <c r="E50" i="17"/>
  <c r="D50" i="17"/>
  <c r="E53" i="17"/>
  <c r="E55" i="17"/>
  <c r="D55" i="17"/>
  <c r="J1016" i="42"/>
  <c r="A1015" i="42"/>
  <c r="Y67" i="33"/>
  <c r="D48" i="17"/>
  <c r="E48" i="17"/>
  <c r="E54" i="17"/>
  <c r="C57" i="8"/>
  <c r="C766" i="42"/>
  <c r="C21" i="17"/>
  <c r="D21" i="17"/>
  <c r="E21" i="17"/>
  <c r="C471" i="42"/>
  <c r="C471" i="8"/>
  <c r="E62" i="17"/>
  <c r="D62" i="17"/>
  <c r="C469" i="8"/>
  <c r="C469" i="42"/>
  <c r="C538" i="8"/>
  <c r="C538" i="42"/>
  <c r="C563" i="8"/>
  <c r="C563" i="42"/>
  <c r="C560" i="42"/>
  <c r="C560" i="8"/>
  <c r="C468" i="42"/>
  <c r="C468" i="8"/>
  <c r="C537" i="8"/>
  <c r="C537" i="42"/>
  <c r="D65" i="17"/>
  <c r="E65" i="17"/>
  <c r="C422" i="8"/>
  <c r="C422" i="42"/>
  <c r="H62" i="8"/>
  <c r="E60" i="17"/>
  <c r="D60" i="17"/>
  <c r="D18" i="17"/>
  <c r="C18" i="17"/>
  <c r="E18" i="17"/>
  <c r="C514" i="8"/>
  <c r="C514" i="42"/>
  <c r="C467" i="42"/>
  <c r="C467" i="8"/>
  <c r="D58" i="17"/>
  <c r="E58" i="17"/>
  <c r="C559" i="8"/>
  <c r="C559" i="42"/>
  <c r="C536" i="8"/>
  <c r="C536" i="42"/>
  <c r="H476" i="8"/>
  <c r="D45" i="17"/>
  <c r="E45" i="17"/>
  <c r="H568" i="8"/>
  <c r="E61" i="17"/>
  <c r="D61" i="17"/>
  <c r="D44" i="17"/>
  <c r="E44" i="17"/>
  <c r="C55" i="8"/>
  <c r="H384" i="42"/>
  <c r="C54" i="8"/>
  <c r="D59" i="17"/>
  <c r="E59" i="17"/>
  <c r="D51" i="17"/>
  <c r="E51" i="17"/>
  <c r="E27" i="17"/>
  <c r="C27" i="17"/>
  <c r="D27" i="17"/>
  <c r="E63" i="17"/>
  <c r="D63" i="17"/>
  <c r="E28" i="17"/>
  <c r="C28" i="17"/>
  <c r="D28" i="17"/>
  <c r="E57" i="17"/>
  <c r="D57" i="17"/>
  <c r="C375" i="8"/>
  <c r="C375" i="42"/>
  <c r="H18" i="8"/>
  <c r="D64" i="17"/>
  <c r="E64" i="17"/>
  <c r="C540" i="42"/>
  <c r="C540" i="8"/>
  <c r="D52" i="17"/>
  <c r="E52" i="17"/>
  <c r="E22" i="17"/>
  <c r="D22" i="17"/>
  <c r="C22" i="17"/>
  <c r="E56" i="17"/>
  <c r="D56" i="17"/>
  <c r="E49" i="17"/>
  <c r="D49" i="17"/>
  <c r="H384" i="8"/>
  <c r="C812" i="42"/>
  <c r="G1062" i="8"/>
  <c r="G1108" i="8"/>
  <c r="G1109" i="42"/>
  <c r="I1107" i="42"/>
  <c r="I1061" i="42"/>
  <c r="G993" i="8"/>
  <c r="G994" i="42"/>
  <c r="I992" i="42"/>
  <c r="G924" i="42"/>
  <c r="G924" i="8"/>
  <c r="C927" i="8"/>
  <c r="C927" i="42"/>
  <c r="G1039" i="8"/>
  <c r="I1038" i="42"/>
  <c r="G1040" i="42"/>
  <c r="G947" i="42"/>
  <c r="G947" i="8"/>
  <c r="C789" i="42"/>
  <c r="C835" i="42"/>
  <c r="U84" i="33"/>
  <c r="K84" i="33"/>
  <c r="J84" i="33"/>
  <c r="M84" i="33"/>
  <c r="I84" i="33"/>
  <c r="N84" i="33"/>
  <c r="Z46" i="33" l="1"/>
  <c r="AG46" i="33"/>
  <c r="AH46" i="33" s="1"/>
  <c r="T81" i="33"/>
  <c r="Y81" i="33" s="1"/>
  <c r="H1742" i="8"/>
  <c r="J1729" i="8"/>
  <c r="J1775" i="8"/>
  <c r="H1788" i="8"/>
  <c r="Z79" i="33"/>
  <c r="AG79" i="33"/>
  <c r="AH79" i="33" s="1"/>
  <c r="Z78" i="33"/>
  <c r="AG78" i="33"/>
  <c r="AH78" i="33" s="1"/>
  <c r="Z77" i="33"/>
  <c r="AG77" i="33"/>
  <c r="AH77" i="33" s="1"/>
  <c r="Z76" i="33"/>
  <c r="AG76" i="33"/>
  <c r="AH76" i="33" s="1"/>
  <c r="H1765" i="8"/>
  <c r="J1752" i="8"/>
  <c r="I3" i="8"/>
  <c r="G5" i="8"/>
  <c r="Q44" i="33"/>
  <c r="O44" i="33"/>
  <c r="Q43" i="33"/>
  <c r="H891" i="8" s="1"/>
  <c r="O43" i="33"/>
  <c r="Q42" i="33"/>
  <c r="T42" i="33" s="1"/>
  <c r="O42" i="33"/>
  <c r="G902" i="42"/>
  <c r="I900" i="42"/>
  <c r="G879" i="42"/>
  <c r="I877" i="42"/>
  <c r="I877" i="8"/>
  <c r="G879" i="8"/>
  <c r="H1236" i="8"/>
  <c r="J1108" i="8"/>
  <c r="C564" i="8"/>
  <c r="J567" i="8" s="1"/>
  <c r="C193" i="8"/>
  <c r="C170" i="8"/>
  <c r="J1131" i="8"/>
  <c r="H937" i="8"/>
  <c r="C192" i="8"/>
  <c r="C169" i="8"/>
  <c r="H223" i="8"/>
  <c r="H177" i="8"/>
  <c r="C191" i="8"/>
  <c r="C168" i="8"/>
  <c r="C633" i="42"/>
  <c r="J636" i="42" s="1"/>
  <c r="C472" i="8"/>
  <c r="J475" i="8" s="1"/>
  <c r="C403" i="42"/>
  <c r="J406" i="42" s="1"/>
  <c r="C357" i="8"/>
  <c r="J360" i="8" s="1"/>
  <c r="C449" i="8"/>
  <c r="J452" i="8" s="1"/>
  <c r="AK6" i="33"/>
  <c r="C12" i="8"/>
  <c r="J15" i="8" s="1"/>
  <c r="G787" i="42"/>
  <c r="I785" i="42"/>
  <c r="G787" i="8"/>
  <c r="I785" i="8"/>
  <c r="I739" i="42"/>
  <c r="G741" i="8"/>
  <c r="I739" i="8"/>
  <c r="G741" i="42"/>
  <c r="Q6" i="33"/>
  <c r="O6" i="33"/>
  <c r="G4" i="8" s="1"/>
  <c r="AK26" i="33"/>
  <c r="C518" i="8"/>
  <c r="J521" i="8" s="1"/>
  <c r="C518" i="42"/>
  <c r="J521" i="42" s="1"/>
  <c r="T66" i="33"/>
  <c r="Y66" i="33" s="1"/>
  <c r="H1397" i="8"/>
  <c r="J1384" i="8"/>
  <c r="C840" i="8"/>
  <c r="J843" i="8" s="1"/>
  <c r="G856" i="8"/>
  <c r="I854" i="8"/>
  <c r="G856" i="42"/>
  <c r="I854" i="42"/>
  <c r="G833" i="42"/>
  <c r="I831" i="42"/>
  <c r="J1407" i="8"/>
  <c r="H1420" i="8"/>
  <c r="I831" i="8"/>
  <c r="G833" i="8"/>
  <c r="Q39" i="33"/>
  <c r="O39" i="33"/>
  <c r="J1591" i="8"/>
  <c r="I808" i="42"/>
  <c r="G810" i="42"/>
  <c r="G810" i="8"/>
  <c r="I808" i="8"/>
  <c r="T62" i="33"/>
  <c r="Y62" i="33" s="1"/>
  <c r="H1305" i="8"/>
  <c r="J1292" i="8"/>
  <c r="T51" i="33"/>
  <c r="Y51" i="33" s="1"/>
  <c r="Z51" i="33" s="1"/>
  <c r="J1039" i="8"/>
  <c r="H1052" i="8"/>
  <c r="T56" i="33"/>
  <c r="Y56" i="33" s="1"/>
  <c r="Z56" i="33" s="1"/>
  <c r="AG56" i="33" s="1"/>
  <c r="AH56" i="33" s="1"/>
  <c r="J1154" i="8"/>
  <c r="H1167" i="8"/>
  <c r="T73" i="33"/>
  <c r="Y73" i="33" s="1"/>
  <c r="J1545" i="8"/>
  <c r="Q38" i="33"/>
  <c r="O38" i="33"/>
  <c r="T47" i="33"/>
  <c r="Y47" i="33" s="1"/>
  <c r="Z47" i="33" s="1"/>
  <c r="J924" i="42"/>
  <c r="C886" i="8"/>
  <c r="J889" i="8" s="1"/>
  <c r="C863" i="8"/>
  <c r="J866" i="8" s="1"/>
  <c r="T54" i="33"/>
  <c r="Y54" i="33" s="1"/>
  <c r="H1144" i="8"/>
  <c r="H1650" i="8"/>
  <c r="J1637" i="8"/>
  <c r="T80" i="33"/>
  <c r="Y80" i="33" s="1"/>
  <c r="T45" i="33"/>
  <c r="Y45" i="33" s="1"/>
  <c r="H960" i="42"/>
  <c r="J947" i="8"/>
  <c r="J1085" i="8"/>
  <c r="H1121" i="8"/>
  <c r="J1016" i="8"/>
  <c r="H1029" i="8"/>
  <c r="H1604" i="8"/>
  <c r="H1627" i="8"/>
  <c r="T75" i="33"/>
  <c r="Y75" i="33" s="1"/>
  <c r="J1614" i="8"/>
  <c r="J1453" i="8"/>
  <c r="H1466" i="8"/>
  <c r="T60" i="33"/>
  <c r="Y60" i="33" s="1"/>
  <c r="J1269" i="8"/>
  <c r="H1282" i="8"/>
  <c r="H1351" i="8"/>
  <c r="H1374" i="8"/>
  <c r="J1361" i="8"/>
  <c r="H1535" i="8"/>
  <c r="J1522" i="8"/>
  <c r="H1719" i="8"/>
  <c r="J1706" i="8"/>
  <c r="J924" i="8"/>
  <c r="H937" i="42"/>
  <c r="AK20" i="33"/>
  <c r="C380" i="8"/>
  <c r="J383" i="8" s="1"/>
  <c r="C380" i="42"/>
  <c r="J383" i="42" s="1"/>
  <c r="C909" i="42"/>
  <c r="J912" i="42" s="1"/>
  <c r="C932" i="42"/>
  <c r="J935" i="42" s="1"/>
  <c r="H1558" i="8"/>
  <c r="J1568" i="8"/>
  <c r="T74" i="33"/>
  <c r="Y74" i="33" s="1"/>
  <c r="H1581" i="8"/>
  <c r="T68" i="33"/>
  <c r="Y68" i="33" s="1"/>
  <c r="H1443" i="8"/>
  <c r="J1430" i="8"/>
  <c r="J1223" i="8"/>
  <c r="H1259" i="8"/>
  <c r="J1200" i="8"/>
  <c r="H1213" i="8"/>
  <c r="T53" i="33"/>
  <c r="Y53" i="33" s="1"/>
  <c r="J1062" i="8"/>
  <c r="H1075" i="8"/>
  <c r="H1098" i="8"/>
  <c r="T49" i="33"/>
  <c r="Y49" i="33" s="1"/>
  <c r="H983" i="8"/>
  <c r="J970" i="8"/>
  <c r="J993" i="8"/>
  <c r="H960" i="8"/>
  <c r="J947" i="42"/>
  <c r="T48" i="33"/>
  <c r="Y48" i="33" s="1"/>
  <c r="Z48" i="33" s="1"/>
  <c r="AG48" i="33" s="1"/>
  <c r="AH48" i="33" s="1"/>
  <c r="J1315" i="8"/>
  <c r="H1328" i="8"/>
  <c r="H1489" i="8"/>
  <c r="J1476" i="8"/>
  <c r="T50" i="33"/>
  <c r="Y50" i="33" s="1"/>
  <c r="H1006" i="8"/>
  <c r="T58" i="33"/>
  <c r="Y58" i="33" s="1"/>
  <c r="C1143" i="8" s="1"/>
  <c r="J1177" i="8"/>
  <c r="H1190" i="8"/>
  <c r="G764" i="42"/>
  <c r="G764" i="8"/>
  <c r="I762" i="8"/>
  <c r="I762" i="42"/>
  <c r="Q36" i="33"/>
  <c r="O36" i="33"/>
  <c r="J1338" i="8"/>
  <c r="T64" i="33"/>
  <c r="Y64" i="33" s="1"/>
  <c r="C1281" i="8" s="1"/>
  <c r="J1499" i="8"/>
  <c r="H1512" i="8"/>
  <c r="T71" i="33"/>
  <c r="Y71" i="33" s="1"/>
  <c r="J1683" i="8"/>
  <c r="H1696" i="8"/>
  <c r="T83" i="33"/>
  <c r="Y83" i="33" s="1"/>
  <c r="C633" i="8"/>
  <c r="J636" i="8" s="1"/>
  <c r="AK30" i="33"/>
  <c r="G626" i="42"/>
  <c r="G626" i="8"/>
  <c r="I624" i="42"/>
  <c r="I624" i="8"/>
  <c r="O30" i="33"/>
  <c r="Q30" i="33"/>
  <c r="G465" i="8"/>
  <c r="G465" i="42"/>
  <c r="I463" i="42"/>
  <c r="I463" i="8"/>
  <c r="O24" i="33"/>
  <c r="Q24" i="33"/>
  <c r="G373" i="42"/>
  <c r="G373" i="8"/>
  <c r="I371" i="8"/>
  <c r="I371" i="42"/>
  <c r="O20" i="33"/>
  <c r="Q20" i="33"/>
  <c r="AK21" i="33"/>
  <c r="C403" i="8"/>
  <c r="J406" i="8" s="1"/>
  <c r="I394" i="42"/>
  <c r="G396" i="8"/>
  <c r="I394" i="8"/>
  <c r="G396" i="42"/>
  <c r="O21" i="33"/>
  <c r="Q21" i="33"/>
  <c r="G511" i="8"/>
  <c r="G511" i="42"/>
  <c r="I509" i="8"/>
  <c r="I509" i="42"/>
  <c r="O26" i="33"/>
  <c r="Q26" i="33"/>
  <c r="I302" i="8"/>
  <c r="G304" i="8"/>
  <c r="O17" i="33"/>
  <c r="Q17" i="33"/>
  <c r="C311" i="8"/>
  <c r="J314" i="8" s="1"/>
  <c r="AK17" i="33"/>
  <c r="G327" i="8"/>
  <c r="I325" i="8"/>
  <c r="O18" i="33"/>
  <c r="Q18" i="33"/>
  <c r="I348" i="8"/>
  <c r="G350" i="8"/>
  <c r="O19" i="33"/>
  <c r="G349" i="8" s="1"/>
  <c r="Q19" i="33"/>
  <c r="G442" i="8"/>
  <c r="I440" i="42"/>
  <c r="I440" i="8"/>
  <c r="G442" i="42"/>
  <c r="O23" i="33"/>
  <c r="Q23" i="33"/>
  <c r="AK23" i="33"/>
  <c r="C449" i="42"/>
  <c r="J452" i="42" s="1"/>
  <c r="C863" i="42"/>
  <c r="J866" i="42" s="1"/>
  <c r="AK24" i="33"/>
  <c r="C472" i="42"/>
  <c r="J475" i="42" s="1"/>
  <c r="AK18" i="33"/>
  <c r="C334" i="8"/>
  <c r="J337" i="8" s="1"/>
  <c r="AK27" i="33"/>
  <c r="C564" i="42"/>
  <c r="J567" i="42" s="1"/>
  <c r="C541" i="42"/>
  <c r="J544" i="42" s="1"/>
  <c r="C541" i="8"/>
  <c r="J544" i="8" s="1"/>
  <c r="C886" i="42"/>
  <c r="J889" i="42" s="1"/>
  <c r="C840" i="42"/>
  <c r="J843" i="42" s="1"/>
  <c r="G166" i="8"/>
  <c r="I164" i="8"/>
  <c r="I233" i="8"/>
  <c r="G235" i="8"/>
  <c r="O14" i="33"/>
  <c r="C196" i="8"/>
  <c r="AK12" i="33"/>
  <c r="I187" i="8"/>
  <c r="G189" i="8"/>
  <c r="O12" i="33"/>
  <c r="I49" i="8"/>
  <c r="G51" i="8"/>
  <c r="O7" i="33"/>
  <c r="G27" i="8" s="1"/>
  <c r="C748" i="42"/>
  <c r="J751" i="42" s="1"/>
  <c r="C748" i="8"/>
  <c r="J751" i="8" s="1"/>
  <c r="G281" i="8"/>
  <c r="I279" i="8"/>
  <c r="O16" i="33"/>
  <c r="G258" i="8"/>
  <c r="I256" i="8"/>
  <c r="O15" i="33"/>
  <c r="G212" i="8"/>
  <c r="I210" i="8"/>
  <c r="O13" i="33"/>
  <c r="C150" i="8"/>
  <c r="J153" i="8" s="1"/>
  <c r="AK11" i="33"/>
  <c r="G143" i="8"/>
  <c r="I141" i="8"/>
  <c r="O11" i="33"/>
  <c r="C127" i="8"/>
  <c r="J130" i="8" s="1"/>
  <c r="AK10" i="33"/>
  <c r="G120" i="8"/>
  <c r="I118" i="8"/>
  <c r="O10" i="33"/>
  <c r="AK9" i="33"/>
  <c r="C104" i="8"/>
  <c r="J107" i="8" s="1"/>
  <c r="I95" i="8"/>
  <c r="G97" i="8"/>
  <c r="O9" i="33"/>
  <c r="G74" i="8"/>
  <c r="I72" i="8"/>
  <c r="O8" i="33"/>
  <c r="G488" i="8"/>
  <c r="G488" i="42"/>
  <c r="I486" i="42"/>
  <c r="I486" i="8"/>
  <c r="O25" i="33"/>
  <c r="C495" i="42"/>
  <c r="J498" i="42" s="1"/>
  <c r="C495" i="8"/>
  <c r="J498" i="8" s="1"/>
  <c r="AK25" i="33"/>
  <c r="G672" i="8"/>
  <c r="I670" i="8"/>
  <c r="I670" i="42"/>
  <c r="G672" i="42"/>
  <c r="O32" i="33"/>
  <c r="C679" i="8"/>
  <c r="J682" i="8" s="1"/>
  <c r="C679" i="42"/>
  <c r="J682" i="42" s="1"/>
  <c r="AK32" i="33"/>
  <c r="I578" i="42"/>
  <c r="I578" i="8"/>
  <c r="G580" i="42"/>
  <c r="G580" i="8"/>
  <c r="O28" i="33"/>
  <c r="C426" i="8"/>
  <c r="J429" i="8" s="1"/>
  <c r="C426" i="42"/>
  <c r="J429" i="42" s="1"/>
  <c r="G419" i="42"/>
  <c r="I417" i="42"/>
  <c r="G419" i="8"/>
  <c r="I417" i="8"/>
  <c r="O22" i="33"/>
  <c r="C725" i="42"/>
  <c r="J728" i="42" s="1"/>
  <c r="C725" i="8"/>
  <c r="J728" i="8" s="1"/>
  <c r="AK34" i="33"/>
  <c r="I693" i="8"/>
  <c r="G695" i="8"/>
  <c r="G695" i="42"/>
  <c r="I693" i="42"/>
  <c r="O33" i="33"/>
  <c r="C702" i="8"/>
  <c r="J705" i="8" s="1"/>
  <c r="C702" i="42"/>
  <c r="J705" i="42" s="1"/>
  <c r="AK33" i="33"/>
  <c r="G649" i="8"/>
  <c r="I647" i="8"/>
  <c r="I647" i="42"/>
  <c r="G649" i="42"/>
  <c r="O31" i="33"/>
  <c r="C656" i="42"/>
  <c r="J659" i="42" s="1"/>
  <c r="AK31" i="33"/>
  <c r="I601" i="42"/>
  <c r="G603" i="42"/>
  <c r="I601" i="8"/>
  <c r="G603" i="8"/>
  <c r="O29" i="33"/>
  <c r="C610" i="42"/>
  <c r="J613" i="42" s="1"/>
  <c r="C610" i="8"/>
  <c r="J613" i="8" s="1"/>
  <c r="AK29" i="33"/>
  <c r="I555" i="42"/>
  <c r="I555" i="8"/>
  <c r="G557" i="42"/>
  <c r="G557" i="8"/>
  <c r="O27" i="33"/>
  <c r="G534" i="8"/>
  <c r="G534" i="42"/>
  <c r="I532" i="8"/>
  <c r="I532" i="42"/>
  <c r="T41" i="33"/>
  <c r="J855" i="42"/>
  <c r="J878" i="42"/>
  <c r="H891" i="42"/>
  <c r="AK41" i="33"/>
  <c r="C817" i="8"/>
  <c r="J820" i="8" s="1"/>
  <c r="C817" i="42"/>
  <c r="J820" i="42" s="1"/>
  <c r="T40" i="33"/>
  <c r="AK40" i="33"/>
  <c r="C794" i="42"/>
  <c r="J797" i="42" s="1"/>
  <c r="C794" i="8"/>
  <c r="J797" i="8" s="1"/>
  <c r="AK37" i="33"/>
  <c r="C771" i="8"/>
  <c r="J774" i="8" s="1"/>
  <c r="C771" i="42"/>
  <c r="J774" i="42" s="1"/>
  <c r="T37" i="33"/>
  <c r="C173" i="8"/>
  <c r="AK14" i="33"/>
  <c r="C242" i="8"/>
  <c r="AK7" i="33"/>
  <c r="C58" i="8"/>
  <c r="J61" i="8" s="1"/>
  <c r="AK35" i="33"/>
  <c r="J740" i="8"/>
  <c r="H753" i="8"/>
  <c r="T35" i="33"/>
  <c r="AB35" i="33" s="1"/>
  <c r="AC35" i="33" s="1"/>
  <c r="J740" i="42"/>
  <c r="H753" i="42"/>
  <c r="AK16" i="33"/>
  <c r="C288" i="8"/>
  <c r="J291" i="8" s="1"/>
  <c r="C219" i="8"/>
  <c r="AK13" i="33"/>
  <c r="AK8" i="33"/>
  <c r="C81" i="8"/>
  <c r="J84" i="8" s="1"/>
  <c r="AK28" i="33"/>
  <c r="C587" i="42"/>
  <c r="J590" i="42" s="1"/>
  <c r="C587" i="8"/>
  <c r="J590" i="8" s="1"/>
  <c r="J717" i="8"/>
  <c r="H730" i="8"/>
  <c r="T34" i="33"/>
  <c r="AB34" i="33" s="1"/>
  <c r="AC34" i="33" s="1"/>
  <c r="H730" i="42"/>
  <c r="J717" i="42"/>
  <c r="Z81" i="33"/>
  <c r="AG81" i="33" s="1"/>
  <c r="AH81" i="33" s="1"/>
  <c r="A1385" i="8"/>
  <c r="C239" i="8"/>
  <c r="C216" i="8"/>
  <c r="C238" i="8"/>
  <c r="C215" i="8"/>
  <c r="C241" i="8"/>
  <c r="C218" i="8"/>
  <c r="C237" i="8"/>
  <c r="C214" i="8"/>
  <c r="H269" i="8"/>
  <c r="H246" i="8"/>
  <c r="A1339" i="8"/>
  <c r="A1017" i="8"/>
  <c r="J1510" i="8"/>
  <c r="A1500" i="8"/>
  <c r="A1523" i="8"/>
  <c r="J1832" i="8"/>
  <c r="A1822" i="8"/>
  <c r="J1487" i="8"/>
  <c r="A1477" i="8"/>
  <c r="H962" i="8"/>
  <c r="H962" i="42"/>
  <c r="A1684" i="8"/>
  <c r="A1661" i="8"/>
  <c r="A1799" i="8"/>
  <c r="A1270" i="8"/>
  <c r="A1155" i="8"/>
  <c r="J1648" i="8"/>
  <c r="A1638" i="8"/>
  <c r="C1672" i="8"/>
  <c r="A1316" i="8"/>
  <c r="A1362" i="8"/>
  <c r="A1178" i="8"/>
  <c r="C1075" i="42"/>
  <c r="Z82" i="33"/>
  <c r="AG82" i="33" s="1"/>
  <c r="AH82" i="33" s="1"/>
  <c r="Z72" i="33"/>
  <c r="AG72" i="33" s="1"/>
  <c r="AH72" i="33" s="1"/>
  <c r="A1408" i="8"/>
  <c r="A994" i="8"/>
  <c r="A1040" i="8"/>
  <c r="J1625" i="8"/>
  <c r="A1615" i="8"/>
  <c r="J1579" i="8"/>
  <c r="A1569" i="8"/>
  <c r="J1740" i="8"/>
  <c r="A1730" i="8"/>
  <c r="A1454" i="8"/>
  <c r="A1592" i="8"/>
  <c r="A1546" i="8"/>
  <c r="A1776" i="8"/>
  <c r="A1707" i="8"/>
  <c r="J1763" i="8"/>
  <c r="A1753" i="8"/>
  <c r="A948" i="8"/>
  <c r="A1063" i="8"/>
  <c r="A1431" i="8"/>
  <c r="A1247" i="8"/>
  <c r="C1741" i="8"/>
  <c r="C1718" i="8"/>
  <c r="C1833" i="8"/>
  <c r="C1810" i="8"/>
  <c r="J659" i="8"/>
  <c r="A1293" i="8"/>
  <c r="A1109" i="8"/>
  <c r="A1201" i="8"/>
  <c r="C261" i="8"/>
  <c r="C262" i="8"/>
  <c r="A1086" i="8"/>
  <c r="C264" i="8"/>
  <c r="A1224" i="8"/>
  <c r="C265" i="8"/>
  <c r="C260" i="8"/>
  <c r="A971" i="8"/>
  <c r="A1132" i="8"/>
  <c r="Z63" i="33"/>
  <c r="Z67" i="33"/>
  <c r="AG67" i="33" s="1"/>
  <c r="AH67" i="33" s="1"/>
  <c r="Z69" i="33"/>
  <c r="Z61" i="33"/>
  <c r="AG61" i="33" s="1"/>
  <c r="AH61" i="33" s="1"/>
  <c r="C1074" i="8"/>
  <c r="Z55" i="33"/>
  <c r="Z65" i="33"/>
  <c r="Z57" i="33"/>
  <c r="AG57" i="33" s="1"/>
  <c r="AH57" i="33" s="1"/>
  <c r="Z59" i="33"/>
  <c r="AG59" i="33" s="1"/>
  <c r="AH59" i="33" s="1"/>
  <c r="J935" i="8"/>
  <c r="A925" i="8"/>
  <c r="C1304" i="8"/>
  <c r="C1396" i="8" l="1"/>
  <c r="C1764" i="8"/>
  <c r="C1787" i="8"/>
  <c r="J901" i="42"/>
  <c r="H914" i="42"/>
  <c r="T43" i="33"/>
  <c r="J878" i="8"/>
  <c r="AD43" i="33"/>
  <c r="Y43" i="33"/>
  <c r="AD42" i="33"/>
  <c r="Y42" i="33"/>
  <c r="T44" i="33"/>
  <c r="G901" i="42"/>
  <c r="G878" i="42"/>
  <c r="G878" i="8"/>
  <c r="C1029" i="42"/>
  <c r="C1488" i="8"/>
  <c r="G119" i="8"/>
  <c r="Z66" i="33"/>
  <c r="AG66" i="33" s="1"/>
  <c r="AH66" i="33" s="1"/>
  <c r="C1327" i="8"/>
  <c r="C1465" i="8"/>
  <c r="C1442" i="8"/>
  <c r="C1534" i="8"/>
  <c r="C1212" i="8"/>
  <c r="C1189" i="8"/>
  <c r="J176" i="8"/>
  <c r="J199" i="8"/>
  <c r="G188" i="8"/>
  <c r="G257" i="8"/>
  <c r="H799" i="42"/>
  <c r="H799" i="8"/>
  <c r="J786" i="8"/>
  <c r="G234" i="8"/>
  <c r="J786" i="42"/>
  <c r="G73" i="8"/>
  <c r="Z62" i="33"/>
  <c r="C1258" i="8"/>
  <c r="C1028" i="8"/>
  <c r="C982" i="8"/>
  <c r="C983" i="42"/>
  <c r="Z58" i="33"/>
  <c r="C1166" i="8"/>
  <c r="G717" i="8"/>
  <c r="G717" i="42"/>
  <c r="G165" i="8"/>
  <c r="G326" i="8"/>
  <c r="C1373" i="8"/>
  <c r="G303" i="8"/>
  <c r="G50" i="8"/>
  <c r="G280" i="8"/>
  <c r="G211" i="8"/>
  <c r="G142" i="8"/>
  <c r="G96" i="8"/>
  <c r="T6" i="33"/>
  <c r="H17" i="8"/>
  <c r="J4" i="8"/>
  <c r="G786" i="8"/>
  <c r="G786" i="42"/>
  <c r="Z60" i="33"/>
  <c r="C1235" i="8"/>
  <c r="Z68" i="33"/>
  <c r="C1420" i="8" s="1"/>
  <c r="C1419" i="8"/>
  <c r="G740" i="8"/>
  <c r="G740" i="42"/>
  <c r="H868" i="8"/>
  <c r="J855" i="8"/>
  <c r="G855" i="8"/>
  <c r="G855" i="42"/>
  <c r="H868" i="42"/>
  <c r="Z73" i="33"/>
  <c r="C1557" i="8"/>
  <c r="C959" i="8"/>
  <c r="C959" i="42"/>
  <c r="Z54" i="33"/>
  <c r="AG54" i="33" s="1"/>
  <c r="AH54" i="33" s="1"/>
  <c r="C1120" i="8"/>
  <c r="C1121" i="42"/>
  <c r="C1649" i="8"/>
  <c r="Z80" i="33"/>
  <c r="AG80" i="33" s="1"/>
  <c r="AH80" i="33" s="1"/>
  <c r="Z45" i="33"/>
  <c r="C936" i="42"/>
  <c r="C936" i="8"/>
  <c r="C1626" i="8"/>
  <c r="Z75" i="33"/>
  <c r="AG75" i="33" s="1"/>
  <c r="AH75" i="33" s="1"/>
  <c r="J832" i="8"/>
  <c r="H845" i="8"/>
  <c r="J832" i="42"/>
  <c r="H845" i="42"/>
  <c r="T39" i="33"/>
  <c r="G832" i="8"/>
  <c r="G832" i="42"/>
  <c r="C1603" i="8"/>
  <c r="G809" i="42"/>
  <c r="G809" i="8"/>
  <c r="T38" i="33"/>
  <c r="H822" i="8"/>
  <c r="J809" i="8"/>
  <c r="J809" i="42"/>
  <c r="H822" i="42"/>
  <c r="C1051" i="8"/>
  <c r="C1052" i="42"/>
  <c r="T36" i="33"/>
  <c r="AB36" i="33" s="1"/>
  <c r="AC36" i="33" s="1"/>
  <c r="H776" i="8"/>
  <c r="J763" i="8"/>
  <c r="J763" i="42"/>
  <c r="H776" i="42"/>
  <c r="H939" i="42"/>
  <c r="H939" i="8"/>
  <c r="Z74" i="33"/>
  <c r="C1580" i="8"/>
  <c r="C1098" i="42"/>
  <c r="C1097" i="8"/>
  <c r="Z53" i="33"/>
  <c r="C1006" i="42"/>
  <c r="C1005" i="8"/>
  <c r="Z49" i="33"/>
  <c r="Z50" i="33"/>
  <c r="G763" i="42"/>
  <c r="G763" i="8"/>
  <c r="G625" i="8"/>
  <c r="G625" i="42"/>
  <c r="H638" i="42"/>
  <c r="H638" i="8"/>
  <c r="J625" i="42"/>
  <c r="J625" i="8"/>
  <c r="T30" i="33"/>
  <c r="AB30" i="33" s="1"/>
  <c r="AC30" i="33" s="1"/>
  <c r="G464" i="42"/>
  <c r="G464" i="8"/>
  <c r="H477" i="8"/>
  <c r="J464" i="8"/>
  <c r="J464" i="42"/>
  <c r="T24" i="33"/>
  <c r="AB24" i="33" s="1"/>
  <c r="AC24" i="33" s="1"/>
  <c r="H477" i="42"/>
  <c r="G372" i="42"/>
  <c r="G372" i="8"/>
  <c r="T20" i="33"/>
  <c r="AB20" i="33" s="1"/>
  <c r="AC20" i="33" s="1"/>
  <c r="J372" i="8"/>
  <c r="H385" i="42"/>
  <c r="H385" i="8"/>
  <c r="J372" i="42"/>
  <c r="G395" i="42"/>
  <c r="G395" i="8"/>
  <c r="T21" i="33"/>
  <c r="AB21" i="33" s="1"/>
  <c r="AC21" i="33" s="1"/>
  <c r="J395" i="8"/>
  <c r="H408" i="42"/>
  <c r="H408" i="8"/>
  <c r="J395" i="42"/>
  <c r="G510" i="8"/>
  <c r="G510" i="42"/>
  <c r="J510" i="8"/>
  <c r="H523" i="42"/>
  <c r="J510" i="42"/>
  <c r="H523" i="8"/>
  <c r="T26" i="33"/>
  <c r="AB26" i="33" s="1"/>
  <c r="AC26" i="33" s="1"/>
  <c r="J303" i="8"/>
  <c r="T17" i="33"/>
  <c r="AB17" i="33" s="1"/>
  <c r="AC17" i="33" s="1"/>
  <c r="H316" i="8"/>
  <c r="T18" i="33"/>
  <c r="AB18" i="33" s="1"/>
  <c r="AC18" i="33" s="1"/>
  <c r="H339" i="8"/>
  <c r="J326" i="8"/>
  <c r="T19" i="33"/>
  <c r="AB19" i="33" s="1"/>
  <c r="AC19" i="33" s="1"/>
  <c r="H362" i="8"/>
  <c r="J349" i="8"/>
  <c r="AK19" i="33"/>
  <c r="G441" i="8"/>
  <c r="G441" i="42"/>
  <c r="J441" i="42"/>
  <c r="H454" i="8"/>
  <c r="J441" i="8"/>
  <c r="H454" i="42"/>
  <c r="T23" i="33"/>
  <c r="AB23" i="33" s="1"/>
  <c r="AC23" i="33" s="1"/>
  <c r="Z64" i="33"/>
  <c r="C1282" i="8" s="1"/>
  <c r="J1285" i="8" s="1"/>
  <c r="J1286" i="8" s="1"/>
  <c r="C1350" i="8"/>
  <c r="Z71" i="33"/>
  <c r="C1443" i="8" s="1"/>
  <c r="C1511" i="8"/>
  <c r="C1695" i="8"/>
  <c r="Z83" i="33"/>
  <c r="AD35" i="33"/>
  <c r="Y35" i="33"/>
  <c r="J165" i="8"/>
  <c r="H178" i="8"/>
  <c r="J234" i="8"/>
  <c r="H247" i="8"/>
  <c r="T14" i="33"/>
  <c r="AB14" i="33" s="1"/>
  <c r="AC14" i="33" s="1"/>
  <c r="T12" i="33"/>
  <c r="AB12" i="33" s="1"/>
  <c r="AC12" i="33" s="1"/>
  <c r="H201" i="8"/>
  <c r="J188" i="8"/>
  <c r="T7" i="33"/>
  <c r="AB7" i="33" s="1"/>
  <c r="J50" i="8"/>
  <c r="H63" i="8"/>
  <c r="T16" i="33"/>
  <c r="AB16" i="33" s="1"/>
  <c r="AC16" i="33" s="1"/>
  <c r="H293" i="8"/>
  <c r="J280" i="8"/>
  <c r="J257" i="8"/>
  <c r="H270" i="8"/>
  <c r="T15" i="33"/>
  <c r="AB15" i="33" s="1"/>
  <c r="AC15" i="33" s="1"/>
  <c r="T11" i="33"/>
  <c r="AB11" i="33" s="1"/>
  <c r="AC11" i="33" s="1"/>
  <c r="J142" i="8"/>
  <c r="H155" i="8"/>
  <c r="T10" i="33"/>
  <c r="AB10" i="33" s="1"/>
  <c r="AC10" i="33" s="1"/>
  <c r="J119" i="8"/>
  <c r="H132" i="8"/>
  <c r="H109" i="8"/>
  <c r="J96" i="8"/>
  <c r="T9" i="33"/>
  <c r="AB9" i="33" s="1"/>
  <c r="AC9" i="33" s="1"/>
  <c r="H86" i="8"/>
  <c r="J73" i="8"/>
  <c r="T8" i="33"/>
  <c r="AB8" i="33" s="1"/>
  <c r="AC8" i="33" s="1"/>
  <c r="J487" i="42"/>
  <c r="H500" i="42"/>
  <c r="H500" i="8"/>
  <c r="J487" i="8"/>
  <c r="T25" i="33"/>
  <c r="AB25" i="33" s="1"/>
  <c r="AC25" i="33" s="1"/>
  <c r="G487" i="8"/>
  <c r="G487" i="42"/>
  <c r="G671" i="8"/>
  <c r="G671" i="42"/>
  <c r="J671" i="42"/>
  <c r="J671" i="8"/>
  <c r="H684" i="42"/>
  <c r="H684" i="8"/>
  <c r="T32" i="33"/>
  <c r="AB32" i="33" s="1"/>
  <c r="AC32" i="33" s="1"/>
  <c r="G579" i="8"/>
  <c r="G579" i="42"/>
  <c r="J579" i="8"/>
  <c r="H592" i="8"/>
  <c r="H592" i="42"/>
  <c r="T28" i="33"/>
  <c r="AB28" i="33" s="1"/>
  <c r="AC28" i="33" s="1"/>
  <c r="J579" i="42"/>
  <c r="G418" i="8"/>
  <c r="G418" i="42"/>
  <c r="T22" i="33"/>
  <c r="AB22" i="33" s="1"/>
  <c r="AC22" i="33" s="1"/>
  <c r="H431" i="8"/>
  <c r="H431" i="42"/>
  <c r="J418" i="42"/>
  <c r="J418" i="8"/>
  <c r="G694" i="8"/>
  <c r="G694" i="42"/>
  <c r="H707" i="8"/>
  <c r="J694" i="42"/>
  <c r="H707" i="42"/>
  <c r="J694" i="8"/>
  <c r="T33" i="33"/>
  <c r="AB33" i="33" s="1"/>
  <c r="AC33" i="33" s="1"/>
  <c r="G648" i="8"/>
  <c r="G648" i="42"/>
  <c r="H661" i="8"/>
  <c r="J648" i="8"/>
  <c r="H661" i="42"/>
  <c r="J648" i="42"/>
  <c r="T31" i="33"/>
  <c r="AB31" i="33" s="1"/>
  <c r="AC31" i="33" s="1"/>
  <c r="J602" i="8"/>
  <c r="H615" i="42"/>
  <c r="H615" i="8"/>
  <c r="J602" i="42"/>
  <c r="T29" i="33"/>
  <c r="AB29" i="33" s="1"/>
  <c r="AC29" i="33" s="1"/>
  <c r="G602" i="8"/>
  <c r="G602" i="42"/>
  <c r="G556" i="42"/>
  <c r="G556" i="8"/>
  <c r="J556" i="8"/>
  <c r="H569" i="42"/>
  <c r="J556" i="42"/>
  <c r="H569" i="8"/>
  <c r="T27" i="33"/>
  <c r="AB27" i="33" s="1"/>
  <c r="AC27" i="33" s="1"/>
  <c r="G533" i="42"/>
  <c r="G533" i="8"/>
  <c r="H546" i="42"/>
  <c r="J533" i="8"/>
  <c r="J533" i="42"/>
  <c r="H546" i="8"/>
  <c r="AD41" i="33"/>
  <c r="Y41" i="33"/>
  <c r="Y40" i="33"/>
  <c r="AD40" i="33"/>
  <c r="AD37" i="33"/>
  <c r="Y37" i="33"/>
  <c r="J211" i="8"/>
  <c r="H224" i="8"/>
  <c r="T13" i="33"/>
  <c r="AB13" i="33" s="1"/>
  <c r="AC13" i="33" s="1"/>
  <c r="Y34" i="33"/>
  <c r="AD34" i="33"/>
  <c r="J245" i="8"/>
  <c r="J222" i="8"/>
  <c r="C1466" i="8"/>
  <c r="C1834" i="8"/>
  <c r="J1837" i="8" s="1"/>
  <c r="J1838" i="8" s="1"/>
  <c r="C1811" i="8"/>
  <c r="J1814" i="8" s="1"/>
  <c r="J1815" i="8" s="1"/>
  <c r="C1742" i="8"/>
  <c r="J1745" i="8" s="1"/>
  <c r="J1746" i="8" s="1"/>
  <c r="C1397" i="8"/>
  <c r="J268" i="8"/>
  <c r="AG51" i="33"/>
  <c r="AH51" i="33" s="1"/>
  <c r="AG63" i="33"/>
  <c r="AH63" i="33" s="1"/>
  <c r="AG47" i="33"/>
  <c r="AH47" i="33" s="1"/>
  <c r="C1167" i="8"/>
  <c r="C1259" i="8"/>
  <c r="AG55" i="33"/>
  <c r="AH55" i="33" s="1"/>
  <c r="C1213" i="8"/>
  <c r="AG69" i="33"/>
  <c r="AH69" i="33" s="1"/>
  <c r="AG65" i="33"/>
  <c r="AH65" i="33" s="1"/>
  <c r="J1400" i="8" l="1"/>
  <c r="J1401" i="8" s="1"/>
  <c r="C1765" i="8"/>
  <c r="J1768" i="8" s="1"/>
  <c r="J1769" i="8" s="1"/>
  <c r="C1788" i="8"/>
  <c r="J1791" i="8" s="1"/>
  <c r="J1792" i="8" s="1"/>
  <c r="Z43" i="33"/>
  <c r="AG43" i="33"/>
  <c r="AH43" i="33" s="1"/>
  <c r="Z42" i="33"/>
  <c r="AG42" i="33" s="1"/>
  <c r="AH42" i="33" s="1"/>
  <c r="AD44" i="33"/>
  <c r="H893" i="8" s="1"/>
  <c r="Y44" i="33"/>
  <c r="C890" i="42" s="1"/>
  <c r="H893" i="42"/>
  <c r="J1446" i="8"/>
  <c r="J1447" i="8" s="1"/>
  <c r="J1469" i="8"/>
  <c r="J1470" i="8" s="1"/>
  <c r="J1216" i="8"/>
  <c r="J1217" i="8" s="1"/>
  <c r="AG58" i="33"/>
  <c r="AH58" i="33" s="1"/>
  <c r="F52" i="17" s="1"/>
  <c r="C1144" i="8"/>
  <c r="J1147" i="8" s="1"/>
  <c r="J1148" i="8" s="1"/>
  <c r="C937" i="8"/>
  <c r="J940" i="8" s="1"/>
  <c r="J941" i="8" s="1"/>
  <c r="AG62" i="33"/>
  <c r="AH62" i="33" s="1"/>
  <c r="C1236" i="8"/>
  <c r="J1239" i="8" s="1"/>
  <c r="J1240" i="8" s="1"/>
  <c r="C1650" i="8"/>
  <c r="J1653" i="8" s="1"/>
  <c r="J1654" i="8" s="1"/>
  <c r="C1627" i="8"/>
  <c r="J1630" i="8" s="1"/>
  <c r="J1631" i="8" s="1"/>
  <c r="C1535" i="8"/>
  <c r="J1538" i="8" s="1"/>
  <c r="J1539" i="8" s="1"/>
  <c r="C1489" i="8"/>
  <c r="J1492" i="8" s="1"/>
  <c r="J1493" i="8" s="1"/>
  <c r="AG60" i="33"/>
  <c r="AH60" i="33" s="1"/>
  <c r="F54" i="17" s="1"/>
  <c r="C1190" i="8"/>
  <c r="J1193" i="8" s="1"/>
  <c r="J1194" i="8" s="1"/>
  <c r="AG68" i="33"/>
  <c r="AH68" i="33" s="1"/>
  <c r="C1374" i="8"/>
  <c r="J1377" i="8" s="1"/>
  <c r="J1378" i="8" s="1"/>
  <c r="J1170" i="8"/>
  <c r="J1171" i="8" s="1"/>
  <c r="J1262" i="8"/>
  <c r="J1263" i="8" s="1"/>
  <c r="AD6" i="33"/>
  <c r="H19" i="8" s="1"/>
  <c r="AB6" i="33"/>
  <c r="Y6" i="33"/>
  <c r="C960" i="8"/>
  <c r="J963" i="8" s="1"/>
  <c r="J964" i="8" s="1"/>
  <c r="C960" i="42"/>
  <c r="J963" i="42" s="1"/>
  <c r="J964" i="42" s="1"/>
  <c r="AG50" i="33"/>
  <c r="AH50" i="33" s="1"/>
  <c r="C984" i="42"/>
  <c r="J986" i="42" s="1"/>
  <c r="J987" i="42" s="1"/>
  <c r="C983" i="8"/>
  <c r="J986" i="8" s="1"/>
  <c r="J987" i="8" s="1"/>
  <c r="C1328" i="8"/>
  <c r="J1331" i="8" s="1"/>
  <c r="J1332" i="8" s="1"/>
  <c r="C1305" i="8"/>
  <c r="J1308" i="8" s="1"/>
  <c r="J1309" i="8" s="1"/>
  <c r="C1581" i="8"/>
  <c r="J1584" i="8" s="1"/>
  <c r="J1585" i="8" s="1"/>
  <c r="J1423" i="8"/>
  <c r="J1424" i="8" s="1"/>
  <c r="C42" i="8"/>
  <c r="AC7" i="33"/>
  <c r="C43" i="8" s="1"/>
  <c r="AG73" i="33"/>
  <c r="AH73" i="33" s="1"/>
  <c r="C1558" i="8"/>
  <c r="J1561" i="8" s="1"/>
  <c r="J1562" i="8" s="1"/>
  <c r="AG45" i="33"/>
  <c r="AH45" i="33" s="1"/>
  <c r="C937" i="42"/>
  <c r="J940" i="42" s="1"/>
  <c r="J941" i="42" s="1"/>
  <c r="C798" i="8"/>
  <c r="AD36" i="33"/>
  <c r="Y36" i="33"/>
  <c r="C1075" i="8"/>
  <c r="J1078" i="8" s="1"/>
  <c r="J1079" i="8" s="1"/>
  <c r="C1076" i="42"/>
  <c r="J1078" i="42" s="1"/>
  <c r="J1079" i="42" s="1"/>
  <c r="AD39" i="33"/>
  <c r="Y39" i="33"/>
  <c r="AG64" i="33"/>
  <c r="AH64" i="33" s="1"/>
  <c r="C1351" i="8"/>
  <c r="J1354" i="8" s="1"/>
  <c r="J1355" i="8" s="1"/>
  <c r="AD38" i="33"/>
  <c r="AG74" i="33"/>
  <c r="AH74" i="33" s="1"/>
  <c r="C1604" i="8"/>
  <c r="J1607" i="8" s="1"/>
  <c r="J1608" i="8" s="1"/>
  <c r="C1121" i="8"/>
  <c r="J1124" i="8" s="1"/>
  <c r="J1125" i="8" s="1"/>
  <c r="C1122" i="42"/>
  <c r="J1124" i="42" s="1"/>
  <c r="J1125" i="42" s="1"/>
  <c r="C1030" i="42"/>
  <c r="J1032" i="42" s="1"/>
  <c r="J1033" i="42" s="1"/>
  <c r="AG49" i="33"/>
  <c r="AH49" i="33" s="1"/>
  <c r="C1029" i="8"/>
  <c r="J1032" i="8" s="1"/>
  <c r="J1033" i="8" s="1"/>
  <c r="C1053" i="42"/>
  <c r="J1055" i="42" s="1"/>
  <c r="J1056" i="42" s="1"/>
  <c r="C1052" i="8"/>
  <c r="J1055" i="8" s="1"/>
  <c r="J1056" i="8" s="1"/>
  <c r="C1673" i="8"/>
  <c r="J1676" i="8" s="1"/>
  <c r="J1677" i="8" s="1"/>
  <c r="C1719" i="8"/>
  <c r="J1722" i="8" s="1"/>
  <c r="J1723" i="8" s="1"/>
  <c r="F63" i="17"/>
  <c r="C1098" i="8"/>
  <c r="J1101" i="8" s="1"/>
  <c r="J1102" i="8" s="1"/>
  <c r="C1099" i="42"/>
  <c r="J1101" i="42" s="1"/>
  <c r="J1102" i="42" s="1"/>
  <c r="AG53" i="33"/>
  <c r="AH53" i="33" s="1"/>
  <c r="C1006" i="8"/>
  <c r="J1009" i="8" s="1"/>
  <c r="J1010" i="8" s="1"/>
  <c r="C1007" i="42"/>
  <c r="J1009" i="42" s="1"/>
  <c r="J1010" i="42" s="1"/>
  <c r="C755" i="42"/>
  <c r="C755" i="8"/>
  <c r="Z40" i="33"/>
  <c r="C732" i="42"/>
  <c r="C732" i="8"/>
  <c r="Y30" i="33"/>
  <c r="Y24" i="33"/>
  <c r="AD24" i="33"/>
  <c r="Y20" i="33"/>
  <c r="AD20" i="33"/>
  <c r="Y21" i="33"/>
  <c r="AD21" i="33"/>
  <c r="AD26" i="33"/>
  <c r="Y26" i="33"/>
  <c r="AD17" i="33"/>
  <c r="H272" i="8" s="1"/>
  <c r="Y17" i="33"/>
  <c r="AD18" i="33"/>
  <c r="Y18" i="33"/>
  <c r="C342" i="8"/>
  <c r="AD19" i="33"/>
  <c r="H364" i="8" s="1"/>
  <c r="Y19" i="33"/>
  <c r="Y23" i="33"/>
  <c r="AD23" i="33"/>
  <c r="AG71" i="33"/>
  <c r="AH71" i="33" s="1"/>
  <c r="C1512" i="8"/>
  <c r="J1515" i="8" s="1"/>
  <c r="J1516" i="8" s="1"/>
  <c r="AG83" i="33"/>
  <c r="AH83" i="33" s="1"/>
  <c r="C1696" i="8"/>
  <c r="J1699" i="8" s="1"/>
  <c r="J1700" i="8" s="1"/>
  <c r="C893" i="42"/>
  <c r="Z37" i="33"/>
  <c r="Y13" i="33"/>
  <c r="AD13" i="33"/>
  <c r="Z35" i="33"/>
  <c r="C847" i="42"/>
  <c r="Y14" i="33"/>
  <c r="AD14" i="33"/>
  <c r="Y12" i="33"/>
  <c r="AD12" i="33"/>
  <c r="AD7" i="33"/>
  <c r="H42" i="8" s="1"/>
  <c r="T84" i="33"/>
  <c r="Y7" i="33"/>
  <c r="C39" i="8" s="1"/>
  <c r="Y16" i="33"/>
  <c r="AD16" i="33"/>
  <c r="Y15" i="33"/>
  <c r="AD11" i="33"/>
  <c r="Y11" i="33"/>
  <c r="Y10" i="33"/>
  <c r="AD10" i="33"/>
  <c r="Y9" i="33"/>
  <c r="AD9" i="33"/>
  <c r="AD8" i="33"/>
  <c r="Y8" i="33"/>
  <c r="Y25" i="33"/>
  <c r="AD25" i="33"/>
  <c r="Y32" i="33"/>
  <c r="AD32" i="33"/>
  <c r="AD28" i="33"/>
  <c r="Y28" i="33"/>
  <c r="AD22" i="33"/>
  <c r="Y22" i="33"/>
  <c r="AD33" i="33"/>
  <c r="Y33" i="33"/>
  <c r="AD31" i="33"/>
  <c r="Y29" i="33"/>
  <c r="AD29" i="33"/>
  <c r="Y27" i="33"/>
  <c r="AD27" i="33"/>
  <c r="C824" i="8"/>
  <c r="C824" i="42"/>
  <c r="C870" i="42"/>
  <c r="C801" i="8"/>
  <c r="C801" i="42"/>
  <c r="Z41" i="33"/>
  <c r="Z34" i="33"/>
  <c r="F57" i="17"/>
  <c r="F59" i="17"/>
  <c r="F53" i="17"/>
  <c r="F55" i="17"/>
  <c r="F51" i="17"/>
  <c r="F66" i="17"/>
  <c r="F64" i="17"/>
  <c r="F65" i="17"/>
  <c r="F80" i="17"/>
  <c r="F60" i="17"/>
  <c r="F50" i="17"/>
  <c r="F70" i="17"/>
  <c r="F48" i="17"/>
  <c r="F46" i="17"/>
  <c r="F49" i="17"/>
  <c r="H134" i="8" l="1"/>
  <c r="C913" i="42"/>
  <c r="C890" i="8"/>
  <c r="H916" i="42"/>
  <c r="Z44" i="33"/>
  <c r="F62" i="17"/>
  <c r="F56" i="17"/>
  <c r="F78" i="17"/>
  <c r="F79" i="17"/>
  <c r="H295" i="8"/>
  <c r="F71" i="17"/>
  <c r="F68" i="17"/>
  <c r="F61" i="17"/>
  <c r="F58" i="17"/>
  <c r="C269" i="8"/>
  <c r="C798" i="42"/>
  <c r="F47" i="17"/>
  <c r="H341" i="8"/>
  <c r="H249" i="8"/>
  <c r="H157" i="8"/>
  <c r="AC6" i="33"/>
  <c r="C20" i="8" s="1"/>
  <c r="C19" i="8"/>
  <c r="Z6" i="33"/>
  <c r="C16" i="8"/>
  <c r="C821" i="42"/>
  <c r="C821" i="8"/>
  <c r="H732" i="8"/>
  <c r="H732" i="42"/>
  <c r="C729" i="8"/>
  <c r="C729" i="42"/>
  <c r="H226" i="8"/>
  <c r="H180" i="8"/>
  <c r="C844" i="42"/>
  <c r="H318" i="8"/>
  <c r="H203" i="8"/>
  <c r="H755" i="8"/>
  <c r="H755" i="42"/>
  <c r="C752" i="8"/>
  <c r="C752" i="42"/>
  <c r="H801" i="42"/>
  <c r="H801" i="8"/>
  <c r="F69" i="17"/>
  <c r="F67" i="17"/>
  <c r="H640" i="8"/>
  <c r="H640" i="42"/>
  <c r="H778" i="8"/>
  <c r="H778" i="42"/>
  <c r="C799" i="42"/>
  <c r="H870" i="8"/>
  <c r="H870" i="42"/>
  <c r="C867" i="8"/>
  <c r="C867" i="42"/>
  <c r="C775" i="8"/>
  <c r="Z36" i="33"/>
  <c r="C775" i="42"/>
  <c r="C778" i="8"/>
  <c r="C778" i="42"/>
  <c r="H847" i="8"/>
  <c r="H847" i="42"/>
  <c r="C844" i="8"/>
  <c r="Z39" i="33"/>
  <c r="AG38" i="33"/>
  <c r="AH38" i="33" s="1"/>
  <c r="H824" i="42"/>
  <c r="H824" i="8"/>
  <c r="F77" i="17"/>
  <c r="F72" i="17"/>
  <c r="C756" i="8"/>
  <c r="C756" i="42"/>
  <c r="C733" i="42"/>
  <c r="C733" i="8"/>
  <c r="Z13" i="33"/>
  <c r="C223" i="8"/>
  <c r="C226" i="8"/>
  <c r="C640" i="8"/>
  <c r="C640" i="42"/>
  <c r="C637" i="42"/>
  <c r="C637" i="8"/>
  <c r="Z30" i="33"/>
  <c r="C476" i="8"/>
  <c r="C476" i="42"/>
  <c r="Z24" i="33"/>
  <c r="H479" i="8"/>
  <c r="H479" i="42"/>
  <c r="C479" i="8"/>
  <c r="C479" i="42"/>
  <c r="C387" i="42"/>
  <c r="C387" i="8"/>
  <c r="C384" i="8"/>
  <c r="C384" i="42"/>
  <c r="Z20" i="33"/>
  <c r="H387" i="8"/>
  <c r="H387" i="42"/>
  <c r="Z21" i="33"/>
  <c r="C407" i="42"/>
  <c r="C407" i="8"/>
  <c r="C410" i="42"/>
  <c r="C410" i="8"/>
  <c r="H410" i="8"/>
  <c r="H410" i="42"/>
  <c r="H525" i="8"/>
  <c r="H525" i="42"/>
  <c r="C525" i="42"/>
  <c r="C525" i="8"/>
  <c r="C526" i="42"/>
  <c r="C522" i="42"/>
  <c r="C522" i="8"/>
  <c r="Z26" i="33"/>
  <c r="C318" i="8"/>
  <c r="C319" i="8"/>
  <c r="C315" i="8"/>
  <c r="Z17" i="33"/>
  <c r="C338" i="8"/>
  <c r="Z18" i="33"/>
  <c r="C365" i="8"/>
  <c r="C364" i="8"/>
  <c r="Z19" i="33"/>
  <c r="C361" i="8"/>
  <c r="C453" i="8"/>
  <c r="Z23" i="33"/>
  <c r="C453" i="42"/>
  <c r="H456" i="42"/>
  <c r="H456" i="8"/>
  <c r="C456" i="8"/>
  <c r="C456" i="42"/>
  <c r="AG35" i="33"/>
  <c r="AH35" i="33" s="1"/>
  <c r="C753" i="42"/>
  <c r="C753" i="8"/>
  <c r="C894" i="42"/>
  <c r="AG34" i="33"/>
  <c r="AH34" i="33" s="1"/>
  <c r="AG41" i="33"/>
  <c r="AH41" i="33" s="1"/>
  <c r="C848" i="42"/>
  <c r="C177" i="8"/>
  <c r="C180" i="8"/>
  <c r="C181" i="8"/>
  <c r="Z14" i="33"/>
  <c r="C246" i="8"/>
  <c r="C249" i="8"/>
  <c r="C250" i="8"/>
  <c r="C203" i="8"/>
  <c r="C204" i="8"/>
  <c r="C200" i="8"/>
  <c r="Z12" i="33"/>
  <c r="H65" i="8"/>
  <c r="AD84" i="33"/>
  <c r="C65" i="8"/>
  <c r="AB84" i="33"/>
  <c r="C62" i="8"/>
  <c r="Y84" i="33"/>
  <c r="Z7" i="33"/>
  <c r="C40" i="8" s="1"/>
  <c r="J43" i="8" s="1"/>
  <c r="J44" i="8" s="1"/>
  <c r="Z16" i="33"/>
  <c r="C292" i="8"/>
  <c r="C296" i="8"/>
  <c r="C295" i="8"/>
  <c r="C341" i="8"/>
  <c r="C272" i="8"/>
  <c r="C273" i="8"/>
  <c r="Z15" i="33"/>
  <c r="C154" i="8"/>
  <c r="Z11" i="33"/>
  <c r="C158" i="8"/>
  <c r="C157" i="8"/>
  <c r="C131" i="8"/>
  <c r="Z10" i="33"/>
  <c r="C134" i="8"/>
  <c r="C135" i="8"/>
  <c r="C112" i="8"/>
  <c r="C111" i="8"/>
  <c r="C108" i="8"/>
  <c r="Z9" i="33"/>
  <c r="H88" i="8"/>
  <c r="H111" i="8"/>
  <c r="C85" i="8"/>
  <c r="Z8" i="33"/>
  <c r="C88" i="8"/>
  <c r="C502" i="8"/>
  <c r="C502" i="42"/>
  <c r="C499" i="42"/>
  <c r="C499" i="8"/>
  <c r="Z25" i="33"/>
  <c r="H502" i="42"/>
  <c r="H502" i="8"/>
  <c r="C683" i="8"/>
  <c r="C683" i="42"/>
  <c r="Z32" i="33"/>
  <c r="H686" i="8"/>
  <c r="H686" i="42"/>
  <c r="C686" i="42"/>
  <c r="C686" i="8"/>
  <c r="H594" i="8"/>
  <c r="H594" i="42"/>
  <c r="C594" i="8"/>
  <c r="C594" i="42"/>
  <c r="C591" i="8"/>
  <c r="C591" i="42"/>
  <c r="Z28" i="33"/>
  <c r="H433" i="42"/>
  <c r="H433" i="8"/>
  <c r="C433" i="42"/>
  <c r="C433" i="8"/>
  <c r="C430" i="42"/>
  <c r="C430" i="8"/>
  <c r="Z22" i="33"/>
  <c r="H709" i="8"/>
  <c r="H709" i="42"/>
  <c r="C706" i="42"/>
  <c r="C706" i="8"/>
  <c r="Z33" i="33"/>
  <c r="C709" i="42"/>
  <c r="C709" i="8"/>
  <c r="H663" i="42"/>
  <c r="H663" i="8"/>
  <c r="C660" i="42"/>
  <c r="C660" i="8"/>
  <c r="Z31" i="33"/>
  <c r="C663" i="42"/>
  <c r="C663" i="8"/>
  <c r="C614" i="42"/>
  <c r="C614" i="8"/>
  <c r="Z29" i="33"/>
  <c r="C617" i="8"/>
  <c r="C617" i="42"/>
  <c r="H617" i="8"/>
  <c r="H617" i="42"/>
  <c r="C568" i="8"/>
  <c r="C568" i="42"/>
  <c r="Z27" i="33"/>
  <c r="H571" i="42"/>
  <c r="H571" i="8"/>
  <c r="C571" i="42"/>
  <c r="C571" i="8"/>
  <c r="C545" i="42"/>
  <c r="C545" i="8"/>
  <c r="C548" i="8"/>
  <c r="C548" i="42"/>
  <c r="H548" i="42"/>
  <c r="H548" i="8"/>
  <c r="C825" i="8"/>
  <c r="C825" i="42"/>
  <c r="C871" i="42"/>
  <c r="C802" i="8"/>
  <c r="C802" i="42"/>
  <c r="AG40" i="33"/>
  <c r="AH40" i="33" s="1"/>
  <c r="AG37" i="33"/>
  <c r="AH37" i="33" s="1"/>
  <c r="Z84" i="33"/>
  <c r="F45" i="17"/>
  <c r="AG44" i="33" l="1"/>
  <c r="AH44" i="33" s="1"/>
  <c r="C891" i="42"/>
  <c r="J894" i="42" s="1"/>
  <c r="J895" i="42" s="1"/>
  <c r="C891" i="8"/>
  <c r="J894" i="8" s="1"/>
  <c r="J895" i="8" s="1"/>
  <c r="C914" i="42"/>
  <c r="J917" i="42" s="1"/>
  <c r="J918" i="42" s="1"/>
  <c r="C17" i="8"/>
  <c r="J20" i="8" s="1"/>
  <c r="J21" i="8" s="1"/>
  <c r="AG6" i="33"/>
  <c r="AH6" i="33" s="1"/>
  <c r="F3" i="17" s="1"/>
  <c r="C224" i="8"/>
  <c r="C868" i="42"/>
  <c r="J871" i="42" s="1"/>
  <c r="J872" i="42" s="1"/>
  <c r="C799" i="8"/>
  <c r="J802" i="8" s="1"/>
  <c r="J803" i="8" s="1"/>
  <c r="C730" i="42"/>
  <c r="J733" i="42" s="1"/>
  <c r="J734" i="42" s="1"/>
  <c r="C730" i="8"/>
  <c r="J733" i="8" s="1"/>
  <c r="J734" i="8" s="1"/>
  <c r="AG39" i="33"/>
  <c r="AH39" i="33" s="1"/>
  <c r="C822" i="8"/>
  <c r="J825" i="8" s="1"/>
  <c r="J826" i="8" s="1"/>
  <c r="C822" i="42"/>
  <c r="J825" i="42" s="1"/>
  <c r="J826" i="42" s="1"/>
  <c r="C779" i="8"/>
  <c r="C779" i="42"/>
  <c r="C845" i="8"/>
  <c r="J848" i="8" s="1"/>
  <c r="J849" i="8" s="1"/>
  <c r="C845" i="42"/>
  <c r="J848" i="42" s="1"/>
  <c r="J849" i="42" s="1"/>
  <c r="C868" i="8"/>
  <c r="J871" i="8" s="1"/>
  <c r="J872" i="8" s="1"/>
  <c r="AG36" i="33"/>
  <c r="AH36" i="33" s="1"/>
  <c r="F34" i="17" s="1"/>
  <c r="C776" i="42"/>
  <c r="C776" i="8"/>
  <c r="AG25" i="33"/>
  <c r="AH25" i="33" s="1"/>
  <c r="F38" i="17"/>
  <c r="F41" i="17"/>
  <c r="J756" i="42"/>
  <c r="J757" i="42" s="1"/>
  <c r="J756" i="8"/>
  <c r="J757" i="8" s="1"/>
  <c r="J802" i="42"/>
  <c r="J803" i="42" s="1"/>
  <c r="AG22" i="33"/>
  <c r="AH22" i="33" s="1"/>
  <c r="C227" i="8"/>
  <c r="J227" i="8" s="1"/>
  <c r="J228" i="8" s="1"/>
  <c r="AG13" i="33"/>
  <c r="AH13" i="33" s="1"/>
  <c r="F43" i="17"/>
  <c r="F39" i="17"/>
  <c r="AG26" i="33"/>
  <c r="AH26" i="33" s="1"/>
  <c r="C641" i="8"/>
  <c r="C641" i="42"/>
  <c r="AG30" i="33"/>
  <c r="AH30" i="33" s="1"/>
  <c r="C638" i="8"/>
  <c r="C638" i="42"/>
  <c r="C477" i="8"/>
  <c r="C477" i="42"/>
  <c r="AG24" i="33"/>
  <c r="AH24" i="33" s="1"/>
  <c r="C480" i="42"/>
  <c r="C480" i="8"/>
  <c r="C388" i="8"/>
  <c r="C388" i="42"/>
  <c r="C385" i="42"/>
  <c r="C385" i="8"/>
  <c r="AG20" i="33"/>
  <c r="AH20" i="33" s="1"/>
  <c r="AG21" i="33"/>
  <c r="AH21" i="33" s="1"/>
  <c r="C408" i="8"/>
  <c r="C408" i="42"/>
  <c r="C411" i="8"/>
  <c r="C411" i="42"/>
  <c r="C526" i="8"/>
  <c r="C523" i="8"/>
  <c r="C523" i="42"/>
  <c r="J526" i="42" s="1"/>
  <c r="J527" i="42" s="1"/>
  <c r="AG17" i="33"/>
  <c r="AH17" i="33" s="1"/>
  <c r="C316" i="8"/>
  <c r="J319" i="8" s="1"/>
  <c r="J320" i="8" s="1"/>
  <c r="C339" i="8"/>
  <c r="J342" i="8" s="1"/>
  <c r="J343" i="8" s="1"/>
  <c r="AG18" i="33"/>
  <c r="AH18" i="33" s="1"/>
  <c r="AG19" i="33"/>
  <c r="AH19" i="33" s="1"/>
  <c r="C362" i="8"/>
  <c r="J365" i="8" s="1"/>
  <c r="J366" i="8" s="1"/>
  <c r="AG23" i="33"/>
  <c r="AH23" i="33" s="1"/>
  <c r="C454" i="42"/>
  <c r="C454" i="8"/>
  <c r="C457" i="42"/>
  <c r="C457" i="8"/>
  <c r="F44" i="17"/>
  <c r="AG31" i="33"/>
  <c r="AH31" i="33" s="1"/>
  <c r="F31" i="17" s="1"/>
  <c r="C178" i="8"/>
  <c r="J181" i="8" s="1"/>
  <c r="J182" i="8" s="1"/>
  <c r="AG14" i="33"/>
  <c r="AH14" i="33" s="1"/>
  <c r="C247" i="8"/>
  <c r="J250" i="8" s="1"/>
  <c r="J251" i="8" s="1"/>
  <c r="C66" i="8"/>
  <c r="AC84" i="33"/>
  <c r="C89" i="8"/>
  <c r="AG16" i="33"/>
  <c r="AH16" i="33" s="1"/>
  <c r="C293" i="8"/>
  <c r="J296" i="8" s="1"/>
  <c r="J297" i="8" s="1"/>
  <c r="AG11" i="33"/>
  <c r="AH11" i="33" s="1"/>
  <c r="C155" i="8"/>
  <c r="J158" i="8" s="1"/>
  <c r="J159" i="8" s="1"/>
  <c r="AG9" i="33"/>
  <c r="AH9" i="33" s="1"/>
  <c r="C109" i="8"/>
  <c r="J112" i="8" s="1"/>
  <c r="J113" i="8" s="1"/>
  <c r="AG8" i="33"/>
  <c r="AH8" i="33" s="1"/>
  <c r="F6" i="17" s="1"/>
  <c r="C86" i="8"/>
  <c r="C503" i="8"/>
  <c r="C503" i="42"/>
  <c r="C500" i="8"/>
  <c r="C500" i="42"/>
  <c r="AG32" i="33"/>
  <c r="AH32" i="33" s="1"/>
  <c r="C684" i="42"/>
  <c r="C684" i="8"/>
  <c r="C687" i="8"/>
  <c r="C687" i="42"/>
  <c r="C595" i="8"/>
  <c r="C595" i="42"/>
  <c r="AG28" i="33"/>
  <c r="AH28" i="33" s="1"/>
  <c r="C592" i="42"/>
  <c r="C592" i="8"/>
  <c r="C434" i="8"/>
  <c r="C434" i="42"/>
  <c r="C431" i="8"/>
  <c r="C431" i="42"/>
  <c r="C707" i="8"/>
  <c r="C707" i="42"/>
  <c r="AG33" i="33"/>
  <c r="AH33" i="33" s="1"/>
  <c r="C710" i="42"/>
  <c r="C710" i="8"/>
  <c r="C661" i="42"/>
  <c r="C661" i="8"/>
  <c r="C664" i="8"/>
  <c r="C664" i="42"/>
  <c r="C615" i="8"/>
  <c r="C615" i="42"/>
  <c r="C618" i="8"/>
  <c r="C618" i="42"/>
  <c r="AG29" i="33"/>
  <c r="AH29" i="33" s="1"/>
  <c r="C569" i="8"/>
  <c r="C569" i="42"/>
  <c r="AG27" i="33"/>
  <c r="AH27" i="33" s="1"/>
  <c r="C572" i="8"/>
  <c r="C572" i="42"/>
  <c r="C546" i="8"/>
  <c r="C546" i="42"/>
  <c r="C549" i="8"/>
  <c r="C549" i="42"/>
  <c r="C201" i="8"/>
  <c r="J204" i="8" s="1"/>
  <c r="J205" i="8" s="1"/>
  <c r="AG12" i="33"/>
  <c r="AH12" i="33" s="1"/>
  <c r="C63" i="8"/>
  <c r="AG7" i="33"/>
  <c r="C270" i="8"/>
  <c r="J273" i="8" s="1"/>
  <c r="J274" i="8" s="1"/>
  <c r="AG15" i="33"/>
  <c r="AH15" i="33" s="1"/>
  <c r="C132" i="8"/>
  <c r="J135" i="8" s="1"/>
  <c r="J136" i="8" s="1"/>
  <c r="AG10" i="33"/>
  <c r="AH10" i="33" s="1"/>
  <c r="F8" i="17" s="1"/>
  <c r="F23" i="17" l="1"/>
  <c r="F14" i="17"/>
  <c r="F11" i="17"/>
  <c r="F19" i="17"/>
  <c r="F30" i="17"/>
  <c r="F17" i="17"/>
  <c r="F16" i="17"/>
  <c r="F29" i="17"/>
  <c r="F26" i="17"/>
  <c r="J388" i="42"/>
  <c r="J389" i="42" s="1"/>
  <c r="F37" i="17"/>
  <c r="F28" i="17"/>
  <c r="F33" i="17"/>
  <c r="F27" i="17"/>
  <c r="F24" i="17"/>
  <c r="F20" i="17"/>
  <c r="F12" i="17"/>
  <c r="F21" i="17"/>
  <c r="F25" i="17"/>
  <c r="F18" i="17"/>
  <c r="F22" i="17"/>
  <c r="F10" i="17"/>
  <c r="F13" i="17"/>
  <c r="F15" i="17"/>
  <c r="F9" i="17"/>
  <c r="F7" i="17"/>
  <c r="F36" i="17"/>
  <c r="F35" i="17"/>
  <c r="J779" i="42"/>
  <c r="J780" i="42" s="1"/>
  <c r="J779" i="8"/>
  <c r="J780" i="8" s="1"/>
  <c r="J526" i="8"/>
  <c r="J527" i="8" s="1"/>
  <c r="J641" i="8"/>
  <c r="J642" i="8" s="1"/>
  <c r="J457" i="8"/>
  <c r="J458" i="8" s="1"/>
  <c r="J641" i="42"/>
  <c r="J642" i="42" s="1"/>
  <c r="J388" i="8"/>
  <c r="J389" i="8" s="1"/>
  <c r="J411" i="8"/>
  <c r="J412" i="8" s="1"/>
  <c r="J457" i="42"/>
  <c r="J458" i="42" s="1"/>
  <c r="J480" i="8"/>
  <c r="J481" i="8" s="1"/>
  <c r="J480" i="42"/>
  <c r="J481" i="42" s="1"/>
  <c r="J411" i="42"/>
  <c r="J412" i="42" s="1"/>
  <c r="J595" i="42"/>
  <c r="J596" i="42" s="1"/>
  <c r="J595" i="8"/>
  <c r="J596" i="8" s="1"/>
  <c r="J434" i="42"/>
  <c r="J435" i="42" s="1"/>
  <c r="J618" i="8"/>
  <c r="J619" i="8" s="1"/>
  <c r="J503" i="8"/>
  <c r="J504" i="8" s="1"/>
  <c r="J66" i="8"/>
  <c r="J67" i="8" s="1"/>
  <c r="J434" i="8"/>
  <c r="J435" i="8" s="1"/>
  <c r="J549" i="8"/>
  <c r="J550" i="8" s="1"/>
  <c r="F32" i="17"/>
  <c r="F40" i="17"/>
  <c r="AG84" i="33"/>
  <c r="AH7" i="33"/>
  <c r="F4" i="17" s="1"/>
  <c r="J89" i="8"/>
  <c r="J90" i="8" s="1"/>
  <c r="J618" i="42"/>
  <c r="J619" i="42" s="1"/>
  <c r="J572" i="42"/>
  <c r="J573" i="42" s="1"/>
  <c r="J549" i="42"/>
  <c r="J550" i="42" s="1"/>
  <c r="J503" i="42"/>
  <c r="J504" i="42" s="1"/>
  <c r="J687" i="42"/>
  <c r="J688" i="42" s="1"/>
  <c r="J687" i="8"/>
  <c r="J688" i="8" s="1"/>
  <c r="J710" i="8"/>
  <c r="J711" i="8" s="1"/>
  <c r="J710" i="42"/>
  <c r="J711" i="42" s="1"/>
  <c r="J664" i="42"/>
  <c r="J665" i="42" s="1"/>
  <c r="J664" i="8"/>
  <c r="J665" i="8" s="1"/>
  <c r="J572" i="8"/>
  <c r="J573" i="8" s="1"/>
  <c r="F5" i="17" l="1"/>
  <c r="F81" i="17" s="1"/>
  <c r="AH84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tc={8A026C10-137F-44D6-A1B7-27CE1AC0202D}</author>
  </authors>
  <commentList>
    <comment ref="G22" authorId="0" shapeId="0" xr:uid="{8A026C10-137F-44D6-A1B7-27CE1AC0202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실수령300</t>
      </text>
    </comment>
  </commentList>
</comments>
</file>

<file path=xl/sharedStrings.xml><?xml version="1.0" encoding="utf-8"?>
<sst xmlns="http://schemas.openxmlformats.org/spreadsheetml/2006/main" count="4697" uniqueCount="423">
  <si>
    <t>&lt;쿠우쿠우 부평점&gt;</t>
  </si>
  <si>
    <t>번호</t>
    <phoneticPr fontId="2" type="noConversion"/>
  </si>
  <si>
    <t>이름</t>
    <phoneticPr fontId="2" type="noConversion"/>
  </si>
  <si>
    <t>파트</t>
    <phoneticPr fontId="1" type="noConversion"/>
  </si>
  <si>
    <t>주민등록번호</t>
    <phoneticPr fontId="9" type="noConversion"/>
  </si>
  <si>
    <t>입사일</t>
    <phoneticPr fontId="9" type="noConversion"/>
  </si>
  <si>
    <t>퇴사일</t>
    <phoneticPr fontId="9" type="noConversion"/>
  </si>
  <si>
    <t>계약임금</t>
    <phoneticPr fontId="9" type="noConversion"/>
  </si>
  <si>
    <t>시급</t>
    <phoneticPr fontId="1" type="noConversion"/>
  </si>
  <si>
    <t>지        급       내      역</t>
    <phoneticPr fontId="9" type="noConversion"/>
  </si>
  <si>
    <t>근무일</t>
    <phoneticPr fontId="2" type="noConversion"/>
  </si>
  <si>
    <t>휴무</t>
    <phoneticPr fontId="9" type="noConversion"/>
  </si>
  <si>
    <t>휴무공제</t>
    <phoneticPr fontId="1" type="noConversion"/>
  </si>
  <si>
    <t>차감시간</t>
    <phoneticPr fontId="1" type="noConversion"/>
  </si>
  <si>
    <t>시간공제</t>
    <phoneticPr fontId="1" type="noConversion"/>
  </si>
  <si>
    <t>임금총액</t>
    <phoneticPr fontId="2" type="noConversion"/>
  </si>
  <si>
    <t xml:space="preserve">공      제      내      역     </t>
    <phoneticPr fontId="9" type="noConversion"/>
  </si>
  <si>
    <t>공제액계</t>
    <phoneticPr fontId="2" type="noConversion"/>
  </si>
  <si>
    <t>실지급액</t>
    <phoneticPr fontId="2" type="noConversion"/>
  </si>
  <si>
    <t>비고</t>
    <phoneticPr fontId="9" type="noConversion"/>
  </si>
  <si>
    <t>기본급</t>
  </si>
  <si>
    <t>연장근로
(고정)</t>
  </si>
  <si>
    <t>연장근로
(주말)</t>
    <phoneticPr fontId="1" type="noConversion"/>
  </si>
  <si>
    <t>연차수당</t>
  </si>
  <si>
    <t>추가수당</t>
    <phoneticPr fontId="1" type="noConversion"/>
  </si>
  <si>
    <t>소득금액</t>
    <phoneticPr fontId="9" type="noConversion"/>
  </si>
  <si>
    <t>가족수</t>
    <phoneticPr fontId="2" type="noConversion"/>
  </si>
  <si>
    <t>소득세</t>
    <phoneticPr fontId="2" type="noConversion"/>
  </si>
  <si>
    <t>주민세</t>
    <phoneticPr fontId="2" type="noConversion"/>
  </si>
  <si>
    <t>국민연금</t>
    <phoneticPr fontId="9" type="noConversion"/>
  </si>
  <si>
    <t>건강보험</t>
    <phoneticPr fontId="2" type="noConversion"/>
  </si>
  <si>
    <t>장기요양보험</t>
    <phoneticPr fontId="9" type="noConversion"/>
  </si>
  <si>
    <t>고용보험료</t>
    <phoneticPr fontId="2" type="noConversion"/>
  </si>
  <si>
    <t>기지급액</t>
    <phoneticPr fontId="1" type="noConversion"/>
  </si>
  <si>
    <t>1</t>
    <phoneticPr fontId="1" type="noConversion"/>
  </si>
  <si>
    <t>박은규</t>
    <phoneticPr fontId="1" type="noConversion"/>
  </si>
  <si>
    <t>piao jing</t>
    <phoneticPr fontId="1" type="noConversion"/>
  </si>
  <si>
    <t>김다현</t>
  </si>
  <si>
    <t>문서연</t>
  </si>
  <si>
    <t>총       계</t>
    <phoneticPr fontId="9" type="noConversion"/>
  </si>
  <si>
    <t>번호</t>
  </si>
  <si>
    <t>이름</t>
  </si>
  <si>
    <t>주민번호</t>
    <phoneticPr fontId="1" type="noConversion"/>
  </si>
  <si>
    <t>소득총액</t>
    <phoneticPr fontId="1" type="noConversion"/>
  </si>
  <si>
    <t xml:space="preserve">공      제      내      역     </t>
    <phoneticPr fontId="1" type="noConversion"/>
  </si>
  <si>
    <t>공제액계</t>
  </si>
  <si>
    <t>실지급액</t>
  </si>
  <si>
    <t>근무일</t>
    <phoneticPr fontId="1" type="noConversion"/>
  </si>
  <si>
    <t>소득세</t>
  </si>
  <si>
    <t>주민세</t>
  </si>
  <si>
    <t>기지급</t>
    <phoneticPr fontId="1" type="noConversion"/>
  </si>
  <si>
    <t>박여진</t>
  </si>
  <si>
    <t>일용</t>
    <phoneticPr fontId="1" type="noConversion"/>
  </si>
  <si>
    <t>000106-4149815</t>
  </si>
  <si>
    <t>총       계</t>
  </si>
  <si>
    <t>연번</t>
    <phoneticPr fontId="1" type="noConversion"/>
  </si>
  <si>
    <t>사원명</t>
  </si>
  <si>
    <t>주민(외국인)번호</t>
  </si>
  <si>
    <t>지급액</t>
    <phoneticPr fontId="19" type="noConversion"/>
  </si>
  <si>
    <t>고용보험료</t>
    <phoneticPr fontId="19" type="noConversion"/>
  </si>
  <si>
    <t>가불</t>
    <phoneticPr fontId="1" type="noConversion"/>
  </si>
  <si>
    <t>실지급액</t>
    <phoneticPr fontId="19" type="noConversion"/>
  </si>
  <si>
    <t>산재보험료</t>
    <phoneticPr fontId="19" type="noConversion"/>
  </si>
  <si>
    <t>gui xiang</t>
  </si>
  <si>
    <t>820206-6101592</t>
  </si>
  <si>
    <t>박옥순</t>
  </si>
  <si>
    <t>630525-2252859</t>
  </si>
  <si>
    <t>박준서</t>
  </si>
  <si>
    <t>031209-3152515</t>
  </si>
  <si>
    <t>선종훈</t>
  </si>
  <si>
    <t>780624-1644424</t>
  </si>
  <si>
    <t>이경숙</t>
  </si>
  <si>
    <t>580904-2041719</t>
  </si>
  <si>
    <t>700802-1715821</t>
  </si>
  <si>
    <t>임봉식</t>
  </si>
  <si>
    <t>탁서운</t>
  </si>
  <si>
    <t>531107-2469312</t>
  </si>
  <si>
    <t>합계</t>
    <phoneticPr fontId="1" type="noConversion"/>
  </si>
  <si>
    <t>은행</t>
    <phoneticPr fontId="19" type="noConversion"/>
  </si>
  <si>
    <t>계좌번호</t>
    <phoneticPr fontId="19" type="noConversion"/>
  </si>
  <si>
    <t>실지급액</t>
    <phoneticPr fontId="1" type="noConversion"/>
  </si>
  <si>
    <t>파트타임</t>
    <phoneticPr fontId="1" type="noConversion"/>
  </si>
  <si>
    <t>합계액</t>
    <phoneticPr fontId="1" type="noConversion"/>
  </si>
  <si>
    <t>직 위/부 서</t>
    <phoneticPr fontId="9" type="noConversion"/>
  </si>
  <si>
    <r>
      <t xml:space="preserve">성 </t>
    </r>
    <r>
      <rPr>
        <sz val="10"/>
        <color theme="1"/>
        <rFont val="굴림"/>
        <family val="3"/>
        <charset val="129"/>
      </rPr>
      <t xml:space="preserve">   명</t>
    </r>
    <phoneticPr fontId="9" type="noConversion"/>
  </si>
  <si>
    <t>당월 근무일</t>
    <phoneticPr fontId="9" type="noConversion"/>
  </si>
  <si>
    <t>휴무 추가/공제 내역</t>
    <phoneticPr fontId="9" type="noConversion"/>
  </si>
  <si>
    <t>월책정급여</t>
    <phoneticPr fontId="9" type="noConversion"/>
  </si>
  <si>
    <t>출근일수</t>
    <phoneticPr fontId="9" type="noConversion"/>
  </si>
  <si>
    <t>공제액</t>
  </si>
  <si>
    <t>공제일수</t>
    <phoneticPr fontId="9" type="noConversion"/>
  </si>
  <si>
    <t>지급사항</t>
    <phoneticPr fontId="9" type="noConversion"/>
  </si>
  <si>
    <t>연장근로(주말)</t>
    <phoneticPr fontId="1" type="noConversion"/>
  </si>
  <si>
    <t>추가수당(휴일등)</t>
    <phoneticPr fontId="1" type="noConversion"/>
  </si>
  <si>
    <t>연차수당</t>
    <phoneticPr fontId="1" type="noConversion"/>
  </si>
  <si>
    <t>지 급 총 액</t>
    <phoneticPr fontId="9" type="noConversion"/>
  </si>
  <si>
    <t>공제사항</t>
    <phoneticPr fontId="9" type="noConversion"/>
  </si>
  <si>
    <r>
      <t xml:space="preserve"> 소 </t>
    </r>
    <r>
      <rPr>
        <sz val="10"/>
        <color theme="1"/>
        <rFont val="굴림"/>
        <family val="3"/>
        <charset val="129"/>
      </rPr>
      <t xml:space="preserve">  득   세</t>
    </r>
    <phoneticPr fontId="9" type="noConversion"/>
  </si>
  <si>
    <t>지 방 소 득 세</t>
    <phoneticPr fontId="9" type="noConversion"/>
  </si>
  <si>
    <t xml:space="preserve"> 국 민 연 금</t>
    <phoneticPr fontId="9" type="noConversion"/>
  </si>
  <si>
    <t>기 지 급 액</t>
  </si>
  <si>
    <t xml:space="preserve"> 건 강 보 험</t>
    <phoneticPr fontId="9" type="noConversion"/>
  </si>
  <si>
    <t>고 용 보 험</t>
    <phoneticPr fontId="9" type="noConversion"/>
  </si>
  <si>
    <t>공 제 총 액</t>
    <phoneticPr fontId="9" type="noConversion"/>
  </si>
  <si>
    <t>실 수 령 액</t>
    <phoneticPr fontId="9" type="noConversion"/>
  </si>
  <si>
    <t>귀하의 노고에 감사드립니다.</t>
    <phoneticPr fontId="9" type="noConversion"/>
  </si>
  <si>
    <t>국민연금정산</t>
    <phoneticPr fontId="9" type="noConversion"/>
  </si>
  <si>
    <t>시급제</t>
    <phoneticPr fontId="1" type="noConversion"/>
  </si>
  <si>
    <t>근무시간</t>
    <phoneticPr fontId="9" type="noConversion"/>
  </si>
  <si>
    <t>급여총액</t>
    <phoneticPr fontId="1" type="noConversion"/>
  </si>
  <si>
    <t>주휴/연장 수당등 포함</t>
    <phoneticPr fontId="1" type="noConversion"/>
  </si>
  <si>
    <t>2020년 1월 지급내역</t>
  </si>
  <si>
    <t>2020년 1월 공제내역</t>
  </si>
  <si>
    <t>은행</t>
    <phoneticPr fontId="9" type="noConversion"/>
  </si>
  <si>
    <t>계좌번호</t>
    <phoneticPr fontId="9" type="noConversion"/>
  </si>
  <si>
    <t>야간근로</t>
    <phoneticPr fontId="2" type="noConversion"/>
  </si>
  <si>
    <t>가불공제</t>
    <phoneticPr fontId="1" type="noConversion"/>
  </si>
  <si>
    <t>고순호</t>
  </si>
  <si>
    <t>000630-3157313</t>
  </si>
  <si>
    <t>1</t>
    <phoneticPr fontId="2" type="noConversion"/>
  </si>
  <si>
    <t>국민은행</t>
  </si>
  <si>
    <t>910602-01-175732</t>
  </si>
  <si>
    <t>김나현</t>
  </si>
  <si>
    <t>001120-4155017</t>
  </si>
  <si>
    <t>카카오뱅크</t>
  </si>
  <si>
    <t>3333-10-7214288</t>
  </si>
  <si>
    <t>박선을</t>
  </si>
  <si>
    <t>010105-4154826</t>
  </si>
  <si>
    <t>2019-02-29</t>
    <phoneticPr fontId="1" type="noConversion"/>
  </si>
  <si>
    <t>하나은행</t>
  </si>
  <si>
    <t>40791058186607</t>
  </si>
  <si>
    <t>배민준</t>
  </si>
  <si>
    <t>000811-3158818</t>
  </si>
  <si>
    <t>3333-08-8385155</t>
  </si>
  <si>
    <t>배상범</t>
  </si>
  <si>
    <t>000202-3156734</t>
  </si>
  <si>
    <t>기업은행</t>
  </si>
  <si>
    <t>975-047534-01-016</t>
  </si>
  <si>
    <t>서혜민</t>
  </si>
  <si>
    <t>001222-4066110</t>
  </si>
  <si>
    <t>제일은행</t>
  </si>
  <si>
    <t>603-20-253087</t>
  </si>
  <si>
    <t>손다은</t>
  </si>
  <si>
    <t>010708-4154814</t>
  </si>
  <si>
    <t>농협</t>
  </si>
  <si>
    <t>352-1656-6309-23</t>
  </si>
  <si>
    <t>양기환</t>
  </si>
  <si>
    <t>001203-3478912</t>
  </si>
  <si>
    <t>302125-5184391</t>
  </si>
  <si>
    <t>오유민</t>
  </si>
  <si>
    <t>000601-4412216</t>
  </si>
  <si>
    <t>3333-08-7514946</t>
  </si>
  <si>
    <t>유경하</t>
  </si>
  <si>
    <t>990218-2155410</t>
  </si>
  <si>
    <t>659402-01-349166</t>
  </si>
  <si>
    <t>이나영</t>
  </si>
  <si>
    <t>001019-4183714</t>
  </si>
  <si>
    <t>3333-08-4713978</t>
  </si>
  <si>
    <t>이대성</t>
  </si>
  <si>
    <t>000819-3155516</t>
  </si>
  <si>
    <t>3333-11-8318902</t>
  </si>
  <si>
    <t>임민경</t>
  </si>
  <si>
    <t>000722-4158418</t>
    <phoneticPr fontId="1" type="noConversion"/>
  </si>
  <si>
    <t>3333-08-6054068</t>
  </si>
  <si>
    <t>임형준</t>
  </si>
  <si>
    <t>010911-3154619</t>
  </si>
  <si>
    <t>302-1015-0201-81</t>
  </si>
  <si>
    <t>최은영</t>
  </si>
  <si>
    <t>001119-4233219</t>
  </si>
  <si>
    <t>3333-09-2060829</t>
  </si>
  <si>
    <t>[ 2020년  1월 ]급여 명세서</t>
  </si>
  <si>
    <t>가 불 공 제</t>
    <phoneticPr fontId="9" type="noConversion"/>
  </si>
  <si>
    <t>[ 2019년  2월 ]급여 명세서</t>
  </si>
  <si>
    <t>성명</t>
  </si>
  <si>
    <t>은행코드</t>
  </si>
  <si>
    <t>은행</t>
  </si>
  <si>
    <t>계좌번호</t>
  </si>
  <si>
    <t>근무시간</t>
  </si>
  <si>
    <t>금액</t>
  </si>
  <si>
    <t>주민등록번호</t>
  </si>
  <si>
    <t>030923-4151819</t>
  </si>
  <si>
    <t>이윤서</t>
  </si>
  <si>
    <t>030303-4158113</t>
  </si>
  <si>
    <t xml:space="preserve"> 근무자 현황(직원)</t>
  </si>
  <si>
    <t>구분</t>
  </si>
  <si>
    <t>연락처</t>
  </si>
  <si>
    <t>월급여</t>
  </si>
  <si>
    <t>주민번호</t>
  </si>
  <si>
    <t>통장명의         (본인인 경우Y)</t>
  </si>
  <si>
    <t>근무시작</t>
  </si>
  <si>
    <t>롤</t>
  </si>
  <si>
    <t>PIAO JING</t>
  </si>
  <si>
    <t>초다이</t>
  </si>
  <si>
    <t>박은규</t>
  </si>
  <si>
    <t>샐러드</t>
  </si>
  <si>
    <t>핫/즉석</t>
  </si>
  <si>
    <t>홀</t>
  </si>
  <si>
    <t>040226-4155412</t>
  </si>
  <si>
    <t>세척</t>
  </si>
  <si>
    <t>piao shunji</t>
  </si>
  <si>
    <t>ZHAO LEI</t>
  </si>
  <si>
    <t>강경숙</t>
  </si>
  <si>
    <t>김경미</t>
  </si>
  <si>
    <t>김도현</t>
  </si>
  <si>
    <t>김예원</t>
  </si>
  <si>
    <t>김태웅</t>
  </si>
  <si>
    <t>복기문</t>
  </si>
  <si>
    <t>송종혁</t>
  </si>
  <si>
    <t>안계환</t>
  </si>
  <si>
    <t>염순자</t>
  </si>
  <si>
    <t>오혜성</t>
  </si>
  <si>
    <t>유봉균</t>
  </si>
  <si>
    <t>이선주</t>
  </si>
  <si>
    <t>이승헌</t>
  </si>
  <si>
    <t>이윤정</t>
  </si>
  <si>
    <t>임진희</t>
  </si>
  <si>
    <t>장소현</t>
  </si>
  <si>
    <t xml:space="preserve"> 000107-3156011</t>
  </si>
  <si>
    <t>561120-6140014</t>
  </si>
  <si>
    <t>831114-5120023</t>
  </si>
  <si>
    <t>600303-2524738</t>
  </si>
  <si>
    <t>620825-2463014</t>
  </si>
  <si>
    <t>021209-4065823</t>
  </si>
  <si>
    <t>990819-1158811</t>
  </si>
  <si>
    <t>931206-1020811</t>
  </si>
  <si>
    <t>041216-3050812</t>
  </si>
  <si>
    <t>900526-1029910</t>
  </si>
  <si>
    <t>491129-2063111</t>
  </si>
  <si>
    <t>030517-3157711</t>
  </si>
  <si>
    <t>860301-1055021</t>
  </si>
  <si>
    <t>530301-2454716</t>
  </si>
  <si>
    <t>030515-3698617</t>
  </si>
  <si>
    <t>040131-4932516</t>
  </si>
  <si>
    <t>520914-2069010</t>
  </si>
  <si>
    <t>040526-4380710</t>
  </si>
  <si>
    <t>부평점(2023년 3월 일용직)</t>
  </si>
  <si>
    <t>홍이준</t>
  </si>
  <si>
    <t>030827-3033011</t>
  </si>
  <si>
    <t>369-910552-11407</t>
  </si>
  <si>
    <t>신한</t>
  </si>
  <si>
    <t>우리</t>
  </si>
  <si>
    <t>새마을금고</t>
  </si>
  <si>
    <t>9002-1731-3280-5</t>
  </si>
  <si>
    <t>김아영</t>
  </si>
  <si>
    <t>041227-4082114</t>
  </si>
  <si>
    <t>000107-315611</t>
  </si>
  <si>
    <t>630526-2252859</t>
  </si>
  <si>
    <t>4</t>
    <phoneticPr fontId="1" type="noConversion"/>
  </si>
  <si>
    <t>830729-6100013</t>
  </si>
  <si>
    <t>870923-1243215</t>
  </si>
  <si>
    <t>박대순</t>
  </si>
  <si>
    <t>001228-3157718</t>
  </si>
  <si>
    <t>핫</t>
  </si>
  <si>
    <t>주혜원</t>
  </si>
  <si>
    <t>050722-4155113</t>
  </si>
  <si>
    <t>안동화</t>
  </si>
  <si>
    <t>김성환</t>
  </si>
  <si>
    <t>1002-946-342922</t>
  </si>
  <si>
    <t>356-0297-9622-53</t>
  </si>
  <si>
    <t>700928-6101893</t>
  </si>
  <si>
    <t>970504-1019024</t>
  </si>
  <si>
    <t>고정추가수당</t>
    <phoneticPr fontId="1" type="noConversion"/>
  </si>
  <si>
    <t>휴일근무+
추가수당</t>
    <phoneticPr fontId="2" type="noConversion"/>
  </si>
  <si>
    <t>이다온</t>
  </si>
  <si>
    <t>040501-4156419</t>
  </si>
  <si>
    <t>강준은</t>
  </si>
  <si>
    <t>서규원</t>
  </si>
  <si>
    <t>040612-3184329</t>
  </si>
  <si>
    <t>990714-1158614</t>
  </si>
  <si>
    <t>박경찬</t>
  </si>
  <si>
    <t>박혜영</t>
  </si>
  <si>
    <t>010321-3152616</t>
  </si>
  <si>
    <t>871025-2187811</t>
  </si>
  <si>
    <t>강수정</t>
  </si>
  <si>
    <t>장준수</t>
  </si>
  <si>
    <t>970726-2155815</t>
    <phoneticPr fontId="1" type="noConversion"/>
  </si>
  <si>
    <t>890417-1709714</t>
    <phoneticPr fontId="1" type="noConversion"/>
  </si>
  <si>
    <t>김소연</t>
  </si>
  <si>
    <t>040409-4155010</t>
  </si>
  <si>
    <t>강정애</t>
  </si>
  <si>
    <t>110-253-242081</t>
  </si>
  <si>
    <t>621005-6100899</t>
  </si>
  <si>
    <t>강정애</t>
    <phoneticPr fontId="1" type="noConversion"/>
  </si>
  <si>
    <t>이규동</t>
  </si>
  <si>
    <t>양혜진</t>
  </si>
  <si>
    <t>정영수</t>
  </si>
  <si>
    <t>김수연</t>
  </si>
  <si>
    <t>010913-4150118</t>
  </si>
  <si>
    <t>041127-3222537</t>
  </si>
  <si>
    <t>060512-4085214</t>
  </si>
  <si>
    <t>손민서</t>
  </si>
  <si>
    <t>정우진</t>
  </si>
  <si>
    <t>001204-3126211</t>
  </si>
  <si>
    <t>041020-4154611</t>
  </si>
  <si>
    <t>000731-4113431</t>
  </si>
  <si>
    <t>이태건</t>
  </si>
  <si>
    <t>최지훈</t>
  </si>
  <si>
    <t>050511-3155821</t>
  </si>
  <si>
    <t>020814-3156211</t>
  </si>
  <si>
    <t>서헌규</t>
  </si>
  <si>
    <t>김금희</t>
  </si>
  <si>
    <t>921204-1748215</t>
  </si>
  <si>
    <t>700318-2018314</t>
  </si>
  <si>
    <t>2024년 7월 사업소득지급대장</t>
    <phoneticPr fontId="1" type="noConversion"/>
  </si>
  <si>
    <t>보험료환급</t>
    <phoneticPr fontId="9" type="noConversion"/>
  </si>
  <si>
    <t>김선월</t>
  </si>
  <si>
    <t>631004-6320198</t>
  </si>
  <si>
    <t>030306-3156310</t>
  </si>
  <si>
    <t>방창배</t>
  </si>
  <si>
    <t>이민성</t>
  </si>
  <si>
    <t>이강욱</t>
  </si>
  <si>
    <t>060606-3156019</t>
  </si>
  <si>
    <t>060816-3159016</t>
  </si>
  <si>
    <t>유용복</t>
  </si>
  <si>
    <t>880621-1065632</t>
  </si>
  <si>
    <t>김철우</t>
  </si>
  <si>
    <t>노근희</t>
  </si>
  <si>
    <t>070111-3155018</t>
  </si>
  <si>
    <t>000927-3054211</t>
  </si>
  <si>
    <t>최장현</t>
  </si>
  <si>
    <t>이준수</t>
  </si>
  <si>
    <t>930114-1064818</t>
  </si>
  <si>
    <t>991231-1152511</t>
  </si>
  <si>
    <t>이부순</t>
  </si>
  <si>
    <t>김연희</t>
  </si>
  <si>
    <t>690917-2451117</t>
  </si>
  <si>
    <t>770210-6102899</t>
  </si>
  <si>
    <t>퇴직정산</t>
    <phoneticPr fontId="1" type="noConversion"/>
  </si>
  <si>
    <t>퇴 직 정 산</t>
  </si>
  <si>
    <t>980825-1156317</t>
  </si>
  <si>
    <t>김민준</t>
  </si>
  <si>
    <t>조윤희</t>
    <phoneticPr fontId="1" type="noConversion"/>
  </si>
  <si>
    <t>890428-2150912</t>
    <phoneticPr fontId="2" type="noConversion"/>
  </si>
  <si>
    <t>이경수</t>
  </si>
  <si>
    <t>920315-1352615</t>
  </si>
  <si>
    <t>나지훈</t>
  </si>
  <si>
    <t>박기호</t>
  </si>
  <si>
    <t>960115-1020619</t>
  </si>
  <si>
    <t>010620-3156714</t>
  </si>
  <si>
    <t>서진우</t>
  </si>
  <si>
    <t>윤동현</t>
  </si>
  <si>
    <t>김동현</t>
  </si>
  <si>
    <t>이태현</t>
  </si>
  <si>
    <t>990927-1213821</t>
  </si>
  <si>
    <t>020712-3155616</t>
  </si>
  <si>
    <t>990824-1081317</t>
  </si>
  <si>
    <t>071229-3158912</t>
  </si>
  <si>
    <t>허옥자</t>
  </si>
  <si>
    <t>김린</t>
  </si>
  <si>
    <t>이금향</t>
  </si>
  <si>
    <t>691020-6760016</t>
  </si>
  <si>
    <t>861016-6100690</t>
  </si>
  <si>
    <t>660414-6101593</t>
  </si>
  <si>
    <t>김예찬</t>
    <phoneticPr fontId="1" type="noConversion"/>
  </si>
  <si>
    <t>함석형</t>
  </si>
  <si>
    <t>윤서진</t>
  </si>
  <si>
    <t>010306-3222516</t>
  </si>
  <si>
    <t>050510-4156011</t>
  </si>
  <si>
    <t>전용현</t>
  </si>
  <si>
    <t>박성재</t>
  </si>
  <si>
    <t>000316-3154622</t>
  </si>
  <si>
    <t>061020-3178512</t>
  </si>
  <si>
    <t>황지현</t>
    <phoneticPr fontId="1" type="noConversion"/>
  </si>
  <si>
    <t>황지현</t>
    <phoneticPr fontId="2" type="noConversion"/>
  </si>
  <si>
    <t>830909-1247317</t>
    <phoneticPr fontId="2" type="noConversion"/>
  </si>
  <si>
    <t>권은주</t>
  </si>
  <si>
    <t>731006-2894913</t>
  </si>
  <si>
    <t>강현경</t>
  </si>
  <si>
    <t>김미숙</t>
  </si>
  <si>
    <t>김미숙</t>
    <phoneticPr fontId="1" type="noConversion"/>
  </si>
  <si>
    <t>951206-2158027</t>
  </si>
  <si>
    <t>690610-2328312</t>
  </si>
  <si>
    <t>초다이</t>
    <phoneticPr fontId="2" type="noConversion"/>
  </si>
  <si>
    <t>정지훈</t>
    <phoneticPr fontId="2" type="noConversion"/>
  </si>
  <si>
    <t>정지훈</t>
    <phoneticPr fontId="1" type="noConversion"/>
  </si>
  <si>
    <t>한재승</t>
  </si>
  <si>
    <t>070810-3154613</t>
  </si>
  <si>
    <t>990817-2005918</t>
  </si>
  <si>
    <t>030916-3155213</t>
  </si>
  <si>
    <t>정유진</t>
  </si>
  <si>
    <t>김제우</t>
  </si>
  <si>
    <t>김광신</t>
  </si>
  <si>
    <t>안유빈</t>
  </si>
  <si>
    <t>000810-4155313</t>
  </si>
  <si>
    <t>830513-1624015</t>
  </si>
  <si>
    <t>730213-1350715</t>
  </si>
  <si>
    <t>001104-3466619</t>
  </si>
  <si>
    <t>650225-2154914</t>
  </si>
  <si>
    <t>김서연</t>
  </si>
  <si>
    <t>이혜원</t>
  </si>
  <si>
    <t>김영신</t>
  </si>
  <si>
    <t>070904-4156018</t>
  </si>
  <si>
    <t>071012-3154816</t>
  </si>
  <si>
    <t>040202-4784027</t>
  </si>
  <si>
    <t>000203-4185028</t>
  </si>
  <si>
    <t>841217-1183319</t>
    <phoneticPr fontId="1" type="noConversion"/>
  </si>
  <si>
    <t>2026년 1월 지급내역</t>
  </si>
  <si>
    <t>2026년 1월 공제내역</t>
  </si>
  <si>
    <t>쿠우쿠우 부평점(2026년 1월 직원급여지급내역)</t>
  </si>
  <si>
    <t>[ 2026년 1월 ]급여 명세서</t>
  </si>
  <si>
    <t>030710-4183811</t>
  </si>
  <si>
    <t>050215-3122818</t>
  </si>
  <si>
    <t>010212-4163121</t>
  </si>
  <si>
    <t>050804-4156712</t>
  </si>
  <si>
    <t>031217-3157818</t>
  </si>
  <si>
    <t>030117-3157912</t>
  </si>
  <si>
    <t>040915-3154914</t>
  </si>
  <si>
    <t>040805-3185916</t>
  </si>
  <si>
    <t>010217-3183118</t>
  </si>
  <si>
    <t>최예림</t>
  </si>
  <si>
    <t>김정진</t>
  </si>
  <si>
    <t>황수아</t>
  </si>
  <si>
    <t>주희연</t>
  </si>
  <si>
    <t>박경원</t>
  </si>
  <si>
    <t>김준하</t>
  </si>
  <si>
    <t>김태민</t>
  </si>
  <si>
    <t>장민호</t>
  </si>
  <si>
    <t>백준희</t>
  </si>
  <si>
    <t>이현석</t>
  </si>
  <si>
    <t>이다연</t>
  </si>
  <si>
    <t>강봉국</t>
  </si>
  <si>
    <t>남궁현</t>
  </si>
  <si>
    <t>이은지 - 12.31.퇴사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</si>
</sst>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₩&quot;#,##0_);[Red]\(&quot;₩&quot;#,##0\)"/>
    <numFmt numFmtId="177" formatCode="#,##0;[Red]#,##0"/>
    <numFmt numFmtId="178" formatCode="#,##0_ "/>
    <numFmt numFmtId="179" formatCode="mm&quot;월&quot;\ dd&quot;일&quot;"/>
    <numFmt numFmtId="180" formatCode="_ * #,##0_ ;_ * \-#,##0_ ;_ * &quot;-&quot;_ ;_ @_ "/>
    <numFmt numFmtId="181" formatCode="#,##0.0_ "/>
    <numFmt numFmtId="182" formatCode="#,##0&quot;원&quot;"/>
    <numFmt numFmtId="183" formatCode="0_);[Red]\(0\)"/>
    <numFmt numFmtId="184" formatCode="000\-0000\-0000"/>
    <numFmt numFmtId="185" formatCode="_-* #,##0.0_-;\-* #,##0.0_-;_-* &quot;-&quot;_-;_-@_-"/>
    <numFmt numFmtId="186" formatCode="&quot;₩&quot;#,##0"/>
    <numFmt numFmtId="187" formatCode="0.0_);[Red]\(0.0\)"/>
    <numFmt numFmtId="188" formatCode="#,##0_ &quot;원&quot;"/>
  </numFmts>
  <fonts count="5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0"/>
      <name val="굴림"/>
      <family val="3"/>
      <charset val="129"/>
    </font>
    <font>
      <sz val="10"/>
      <name val="바탕체"/>
      <family val="1"/>
      <charset val="129"/>
    </font>
    <font>
      <sz val="10"/>
      <color rgb="FF000000"/>
      <name val="HY신명조"/>
      <family val="1"/>
      <charset val="129"/>
    </font>
    <font>
      <b/>
      <sz val="20"/>
      <name val="굴림"/>
      <family val="3"/>
      <charset val="129"/>
    </font>
    <font>
      <sz val="8"/>
      <name val="굴림"/>
      <family val="3"/>
      <charset val="129"/>
    </font>
    <font>
      <b/>
      <sz val="24"/>
      <name val="굴림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b/>
      <sz val="10"/>
      <name val="돋움"/>
      <family val="3"/>
      <charset val="129"/>
    </font>
    <font>
      <b/>
      <sz val="8"/>
      <name val="굴림"/>
      <family val="3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7.5"/>
      <name val="맑은 고딕"/>
      <family val="1"/>
      <charset val="129"/>
      <scheme val="minor"/>
    </font>
    <font>
      <sz val="11"/>
      <color theme="1"/>
      <name val="맑은 고딕"/>
      <family val="1"/>
      <charset val="129"/>
      <scheme val="minor"/>
    </font>
    <font>
      <b/>
      <sz val="9"/>
      <name val="맑은 고딕"/>
      <family val="1"/>
      <charset val="129"/>
      <scheme val="minor"/>
    </font>
    <font>
      <b/>
      <sz val="11"/>
      <color theme="1"/>
      <name val="맑은 고딕"/>
      <family val="1"/>
      <charset val="129"/>
      <scheme val="major"/>
    </font>
    <font>
      <sz val="8"/>
      <name val="맑은 고딕"/>
      <family val="1"/>
      <charset val="129"/>
      <scheme val="minor"/>
    </font>
    <font>
      <sz val="11"/>
      <color theme="1"/>
      <name val="맑은 고딕"/>
      <family val="3"/>
      <charset val="129"/>
      <scheme val="major"/>
    </font>
    <font>
      <sz val="20"/>
      <color theme="1"/>
      <name val="맑은 고딕"/>
      <family val="3"/>
      <charset val="129"/>
      <scheme val="major"/>
    </font>
    <font>
      <sz val="10"/>
      <color theme="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u val="double"/>
      <sz val="2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굴림"/>
      <family val="3"/>
      <charset val="129"/>
    </font>
    <font>
      <sz val="8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sz val="9"/>
      <name val="돋움"/>
      <family val="3"/>
      <charset val="129"/>
    </font>
    <font>
      <sz val="11"/>
      <color theme="1"/>
      <name val="맑은 고딕"/>
      <family val="2"/>
      <scheme val="minor"/>
    </font>
    <font>
      <b/>
      <sz val="10"/>
      <name val="굴림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name val="굴림"/>
      <family val="2"/>
      <charset val="129"/>
    </font>
    <font>
      <sz val="9"/>
      <color theme="0"/>
      <name val="굴림"/>
      <family val="3"/>
      <charset val="129"/>
    </font>
    <font>
      <sz val="9"/>
      <color rgb="FFFF0000"/>
      <name val="굴림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39994506668294322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ck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13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18" fillId="0" borderId="0">
      <alignment vertical="center"/>
    </xf>
    <xf numFmtId="2" fontId="20" fillId="0" borderId="0">
      <alignment horizontal="left" vertical="center"/>
    </xf>
    <xf numFmtId="2" fontId="22" fillId="9" borderId="0">
      <alignment horizontal="left" vertical="center"/>
    </xf>
    <xf numFmtId="0" fontId="23" fillId="9" borderId="18">
      <alignment horizontal="left" vertical="center"/>
    </xf>
    <xf numFmtId="0" fontId="24" fillId="0" borderId="0">
      <alignment horizontal="left"/>
    </xf>
    <xf numFmtId="41" fontId="20" fillId="0" borderId="0" applyFont="0" applyFill="0" applyBorder="0" applyAlignment="0" applyProtection="0">
      <alignment vertical="center"/>
    </xf>
    <xf numFmtId="2" fontId="20" fillId="0" borderId="0">
      <alignment horizontal="left" vertical="center"/>
    </xf>
    <xf numFmtId="2" fontId="20" fillId="0" borderId="0">
      <alignment horizontal="left" vertical="center"/>
    </xf>
    <xf numFmtId="0" fontId="21" fillId="0" borderId="0">
      <alignment vertical="center"/>
    </xf>
    <xf numFmtId="2" fontId="20" fillId="0" borderId="0">
      <alignment horizontal="left" vertical="center"/>
    </xf>
    <xf numFmtId="2" fontId="20" fillId="0" borderId="0">
      <alignment horizontal="left" vertical="center"/>
    </xf>
    <xf numFmtId="2" fontId="20" fillId="0" borderId="0">
      <alignment horizontal="left" vertical="center"/>
    </xf>
    <xf numFmtId="2" fontId="20" fillId="0" borderId="0">
      <alignment horizontal="left" vertical="center"/>
    </xf>
    <xf numFmtId="2" fontId="20" fillId="0" borderId="0">
      <alignment horizontal="left" vertical="center"/>
    </xf>
    <xf numFmtId="2" fontId="20" fillId="0" borderId="0">
      <alignment horizontal="left" vertical="center"/>
    </xf>
    <xf numFmtId="2" fontId="20" fillId="0" borderId="0">
      <alignment horizontal="left" vertical="center"/>
    </xf>
    <xf numFmtId="2" fontId="20" fillId="0" borderId="0">
      <alignment horizontal="left" vertical="center"/>
    </xf>
    <xf numFmtId="2" fontId="20" fillId="0" borderId="0">
      <alignment horizontal="left" vertical="center"/>
    </xf>
    <xf numFmtId="2" fontId="20" fillId="0" borderId="0">
      <alignment horizontal="left" vertical="center"/>
    </xf>
    <xf numFmtId="2" fontId="20" fillId="0" borderId="0">
      <alignment horizontal="left" vertical="center"/>
    </xf>
    <xf numFmtId="2" fontId="20" fillId="0" borderId="0">
      <alignment horizontal="left" vertical="center"/>
    </xf>
    <xf numFmtId="0" fontId="3" fillId="0" borderId="0"/>
    <xf numFmtId="41" fontId="3" fillId="0" borderId="0" applyFont="0" applyFill="0" applyBorder="0" applyAlignment="0" applyProtection="0"/>
    <xf numFmtId="0" fontId="5" fillId="0" borderId="0"/>
    <xf numFmtId="0" fontId="18" fillId="0" borderId="0">
      <alignment vertical="center"/>
    </xf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3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18" fillId="0" borderId="0">
      <alignment vertical="center"/>
    </xf>
    <xf numFmtId="0" fontId="5" fillId="0" borderId="0"/>
    <xf numFmtId="0" fontId="18" fillId="0" borderId="0">
      <alignment vertical="center"/>
    </xf>
    <xf numFmtId="0" fontId="5" fillId="0" borderId="0"/>
    <xf numFmtId="0" fontId="5" fillId="0" borderId="0"/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5" fillId="0" borderId="0"/>
    <xf numFmtId="0" fontId="18" fillId="0" borderId="0">
      <alignment vertical="center"/>
    </xf>
    <xf numFmtId="0" fontId="3" fillId="0" borderId="0"/>
    <xf numFmtId="0" fontId="18" fillId="0" borderId="0">
      <alignment vertical="center"/>
    </xf>
    <xf numFmtId="0" fontId="3" fillId="0" borderId="0"/>
    <xf numFmtId="0" fontId="18" fillId="0" borderId="0">
      <alignment vertical="center"/>
    </xf>
    <xf numFmtId="0" fontId="3" fillId="0" borderId="0"/>
    <xf numFmtId="0" fontId="18" fillId="0" borderId="0">
      <alignment vertical="center"/>
    </xf>
    <xf numFmtId="0" fontId="3" fillId="0" borderId="0"/>
    <xf numFmtId="0" fontId="18" fillId="0" borderId="0">
      <alignment vertical="center"/>
    </xf>
    <xf numFmtId="0" fontId="1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44" fillId="0" borderId="0"/>
    <xf numFmtId="41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</cellStyleXfs>
  <cellXfs count="362">
    <xf numFmtId="0" fontId="0" fillId="0" borderId="0" xfId="0">
      <alignment vertical="center"/>
    </xf>
    <xf numFmtId="0" fontId="5" fillId="0" borderId="5" xfId="3" applyBorder="1" applyAlignment="1">
      <alignment horizontal="center" vertical="center"/>
    </xf>
    <xf numFmtId="3" fontId="5" fillId="6" borderId="1" xfId="3" applyNumberFormat="1" applyFill="1" applyBorder="1" applyAlignment="1">
      <alignment horizontal="center" vertical="center"/>
    </xf>
    <xf numFmtId="3" fontId="5" fillId="0" borderId="1" xfId="3" applyNumberFormat="1" applyBorder="1" applyAlignment="1">
      <alignment horizontal="center" vertical="center"/>
    </xf>
    <xf numFmtId="0" fontId="5" fillId="0" borderId="0" xfId="3"/>
    <xf numFmtId="180" fontId="6" fillId="0" borderId="2" xfId="2" applyNumberFormat="1" applyFont="1" applyBorder="1"/>
    <xf numFmtId="3" fontId="7" fillId="0" borderId="7" xfId="1" applyNumberFormat="1" applyFont="1" applyBorder="1" applyAlignment="1">
      <alignment horizontal="center" vertical="center" wrapText="1"/>
    </xf>
    <xf numFmtId="0" fontId="7" fillId="5" borderId="7" xfId="1" applyFont="1" applyFill="1" applyBorder="1" applyAlignment="1">
      <alignment horizontal="center" vertical="center" wrapText="1"/>
    </xf>
    <xf numFmtId="0" fontId="7" fillId="6" borderId="7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3" fontId="7" fillId="5" borderId="7" xfId="1" applyNumberFormat="1" applyFont="1" applyFill="1" applyBorder="1" applyAlignment="1">
      <alignment horizontal="center" vertical="center" wrapText="1"/>
    </xf>
    <xf numFmtId="3" fontId="7" fillId="6" borderId="7" xfId="1" applyNumberFormat="1" applyFont="1" applyFill="1" applyBorder="1" applyAlignment="1">
      <alignment horizontal="center" vertical="center" wrapText="1"/>
    </xf>
    <xf numFmtId="3" fontId="7" fillId="2" borderId="7" xfId="1" applyNumberFormat="1" applyFont="1" applyFill="1" applyBorder="1" applyAlignment="1">
      <alignment horizontal="center" vertical="center" wrapText="1"/>
    </xf>
    <xf numFmtId="0" fontId="5" fillId="2" borderId="0" xfId="3" applyFill="1"/>
    <xf numFmtId="3" fontId="5" fillId="0" borderId="0" xfId="3" applyNumberFormat="1"/>
    <xf numFmtId="3" fontId="5" fillId="5" borderId="0" xfId="3" applyNumberFormat="1" applyFill="1"/>
    <xf numFmtId="3" fontId="5" fillId="6" borderId="0" xfId="3" applyNumberFormat="1" applyFill="1"/>
    <xf numFmtId="41" fontId="9" fillId="0" borderId="0" xfId="4" applyFont="1" applyAlignment="1">
      <alignment vertical="center"/>
    </xf>
    <xf numFmtId="41" fontId="10" fillId="0" borderId="0" xfId="4" applyFont="1" applyAlignment="1">
      <alignment horizontal="center" vertical="center"/>
    </xf>
    <xf numFmtId="41" fontId="10" fillId="3" borderId="0" xfId="4" applyFont="1" applyFill="1" applyAlignment="1">
      <alignment horizontal="center" vertical="center"/>
    </xf>
    <xf numFmtId="41" fontId="11" fillId="0" borderId="0" xfId="4" applyFont="1" applyAlignment="1">
      <alignment horizontal="left" vertical="center"/>
    </xf>
    <xf numFmtId="41" fontId="12" fillId="0" borderId="0" xfId="4" applyFont="1" applyAlignment="1">
      <alignment horizontal="center" vertical="center"/>
    </xf>
    <xf numFmtId="41" fontId="12" fillId="0" borderId="0" xfId="4" applyFont="1" applyAlignment="1">
      <alignment vertical="center"/>
    </xf>
    <xf numFmtId="41" fontId="12" fillId="3" borderId="0" xfId="4" applyFont="1" applyFill="1" applyAlignment="1">
      <alignment horizontal="center" vertical="center"/>
    </xf>
    <xf numFmtId="41" fontId="11" fillId="0" borderId="0" xfId="4" applyFont="1" applyAlignment="1">
      <alignment vertical="center"/>
    </xf>
    <xf numFmtId="41" fontId="5" fillId="0" borderId="8" xfId="5" applyBorder="1" applyAlignment="1">
      <alignment vertical="center"/>
    </xf>
    <xf numFmtId="41" fontId="14" fillId="0" borderId="0" xfId="4" applyFont="1" applyAlignment="1">
      <alignment vertical="center"/>
    </xf>
    <xf numFmtId="41" fontId="9" fillId="0" borderId="0" xfId="4" applyFont="1" applyAlignment="1">
      <alignment horizontal="center" vertical="center"/>
    </xf>
    <xf numFmtId="41" fontId="9" fillId="3" borderId="0" xfId="4" applyFont="1" applyFill="1" applyAlignment="1">
      <alignment horizontal="center" vertical="center"/>
    </xf>
    <xf numFmtId="179" fontId="9" fillId="0" borderId="0" xfId="4" applyNumberFormat="1" applyFont="1" applyAlignment="1">
      <alignment vertical="center"/>
    </xf>
    <xf numFmtId="0" fontId="5" fillId="0" borderId="0" xfId="6" applyAlignment="1">
      <alignment horizontal="center" vertical="center"/>
    </xf>
    <xf numFmtId="0" fontId="5" fillId="0" borderId="0" xfId="6" applyAlignment="1">
      <alignment vertical="center"/>
    </xf>
    <xf numFmtId="41" fontId="5" fillId="0" borderId="0" xfId="5" applyAlignment="1">
      <alignment vertical="center"/>
    </xf>
    <xf numFmtId="0" fontId="5" fillId="0" borderId="8" xfId="6" applyBorder="1" applyAlignment="1">
      <alignment vertical="center"/>
    </xf>
    <xf numFmtId="41" fontId="5" fillId="0" borderId="9" xfId="5" applyBorder="1" applyAlignment="1">
      <alignment vertical="center"/>
    </xf>
    <xf numFmtId="41" fontId="5" fillId="0" borderId="10" xfId="5" applyBorder="1" applyAlignment="1">
      <alignment vertical="center"/>
    </xf>
    <xf numFmtId="0" fontId="5" fillId="0" borderId="10" xfId="6" applyBorder="1" applyAlignment="1">
      <alignment vertical="center"/>
    </xf>
    <xf numFmtId="41" fontId="5" fillId="0" borderId="11" xfId="5" applyBorder="1" applyAlignment="1">
      <alignment vertical="center"/>
    </xf>
    <xf numFmtId="14" fontId="5" fillId="0" borderId="0" xfId="6" applyNumberFormat="1" applyAlignment="1">
      <alignment vertical="center"/>
    </xf>
    <xf numFmtId="41" fontId="5" fillId="0" borderId="13" xfId="5" applyBorder="1" applyAlignment="1">
      <alignment vertical="center"/>
    </xf>
    <xf numFmtId="0" fontId="5" fillId="0" borderId="13" xfId="6" applyBorder="1" applyAlignment="1">
      <alignment vertical="center"/>
    </xf>
    <xf numFmtId="41" fontId="5" fillId="0" borderId="15" xfId="6" applyNumberFormat="1" applyBorder="1" applyAlignment="1">
      <alignment horizontal="center" vertical="center"/>
    </xf>
    <xf numFmtId="3" fontId="5" fillId="0" borderId="8" xfId="5" applyNumberFormat="1" applyBorder="1" applyAlignment="1">
      <alignment vertical="center"/>
    </xf>
    <xf numFmtId="3" fontId="5" fillId="0" borderId="10" xfId="5" applyNumberFormat="1" applyBorder="1" applyAlignment="1">
      <alignment vertical="center"/>
    </xf>
    <xf numFmtId="3" fontId="5" fillId="0" borderId="10" xfId="4" applyNumberFormat="1" applyBorder="1" applyAlignment="1">
      <alignment vertical="center"/>
    </xf>
    <xf numFmtId="0" fontId="5" fillId="0" borderId="16" xfId="6" applyBorder="1" applyAlignment="1">
      <alignment vertical="center"/>
    </xf>
    <xf numFmtId="0" fontId="5" fillId="0" borderId="17" xfId="6" applyBorder="1" applyAlignment="1">
      <alignment vertical="center"/>
    </xf>
    <xf numFmtId="41" fontId="5" fillId="0" borderId="11" xfId="6" applyNumberFormat="1" applyBorder="1" applyAlignment="1">
      <alignment horizontal="center" vertical="center"/>
    </xf>
    <xf numFmtId="3" fontId="5" fillId="0" borderId="13" xfId="5" applyNumberFormat="1" applyBorder="1" applyAlignment="1">
      <alignment vertical="center"/>
    </xf>
    <xf numFmtId="41" fontId="5" fillId="0" borderId="15" xfId="5" applyBorder="1" applyAlignment="1">
      <alignment vertical="center"/>
    </xf>
    <xf numFmtId="0" fontId="17" fillId="0" borderId="0" xfId="6" applyFont="1" applyAlignment="1">
      <alignment vertical="center"/>
    </xf>
    <xf numFmtId="0" fontId="16" fillId="0" borderId="0" xfId="6" applyFont="1" applyAlignment="1">
      <alignment horizontal="right" vertical="center"/>
    </xf>
    <xf numFmtId="0" fontId="5" fillId="0" borderId="10" xfId="6" applyBorder="1" applyAlignment="1">
      <alignment horizontal="center" vertical="center" wrapText="1"/>
    </xf>
    <xf numFmtId="0" fontId="5" fillId="0" borderId="13" xfId="3" applyBorder="1" applyAlignment="1">
      <alignment horizontal="center" vertical="center"/>
    </xf>
    <xf numFmtId="41" fontId="11" fillId="8" borderId="19" xfId="4" applyFont="1" applyFill="1" applyBorder="1" applyAlignment="1">
      <alignment horizontal="center" vertical="center"/>
    </xf>
    <xf numFmtId="41" fontId="12" fillId="0" borderId="19" xfId="4" applyFont="1" applyBorder="1" applyAlignment="1">
      <alignment horizontal="center" vertical="center" shrinkToFit="1"/>
    </xf>
    <xf numFmtId="0" fontId="29" fillId="0" borderId="0" xfId="7" applyFont="1">
      <alignment vertical="center"/>
    </xf>
    <xf numFmtId="0" fontId="18" fillId="0" borderId="19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184" fontId="33" fillId="0" borderId="28" xfId="0" applyNumberFormat="1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 wrapText="1"/>
    </xf>
    <xf numFmtId="183" fontId="33" fillId="0" borderId="28" xfId="0" applyNumberFormat="1" applyFont="1" applyBorder="1" applyAlignment="1">
      <alignment horizontal="center" vertical="center" wrapText="1"/>
    </xf>
    <xf numFmtId="14" fontId="34" fillId="0" borderId="4" xfId="0" applyNumberFormat="1" applyFont="1" applyBorder="1" applyAlignment="1">
      <alignment horizontal="center" vertical="center"/>
    </xf>
    <xf numFmtId="49" fontId="12" fillId="10" borderId="19" xfId="4" applyNumberFormat="1" applyFont="1" applyFill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5" fillId="0" borderId="10" xfId="6" applyBorder="1" applyAlignment="1">
      <alignment horizontal="center" vertical="center"/>
    </xf>
    <xf numFmtId="0" fontId="5" fillId="0" borderId="13" xfId="6" applyBorder="1" applyAlignment="1">
      <alignment horizontal="center" vertical="center"/>
    </xf>
    <xf numFmtId="0" fontId="5" fillId="0" borderId="8" xfId="6" applyBorder="1" applyAlignment="1">
      <alignment horizontal="center" vertical="center"/>
    </xf>
    <xf numFmtId="41" fontId="12" fillId="3" borderId="19" xfId="4" applyFont="1" applyFill="1" applyBorder="1" applyAlignment="1">
      <alignment horizontal="center" vertical="center" wrapText="1"/>
    </xf>
    <xf numFmtId="14" fontId="12" fillId="0" borderId="19" xfId="4" applyNumberFormat="1" applyFont="1" applyBorder="1" applyAlignment="1">
      <alignment horizontal="center" vertical="center"/>
    </xf>
    <xf numFmtId="41" fontId="12" fillId="0" borderId="19" xfId="4" applyFont="1" applyBorder="1" applyAlignment="1">
      <alignment horizontal="center" vertical="center"/>
    </xf>
    <xf numFmtId="41" fontId="12" fillId="0" borderId="19" xfId="4" applyFont="1" applyBorder="1" applyAlignment="1">
      <alignment horizontal="center" vertical="center" wrapText="1"/>
    </xf>
    <xf numFmtId="41" fontId="9" fillId="0" borderId="0" xfId="188" applyFont="1">
      <alignment vertical="center"/>
    </xf>
    <xf numFmtId="41" fontId="9" fillId="0" borderId="0" xfId="4" applyFont="1" applyAlignment="1">
      <alignment horizontal="left" vertical="center"/>
    </xf>
    <xf numFmtId="41" fontId="12" fillId="0" borderId="0" xfId="4" applyFont="1" applyAlignment="1">
      <alignment horizontal="left" vertical="center"/>
    </xf>
    <xf numFmtId="41" fontId="9" fillId="0" borderId="19" xfId="4" applyFont="1" applyBorder="1" applyAlignment="1">
      <alignment horizontal="left" vertical="center"/>
    </xf>
    <xf numFmtId="41" fontId="11" fillId="0" borderId="19" xfId="4" applyFont="1" applyBorder="1" applyAlignment="1">
      <alignment horizontal="left" vertical="center"/>
    </xf>
    <xf numFmtId="41" fontId="39" fillId="0" borderId="0" xfId="195" applyFont="1" applyAlignment="1">
      <alignment vertical="center"/>
    </xf>
    <xf numFmtId="41" fontId="39" fillId="0" borderId="0" xfId="195" applyFont="1" applyAlignment="1">
      <alignment horizontal="center" vertical="center"/>
    </xf>
    <xf numFmtId="179" fontId="39" fillId="0" borderId="0" xfId="195" applyNumberFormat="1" applyFont="1" applyAlignment="1">
      <alignment vertical="center"/>
    </xf>
    <xf numFmtId="41" fontId="40" fillId="0" borderId="0" xfId="195" applyFont="1" applyAlignment="1">
      <alignment vertical="center"/>
    </xf>
    <xf numFmtId="41" fontId="40" fillId="12" borderId="45" xfId="195" applyFont="1" applyFill="1" applyBorder="1" applyAlignment="1">
      <alignment horizontal="center" vertical="center"/>
    </xf>
    <xf numFmtId="41" fontId="41" fillId="0" borderId="0" xfId="195" applyFont="1" applyAlignment="1">
      <alignment vertical="center"/>
    </xf>
    <xf numFmtId="41" fontId="40" fillId="11" borderId="41" xfId="195" applyFont="1" applyFill="1" applyBorder="1" applyAlignment="1">
      <alignment horizontal="center" vertical="center"/>
    </xf>
    <xf numFmtId="41" fontId="41" fillId="11" borderId="41" xfId="195" applyFont="1" applyFill="1" applyBorder="1" applyAlignment="1">
      <alignment horizontal="center" vertical="center"/>
    </xf>
    <xf numFmtId="41" fontId="41" fillId="0" borderId="41" xfId="195" applyFont="1" applyBorder="1" applyAlignment="1">
      <alignment horizontal="center" vertical="center" shrinkToFit="1"/>
    </xf>
    <xf numFmtId="41" fontId="41" fillId="0" borderId="46" xfId="195" applyFont="1" applyBorder="1" applyAlignment="1">
      <alignment horizontal="center" vertical="center" shrinkToFit="1"/>
    </xf>
    <xf numFmtId="41" fontId="41" fillId="0" borderId="0" xfId="195" applyFont="1" applyAlignment="1">
      <alignment horizontal="right" vertical="center"/>
    </xf>
    <xf numFmtId="41" fontId="40" fillId="0" borderId="0" xfId="195" applyFont="1" applyAlignment="1">
      <alignment horizontal="left" vertical="center"/>
    </xf>
    <xf numFmtId="41" fontId="41" fillId="0" borderId="0" xfId="195" applyFont="1" applyAlignment="1">
      <alignment horizontal="center" vertical="center"/>
    </xf>
    <xf numFmtId="41" fontId="40" fillId="0" borderId="43" xfId="195" applyFont="1" applyBorder="1" applyAlignment="1">
      <alignment horizontal="center" vertical="center"/>
    </xf>
    <xf numFmtId="41" fontId="40" fillId="0" borderId="44" xfId="195" applyFont="1" applyBorder="1" applyAlignment="1">
      <alignment horizontal="center" vertical="center"/>
    </xf>
    <xf numFmtId="41" fontId="10" fillId="0" borderId="0" xfId="188" applyFont="1" applyAlignment="1">
      <alignment horizontal="center" vertical="center"/>
    </xf>
    <xf numFmtId="41" fontId="12" fillId="0" borderId="0" xfId="188" applyFont="1">
      <alignment vertical="center"/>
    </xf>
    <xf numFmtId="41" fontId="12" fillId="0" borderId="19" xfId="188" applyFont="1" applyBorder="1" applyAlignment="1">
      <alignment horizontal="center" vertical="center"/>
    </xf>
    <xf numFmtId="41" fontId="5" fillId="0" borderId="19" xfId="5" applyBorder="1" applyAlignment="1">
      <alignment vertical="center"/>
    </xf>
    <xf numFmtId="41" fontId="11" fillId="0" borderId="1" xfId="4" applyFont="1" applyBorder="1" applyAlignment="1">
      <alignment vertical="center"/>
    </xf>
    <xf numFmtId="41" fontId="11" fillId="0" borderId="6" xfId="4" applyFont="1" applyBorder="1" applyAlignment="1">
      <alignment vertical="center"/>
    </xf>
    <xf numFmtId="41" fontId="11" fillId="0" borderId="2" xfId="4" applyFont="1" applyBorder="1" applyAlignment="1">
      <alignment vertical="center"/>
    </xf>
    <xf numFmtId="0" fontId="5" fillId="0" borderId="25" xfId="6" applyBorder="1" applyAlignment="1">
      <alignment vertical="center"/>
    </xf>
    <xf numFmtId="41" fontId="5" fillId="0" borderId="49" xfId="5" applyBorder="1" applyAlignment="1">
      <alignment vertical="center"/>
    </xf>
    <xf numFmtId="185" fontId="12" fillId="0" borderId="19" xfId="188" applyNumberFormat="1" applyFont="1" applyBorder="1" applyAlignment="1">
      <alignment horizontal="center" vertical="center"/>
    </xf>
    <xf numFmtId="185" fontId="10" fillId="0" borderId="0" xfId="188" applyNumberFormat="1" applyFont="1" applyAlignment="1">
      <alignment horizontal="center" vertical="center"/>
    </xf>
    <xf numFmtId="185" fontId="12" fillId="0" borderId="0" xfId="188" applyNumberFormat="1" applyFont="1">
      <alignment vertical="center"/>
    </xf>
    <xf numFmtId="185" fontId="9" fillId="0" borderId="0" xfId="188" applyNumberFormat="1" applyFont="1">
      <alignment vertical="center"/>
    </xf>
    <xf numFmtId="41" fontId="5" fillId="0" borderId="19" xfId="5" applyBorder="1" applyAlignment="1">
      <alignment horizontal="center" vertical="center"/>
    </xf>
    <xf numFmtId="0" fontId="33" fillId="2" borderId="28" xfId="0" applyFont="1" applyFill="1" applyBorder="1" applyAlignment="1">
      <alignment horizontal="center" vertical="center"/>
    </xf>
    <xf numFmtId="41" fontId="12" fillId="0" borderId="6" xfId="4" applyFont="1" applyBorder="1" applyAlignment="1">
      <alignment horizontal="center" vertical="center" shrinkToFit="1"/>
    </xf>
    <xf numFmtId="41" fontId="8" fillId="0" borderId="0" xfId="4" applyFont="1" applyAlignment="1">
      <alignment horizontal="center" vertical="center"/>
    </xf>
    <xf numFmtId="41" fontId="12" fillId="0" borderId="19" xfId="4" applyFont="1" applyBorder="1" applyAlignment="1">
      <alignment vertical="center"/>
    </xf>
    <xf numFmtId="41" fontId="11" fillId="0" borderId="6" xfId="4" applyFont="1" applyBorder="1" applyAlignment="1">
      <alignment horizontal="center" vertical="center"/>
    </xf>
    <xf numFmtId="41" fontId="14" fillId="0" borderId="0" xfId="4" applyFont="1" applyAlignment="1">
      <alignment horizontal="center" vertical="center"/>
    </xf>
    <xf numFmtId="0" fontId="5" fillId="0" borderId="19" xfId="6" applyBorder="1" applyAlignment="1">
      <alignment horizontal="center" vertical="center"/>
    </xf>
    <xf numFmtId="0" fontId="5" fillId="0" borderId="19" xfId="3" applyBorder="1" applyAlignment="1">
      <alignment horizontal="center" vertical="center"/>
    </xf>
    <xf numFmtId="14" fontId="12" fillId="0" borderId="19" xfId="4" applyNumberFormat="1" applyFont="1" applyFill="1" applyBorder="1" applyAlignment="1">
      <alignment horizontal="center" vertical="center"/>
    </xf>
    <xf numFmtId="41" fontId="5" fillId="0" borderId="6" xfId="5" applyBorder="1" applyAlignment="1">
      <alignment horizontal="center" vertical="center"/>
    </xf>
    <xf numFmtId="14" fontId="12" fillId="0" borderId="6" xfId="4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41" fontId="12" fillId="0" borderId="19" xfId="188" applyFont="1" applyFill="1" applyBorder="1" applyAlignment="1">
      <alignment horizontal="center" vertical="center" wrapText="1"/>
    </xf>
    <xf numFmtId="181" fontId="12" fillId="0" borderId="4" xfId="4" applyNumberFormat="1" applyFont="1" applyFill="1" applyBorder="1" applyAlignment="1">
      <alignment horizontal="center" vertical="center"/>
    </xf>
    <xf numFmtId="41" fontId="12" fillId="0" borderId="19" xfId="4" applyFont="1" applyFill="1" applyBorder="1" applyAlignment="1">
      <alignment horizontal="center" vertical="center"/>
    </xf>
    <xf numFmtId="41" fontId="10" fillId="3" borderId="0" xfId="188" applyFont="1" applyFill="1" applyAlignment="1">
      <alignment horizontal="center" vertical="center"/>
    </xf>
    <xf numFmtId="41" fontId="12" fillId="3" borderId="0" xfId="188" applyFont="1" applyFill="1" applyAlignment="1">
      <alignment horizontal="center" vertical="center"/>
    </xf>
    <xf numFmtId="41" fontId="14" fillId="0" borderId="0" xfId="188" applyFont="1" applyAlignment="1">
      <alignment vertical="center"/>
    </xf>
    <xf numFmtId="41" fontId="9" fillId="0" borderId="0" xfId="188" applyFont="1" applyAlignment="1">
      <alignment vertical="center"/>
    </xf>
    <xf numFmtId="41" fontId="9" fillId="3" borderId="0" xfId="188" applyFont="1" applyFill="1" applyAlignment="1">
      <alignment horizontal="center" vertical="center"/>
    </xf>
    <xf numFmtId="41" fontId="41" fillId="0" borderId="53" xfId="195" applyFont="1" applyBorder="1" applyAlignment="1">
      <alignment horizontal="center" vertical="center" shrinkToFit="1"/>
    </xf>
    <xf numFmtId="41" fontId="12" fillId="0" borderId="19" xfId="4" applyFont="1" applyFill="1" applyBorder="1" applyAlignment="1">
      <alignment horizontal="center" vertical="center" wrapText="1"/>
    </xf>
    <xf numFmtId="41" fontId="12" fillId="0" borderId="4" xfId="4" applyFont="1" applyBorder="1" applyAlignment="1">
      <alignment horizontal="center" vertical="center"/>
    </xf>
    <xf numFmtId="14" fontId="12" fillId="2" borderId="19" xfId="4" applyNumberFormat="1" applyFont="1" applyFill="1" applyBorder="1" applyAlignment="1">
      <alignment horizontal="center" vertical="center"/>
    </xf>
    <xf numFmtId="41" fontId="12" fillId="8" borderId="19" xfId="4" applyFont="1" applyFill="1" applyBorder="1" applyAlignment="1">
      <alignment horizontal="center" vertical="center"/>
    </xf>
    <xf numFmtId="41" fontId="9" fillId="0" borderId="19" xfId="4" applyFont="1" applyBorder="1" applyAlignment="1">
      <alignment horizontal="center" vertical="center"/>
    </xf>
    <xf numFmtId="185" fontId="10" fillId="0" borderId="0" xfId="4" applyNumberFormat="1" applyFont="1" applyAlignment="1">
      <alignment horizontal="center" vertical="center"/>
    </xf>
    <xf numFmtId="185" fontId="12" fillId="0" borderId="0" xfId="4" applyNumberFormat="1" applyFont="1" applyAlignment="1">
      <alignment vertical="center"/>
    </xf>
    <xf numFmtId="185" fontId="12" fillId="0" borderId="19" xfId="4" applyNumberFormat="1" applyFont="1" applyBorder="1" applyAlignment="1">
      <alignment horizontal="center" vertical="center"/>
    </xf>
    <xf numFmtId="185" fontId="12" fillId="0" borderId="4" xfId="4" applyNumberFormat="1" applyFont="1" applyFill="1" applyBorder="1" applyAlignment="1">
      <alignment horizontal="center" vertical="center"/>
    </xf>
    <xf numFmtId="185" fontId="14" fillId="0" borderId="0" xfId="4" applyNumberFormat="1" applyFont="1" applyAlignment="1">
      <alignment vertical="center"/>
    </xf>
    <xf numFmtId="185" fontId="9" fillId="0" borderId="0" xfId="4" applyNumberFormat="1" applyFont="1" applyAlignment="1">
      <alignment vertical="center"/>
    </xf>
    <xf numFmtId="0" fontId="18" fillId="0" borderId="19" xfId="31" applyBorder="1">
      <alignment vertical="center"/>
    </xf>
    <xf numFmtId="0" fontId="18" fillId="0" borderId="0" xfId="31">
      <alignment vertical="center"/>
    </xf>
    <xf numFmtId="0" fontId="18" fillId="13" borderId="19" xfId="31" applyFill="1" applyBorder="1" applyAlignment="1">
      <alignment horizontal="center" vertical="center"/>
    </xf>
    <xf numFmtId="0" fontId="25" fillId="13" borderId="19" xfId="31" applyFont="1" applyFill="1" applyBorder="1" applyAlignment="1">
      <alignment horizontal="center" vertical="center"/>
    </xf>
    <xf numFmtId="182" fontId="25" fillId="13" borderId="19" xfId="31" applyNumberFormat="1" applyFont="1" applyFill="1" applyBorder="1" applyAlignment="1">
      <alignment horizontal="center" vertical="center"/>
    </xf>
    <xf numFmtId="0" fontId="18" fillId="0" borderId="19" xfId="31" applyBorder="1" applyAlignment="1">
      <alignment horizontal="center" vertical="center"/>
    </xf>
    <xf numFmtId="182" fontId="25" fillId="0" borderId="19" xfId="31" applyNumberFormat="1" applyFont="1" applyBorder="1" applyAlignment="1">
      <alignment horizontal="center" vertical="center"/>
    </xf>
    <xf numFmtId="3" fontId="18" fillId="0" borderId="19" xfId="31" applyNumberFormat="1" applyBorder="1" applyAlignment="1">
      <alignment horizontal="center" vertical="center"/>
    </xf>
    <xf numFmtId="0" fontId="25" fillId="0" borderId="0" xfId="31" applyFont="1" applyAlignment="1">
      <alignment horizontal="center" vertical="center"/>
    </xf>
    <xf numFmtId="182" fontId="25" fillId="0" borderId="0" xfId="31" applyNumberFormat="1" applyFont="1" applyAlignment="1">
      <alignment horizontal="center" vertical="center"/>
    </xf>
    <xf numFmtId="0" fontId="30" fillId="0" borderId="0" xfId="7" applyFont="1" applyAlignment="1">
      <alignment horizontal="right" vertical="center"/>
    </xf>
    <xf numFmtId="0" fontId="30" fillId="0" borderId="0" xfId="7" applyFont="1" applyAlignment="1">
      <alignment horizontal="left" vertical="center"/>
    </xf>
    <xf numFmtId="0" fontId="29" fillId="0" borderId="0" xfId="7" applyFont="1" applyAlignment="1">
      <alignment horizontal="center" vertical="center"/>
    </xf>
    <xf numFmtId="0" fontId="18" fillId="14" borderId="55" xfId="7" applyFill="1" applyBorder="1" applyAlignment="1">
      <alignment horizontal="centerContinuous" vertical="center"/>
    </xf>
    <xf numFmtId="0" fontId="26" fillId="0" borderId="57" xfId="7" applyFont="1" applyBorder="1" applyAlignment="1">
      <alignment horizontal="centerContinuous" vertical="center"/>
    </xf>
    <xf numFmtId="41" fontId="31" fillId="0" borderId="4" xfId="188" applyFont="1" applyBorder="1" applyAlignment="1">
      <alignment horizontal="center" vertical="center"/>
    </xf>
    <xf numFmtId="41" fontId="5" fillId="0" borderId="19" xfId="5" applyFill="1" applyBorder="1" applyAlignment="1">
      <alignment horizontal="center" vertical="center"/>
    </xf>
    <xf numFmtId="41" fontId="5" fillId="0" borderId="6" xfId="5" applyFill="1" applyBorder="1" applyAlignment="1">
      <alignment horizontal="center" vertical="center"/>
    </xf>
    <xf numFmtId="0" fontId="35" fillId="0" borderId="59" xfId="0" applyFont="1" applyBorder="1">
      <alignment vertical="center"/>
    </xf>
    <xf numFmtId="41" fontId="12" fillId="0" borderId="0" xfId="4" applyFont="1" applyFill="1" applyAlignment="1">
      <alignment vertical="center"/>
    </xf>
    <xf numFmtId="0" fontId="0" fillId="0" borderId="55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14" fontId="12" fillId="0" borderId="2" xfId="4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177" fontId="13" fillId="4" borderId="19" xfId="2" applyNumberFormat="1" applyFont="1" applyFill="1" applyBorder="1" applyAlignment="1">
      <alignment horizontal="center" vertical="center" shrinkToFit="1"/>
    </xf>
    <xf numFmtId="41" fontId="11" fillId="3" borderId="19" xfId="4" applyFont="1" applyFill="1" applyBorder="1" applyAlignment="1">
      <alignment horizontal="center" vertical="center" wrapText="1"/>
    </xf>
    <xf numFmtId="41" fontId="5" fillId="0" borderId="0" xfId="188" applyFont="1" applyAlignment="1">
      <alignment vertical="center"/>
    </xf>
    <xf numFmtId="41" fontId="5" fillId="0" borderId="8" xfId="188" applyFont="1" applyBorder="1" applyAlignment="1">
      <alignment vertical="center"/>
    </xf>
    <xf numFmtId="41" fontId="5" fillId="0" borderId="10" xfId="188" applyFont="1" applyBorder="1" applyAlignment="1">
      <alignment vertical="center"/>
    </xf>
    <xf numFmtId="41" fontId="5" fillId="0" borderId="13" xfId="188" applyFont="1" applyBorder="1" applyAlignment="1">
      <alignment vertical="center"/>
    </xf>
    <xf numFmtId="49" fontId="31" fillId="0" borderId="19" xfId="0" applyNumberFormat="1" applyFont="1" applyBorder="1" applyAlignment="1">
      <alignment horizontal="center" vertical="center"/>
    </xf>
    <xf numFmtId="176" fontId="31" fillId="0" borderId="19" xfId="0" applyNumberFormat="1" applyFont="1" applyBorder="1" applyAlignment="1">
      <alignment horizontal="center" vertical="center"/>
    </xf>
    <xf numFmtId="49" fontId="31" fillId="0" borderId="0" xfId="0" applyNumberFormat="1" applyFont="1" applyAlignment="1"/>
    <xf numFmtId="0" fontId="31" fillId="0" borderId="0" xfId="0" applyFont="1" applyAlignment="1"/>
    <xf numFmtId="0" fontId="31" fillId="0" borderId="0" xfId="0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176" fontId="31" fillId="0" borderId="0" xfId="0" applyNumberFormat="1" applyFont="1" applyAlignment="1">
      <alignment horizontal="center" vertical="center"/>
    </xf>
    <xf numFmtId="0" fontId="31" fillId="0" borderId="19" xfId="0" applyFont="1" applyBorder="1">
      <alignment vertical="center"/>
    </xf>
    <xf numFmtId="0" fontId="31" fillId="0" borderId="0" xfId="0" applyFont="1">
      <alignment vertical="center"/>
    </xf>
    <xf numFmtId="0" fontId="31" fillId="2" borderId="19" xfId="0" applyFont="1" applyFill="1" applyBorder="1" applyAlignment="1">
      <alignment horizontal="center" vertical="center"/>
    </xf>
    <xf numFmtId="41" fontId="12" fillId="2" borderId="19" xfId="4" applyFont="1" applyFill="1" applyBorder="1" applyAlignment="1">
      <alignment horizontal="center" vertical="center" shrinkToFit="1"/>
    </xf>
    <xf numFmtId="41" fontId="18" fillId="0" borderId="4" xfId="0" applyNumberFormat="1" applyFont="1" applyBorder="1" applyAlignment="1">
      <alignment horizontal="center" vertical="center"/>
    </xf>
    <xf numFmtId="41" fontId="12" fillId="0" borderId="19" xfId="4" applyFont="1" applyFill="1" applyBorder="1" applyAlignment="1">
      <alignment horizontal="center" vertical="center" shrinkToFit="1"/>
    </xf>
    <xf numFmtId="3" fontId="5" fillId="0" borderId="19" xfId="3" applyNumberFormat="1" applyBorder="1"/>
    <xf numFmtId="3" fontId="5" fillId="5" borderId="19" xfId="3" applyNumberFormat="1" applyFill="1" applyBorder="1"/>
    <xf numFmtId="41" fontId="6" fillId="7" borderId="19" xfId="4" applyFont="1" applyFill="1" applyBorder="1"/>
    <xf numFmtId="180" fontId="5" fillId="7" borderId="19" xfId="3" applyNumberFormat="1" applyFill="1" applyBorder="1"/>
    <xf numFmtId="180" fontId="5" fillId="5" borderId="19" xfId="3" applyNumberFormat="1" applyFill="1" applyBorder="1"/>
    <xf numFmtId="180" fontId="5" fillId="6" borderId="19" xfId="3" applyNumberFormat="1" applyFill="1" applyBorder="1"/>
    <xf numFmtId="41" fontId="6" fillId="0" borderId="19" xfId="4" applyFont="1" applyBorder="1"/>
    <xf numFmtId="180" fontId="5" fillId="0" borderId="19" xfId="3" applyNumberFormat="1" applyBorder="1"/>
    <xf numFmtId="180" fontId="5" fillId="3" borderId="19" xfId="3" applyNumberFormat="1" applyFill="1" applyBorder="1" applyAlignment="1">
      <alignment vertical="center"/>
    </xf>
    <xf numFmtId="180" fontId="5" fillId="5" borderId="19" xfId="3" applyNumberFormat="1" applyFill="1" applyBorder="1" applyAlignment="1">
      <alignment vertical="center"/>
    </xf>
    <xf numFmtId="180" fontId="5" fillId="6" borderId="19" xfId="3" applyNumberFormat="1" applyFill="1" applyBorder="1" applyAlignment="1">
      <alignment vertical="center"/>
    </xf>
    <xf numFmtId="38" fontId="5" fillId="0" borderId="19" xfId="3" applyNumberFormat="1" applyBorder="1"/>
    <xf numFmtId="180" fontId="6" fillId="5" borderId="19" xfId="2" applyNumberFormat="1" applyFont="1" applyFill="1" applyBorder="1"/>
    <xf numFmtId="180" fontId="6" fillId="6" borderId="19" xfId="2" applyNumberFormat="1" applyFont="1" applyFill="1" applyBorder="1"/>
    <xf numFmtId="180" fontId="6" fillId="0" borderId="19" xfId="2" applyNumberFormat="1" applyFont="1" applyBorder="1"/>
    <xf numFmtId="38" fontId="5" fillId="0" borderId="19" xfId="3" applyNumberFormat="1" applyBorder="1" applyAlignment="1">
      <alignment horizontal="right"/>
    </xf>
    <xf numFmtId="38" fontId="5" fillId="2" borderId="19" xfId="3" applyNumberFormat="1" applyFill="1" applyBorder="1"/>
    <xf numFmtId="180" fontId="5" fillId="2" borderId="19" xfId="3" applyNumberFormat="1" applyFill="1" applyBorder="1"/>
    <xf numFmtId="177" fontId="13" fillId="4" borderId="19" xfId="2" applyNumberFormat="1" applyFont="1" applyFill="1" applyBorder="1" applyAlignment="1">
      <alignment horizontal="center" vertical="center" wrapText="1" shrinkToFit="1"/>
    </xf>
    <xf numFmtId="41" fontId="13" fillId="4" borderId="19" xfId="188" applyFont="1" applyFill="1" applyBorder="1" applyAlignment="1">
      <alignment horizontal="center" vertical="center" wrapText="1" shrinkToFit="1"/>
    </xf>
    <xf numFmtId="49" fontId="12" fillId="0" borderId="19" xfId="4" applyNumberFormat="1" applyFont="1" applyBorder="1" applyAlignment="1">
      <alignment horizontal="center" vertical="center"/>
    </xf>
    <xf numFmtId="41" fontId="11" fillId="3" borderId="19" xfId="188" applyFont="1" applyFill="1" applyBorder="1" applyAlignment="1">
      <alignment horizontal="center" vertical="center" wrapText="1"/>
    </xf>
    <xf numFmtId="185" fontId="11" fillId="3" borderId="19" xfId="4" applyNumberFormat="1" applyFont="1" applyFill="1" applyBorder="1" applyAlignment="1">
      <alignment horizontal="center" vertical="center" wrapText="1"/>
    </xf>
    <xf numFmtId="0" fontId="18" fillId="14" borderId="54" xfId="7" applyFill="1" applyBorder="1" applyAlignment="1">
      <alignment horizontal="center" vertical="center"/>
    </xf>
    <xf numFmtId="0" fontId="18" fillId="0" borderId="55" xfId="7" applyBorder="1" applyAlignment="1">
      <alignment horizontal="center" vertical="center"/>
    </xf>
    <xf numFmtId="0" fontId="28" fillId="0" borderId="55" xfId="0" applyFont="1" applyBorder="1" applyAlignment="1">
      <alignment horizontal="left" vertical="center"/>
    </xf>
    <xf numFmtId="176" fontId="28" fillId="0" borderId="55" xfId="0" applyNumberFormat="1" applyFont="1" applyBorder="1" applyAlignment="1">
      <alignment horizontal="right" vertical="center"/>
    </xf>
    <xf numFmtId="186" fontId="25" fillId="15" borderId="56" xfId="7" applyNumberFormat="1" applyFont="1" applyFill="1" applyBorder="1" applyAlignment="1">
      <alignment horizontal="right" vertical="center"/>
    </xf>
    <xf numFmtId="0" fontId="18" fillId="0" borderId="0" xfId="7" applyAlignment="1">
      <alignment horizontal="center" vertical="center"/>
    </xf>
    <xf numFmtId="0" fontId="25" fillId="0" borderId="0" xfId="7" applyFont="1" applyAlignment="1">
      <alignment horizontal="left" vertical="center"/>
    </xf>
    <xf numFmtId="0" fontId="25" fillId="0" borderId="0" xfId="7" applyFont="1" applyAlignment="1">
      <alignment horizontal="right" vertical="center"/>
    </xf>
    <xf numFmtId="182" fontId="25" fillId="2" borderId="19" xfId="31" applyNumberFormat="1" applyFont="1" applyFill="1" applyBorder="1" applyAlignment="1">
      <alignment horizontal="center" vertical="center"/>
    </xf>
    <xf numFmtId="41" fontId="12" fillId="14" borderId="19" xfId="4" applyFont="1" applyFill="1" applyBorder="1" applyAlignment="1">
      <alignment horizontal="center" vertical="center" shrinkToFit="1"/>
    </xf>
    <xf numFmtId="41" fontId="0" fillId="0" borderId="0" xfId="0" applyNumberFormat="1">
      <alignment vertical="center"/>
    </xf>
    <xf numFmtId="185" fontId="12" fillId="0" borderId="19" xfId="4" applyNumberFormat="1" applyFont="1" applyFill="1" applyBorder="1" applyAlignment="1">
      <alignment horizontal="center" vertical="center"/>
    </xf>
    <xf numFmtId="185" fontId="12" fillId="16" borderId="19" xfId="4" applyNumberFormat="1" applyFont="1" applyFill="1" applyBorder="1" applyAlignment="1">
      <alignment horizontal="center" vertical="center"/>
    </xf>
    <xf numFmtId="41" fontId="41" fillId="0" borderId="41" xfId="195" applyFont="1" applyBorder="1" applyAlignment="1">
      <alignment horizontal="center" vertical="center"/>
    </xf>
    <xf numFmtId="41" fontId="38" fillId="0" borderId="41" xfId="196" applyFill="1" applyBorder="1" applyAlignment="1">
      <alignment vertical="center"/>
    </xf>
    <xf numFmtId="41" fontId="4" fillId="2" borderId="41" xfId="188" applyFont="1" applyFill="1" applyBorder="1" applyAlignment="1">
      <alignment horizontal="center" vertical="center" shrinkToFit="1"/>
    </xf>
    <xf numFmtId="41" fontId="5" fillId="0" borderId="19" xfId="5" applyFont="1" applyFill="1" applyBorder="1" applyAlignment="1">
      <alignment vertical="center"/>
    </xf>
    <xf numFmtId="41" fontId="5" fillId="0" borderId="19" xfId="5" applyFont="1" applyBorder="1" applyAlignment="1">
      <alignment vertical="center"/>
    </xf>
    <xf numFmtId="177" fontId="45" fillId="4" borderId="19" xfId="2" applyNumberFormat="1" applyFont="1" applyFill="1" applyBorder="1" applyAlignment="1">
      <alignment horizontal="center" vertical="center" wrapText="1" shrinkToFit="1"/>
    </xf>
    <xf numFmtId="0" fontId="25" fillId="14" borderId="54" xfId="7" applyFont="1" applyFill="1" applyBorder="1" applyAlignment="1">
      <alignment horizontal="center" vertical="center"/>
    </xf>
    <xf numFmtId="183" fontId="25" fillId="14" borderId="54" xfId="7" applyNumberFormat="1" applyFont="1" applyFill="1" applyBorder="1" applyAlignment="1">
      <alignment horizontal="center" vertical="center"/>
    </xf>
    <xf numFmtId="41" fontId="5" fillId="17" borderId="6" xfId="5" applyFill="1" applyBorder="1" applyAlignment="1">
      <alignment horizontal="center" vertical="center"/>
    </xf>
    <xf numFmtId="0" fontId="47" fillId="0" borderId="0" xfId="0" applyFont="1">
      <alignment vertical="center"/>
    </xf>
    <xf numFmtId="3" fontId="0" fillId="0" borderId="0" xfId="0" applyNumberFormat="1">
      <alignment vertical="center"/>
    </xf>
    <xf numFmtId="14" fontId="46" fillId="0" borderId="0" xfId="188" applyNumberFormat="1" applyFont="1" applyAlignment="1">
      <alignment horizontal="center" vertical="center"/>
    </xf>
    <xf numFmtId="14" fontId="46" fillId="0" borderId="0" xfId="0" applyNumberFormat="1" applyFont="1">
      <alignment vertical="center"/>
    </xf>
    <xf numFmtId="14" fontId="46" fillId="0" borderId="0" xfId="0" applyNumberFormat="1" applyFont="1" applyAlignment="1">
      <alignment horizontal="center" vertical="center"/>
    </xf>
    <xf numFmtId="0" fontId="47" fillId="0" borderId="19" xfId="0" applyFont="1" applyBorder="1">
      <alignment vertical="center"/>
    </xf>
    <xf numFmtId="0" fontId="48" fillId="0" borderId="19" xfId="212" applyNumberFormat="1" applyFont="1" applyBorder="1" applyAlignment="1">
      <alignment vertical="center"/>
    </xf>
    <xf numFmtId="0" fontId="48" fillId="0" borderId="19" xfId="0" applyFont="1" applyBorder="1">
      <alignment vertical="center"/>
    </xf>
    <xf numFmtId="41" fontId="12" fillId="2" borderId="19" xfId="4" applyFont="1" applyFill="1" applyBorder="1" applyAlignment="1">
      <alignment horizontal="center" vertical="center" wrapText="1"/>
    </xf>
    <xf numFmtId="176" fontId="29" fillId="0" borderId="0" xfId="7" applyNumberFormat="1" applyFont="1">
      <alignment vertical="center"/>
    </xf>
    <xf numFmtId="0" fontId="46" fillId="0" borderId="59" xfId="0" applyFont="1" applyBorder="1">
      <alignment vertical="center"/>
    </xf>
    <xf numFmtId="0" fontId="46" fillId="0" borderId="0" xfId="212" applyNumberFormat="1" applyFont="1" applyAlignment="1">
      <alignment vertical="center"/>
    </xf>
    <xf numFmtId="41" fontId="49" fillId="0" borderId="6" xfId="5" applyFont="1" applyFill="1" applyBorder="1" applyAlignment="1">
      <alignment horizontal="center" vertical="center"/>
    </xf>
    <xf numFmtId="14" fontId="46" fillId="0" borderId="0" xfId="188" applyNumberFormat="1" applyFont="1" applyFill="1" applyBorder="1">
      <alignment vertical="center"/>
    </xf>
    <xf numFmtId="14" fontId="46" fillId="0" borderId="19" xfId="0" applyNumberFormat="1" applyFont="1" applyBorder="1" applyAlignment="1">
      <alignment horizontal="center" vertical="center"/>
    </xf>
    <xf numFmtId="41" fontId="50" fillId="3" borderId="0" xfId="4" applyFont="1" applyFill="1" applyAlignment="1">
      <alignment horizontal="center" vertical="center"/>
    </xf>
    <xf numFmtId="41" fontId="50" fillId="0" borderId="0" xfId="188" applyFont="1" applyFill="1" applyAlignment="1">
      <alignment horizontal="center" vertical="center"/>
    </xf>
    <xf numFmtId="41" fontId="0" fillId="0" borderId="0" xfId="188" applyFont="1">
      <alignment vertical="center"/>
    </xf>
    <xf numFmtId="41" fontId="49" fillId="2" borderId="6" xfId="5" applyFont="1" applyFill="1" applyBorder="1" applyAlignment="1">
      <alignment horizontal="center" vertical="center"/>
    </xf>
    <xf numFmtId="41" fontId="5" fillId="2" borderId="19" xfId="5" applyFill="1" applyBorder="1" applyAlignment="1">
      <alignment horizontal="center" vertical="center"/>
    </xf>
    <xf numFmtId="41" fontId="12" fillId="2" borderId="19" xfId="4" applyFont="1" applyFill="1" applyBorder="1" applyAlignment="1">
      <alignment horizontal="center" vertical="center"/>
    </xf>
    <xf numFmtId="0" fontId="5" fillId="0" borderId="6" xfId="6" applyBorder="1" applyAlignment="1">
      <alignment horizontal="center" vertical="center"/>
    </xf>
    <xf numFmtId="0" fontId="16" fillId="0" borderId="38" xfId="6" applyFont="1" applyBorder="1" applyAlignment="1">
      <alignment horizontal="center" vertical="center" wrapText="1" shrinkToFit="1"/>
    </xf>
    <xf numFmtId="0" fontId="16" fillId="0" borderId="39" xfId="6" applyFont="1" applyBorder="1" applyAlignment="1">
      <alignment horizontal="center" vertical="center" wrapText="1" shrinkToFit="1"/>
    </xf>
    <xf numFmtId="0" fontId="16" fillId="0" borderId="40" xfId="6" applyFont="1" applyBorder="1" applyAlignment="1">
      <alignment horizontal="center" vertical="center" wrapText="1" shrinkToFit="1"/>
    </xf>
    <xf numFmtId="178" fontId="5" fillId="0" borderId="33" xfId="6" applyNumberFormat="1" applyBorder="1" applyAlignment="1">
      <alignment horizontal="center" vertical="center"/>
    </xf>
    <xf numFmtId="178" fontId="5" fillId="0" borderId="37" xfId="6" applyNumberFormat="1" applyBorder="1" applyAlignment="1">
      <alignment horizontal="center" vertical="center"/>
    </xf>
    <xf numFmtId="178" fontId="5" fillId="0" borderId="16" xfId="6" applyNumberFormat="1" applyBorder="1" applyAlignment="1">
      <alignment horizontal="center" vertical="center"/>
    </xf>
    <xf numFmtId="178" fontId="5" fillId="0" borderId="17" xfId="6" applyNumberFormat="1" applyBorder="1" applyAlignment="1">
      <alignment horizontal="center" vertical="center"/>
    </xf>
    <xf numFmtId="0" fontId="5" fillId="0" borderId="16" xfId="6" applyBorder="1" applyAlignment="1">
      <alignment horizontal="center" vertical="center"/>
    </xf>
    <xf numFmtId="0" fontId="5" fillId="0" borderId="17" xfId="6" applyBorder="1" applyAlignment="1">
      <alignment horizontal="center" vertical="center"/>
    </xf>
    <xf numFmtId="0" fontId="5" fillId="0" borderId="24" xfId="6" applyBorder="1" applyAlignment="1">
      <alignment horizontal="center" vertical="center"/>
    </xf>
    <xf numFmtId="0" fontId="5" fillId="0" borderId="25" xfId="6" applyBorder="1" applyAlignment="1">
      <alignment horizontal="center" vertical="center"/>
    </xf>
    <xf numFmtId="0" fontId="5" fillId="0" borderId="33" xfId="6" applyBorder="1" applyAlignment="1">
      <alignment horizontal="center" vertical="center" wrapText="1"/>
    </xf>
    <xf numFmtId="0" fontId="5" fillId="0" borderId="37" xfId="6" applyBorder="1" applyAlignment="1">
      <alignment horizontal="center" vertical="center" wrapText="1"/>
    </xf>
    <xf numFmtId="0" fontId="15" fillId="0" borderId="5" xfId="6" applyFont="1" applyBorder="1" applyAlignment="1">
      <alignment horizontal="center" vertical="center"/>
    </xf>
    <xf numFmtId="0" fontId="5" fillId="0" borderId="1" xfId="6" applyBorder="1" applyAlignment="1">
      <alignment horizontal="center" vertical="center"/>
    </xf>
    <xf numFmtId="0" fontId="5" fillId="0" borderId="2" xfId="6" applyBorder="1" applyAlignment="1">
      <alignment horizontal="center" vertical="center"/>
    </xf>
    <xf numFmtId="41" fontId="5" fillId="0" borderId="1" xfId="6" applyNumberFormat="1" applyBorder="1" applyAlignment="1">
      <alignment horizontal="center" vertical="center"/>
    </xf>
    <xf numFmtId="41" fontId="5" fillId="0" borderId="2" xfId="6" applyNumberFormat="1" applyBorder="1" applyAlignment="1">
      <alignment horizontal="center" vertical="center"/>
    </xf>
    <xf numFmtId="41" fontId="5" fillId="0" borderId="6" xfId="6" applyNumberFormat="1" applyBorder="1" applyAlignment="1">
      <alignment horizontal="center" vertical="center"/>
    </xf>
    <xf numFmtId="183" fontId="5" fillId="0" borderId="1" xfId="6" applyNumberFormat="1" applyBorder="1" applyAlignment="1">
      <alignment horizontal="center" vertical="center"/>
    </xf>
    <xf numFmtId="183" fontId="5" fillId="0" borderId="2" xfId="6" applyNumberFormat="1" applyBorder="1" applyAlignment="1">
      <alignment horizontal="center" vertical="center"/>
    </xf>
    <xf numFmtId="0" fontId="5" fillId="0" borderId="3" xfId="6" applyBorder="1" applyAlignment="1">
      <alignment horizontal="center" vertical="center"/>
    </xf>
    <xf numFmtId="0" fontId="5" fillId="0" borderId="4" xfId="6" applyBorder="1" applyAlignment="1">
      <alignment horizontal="center" vertical="center"/>
    </xf>
    <xf numFmtId="14" fontId="5" fillId="0" borderId="50" xfId="6" applyNumberFormat="1" applyBorder="1" applyAlignment="1">
      <alignment horizontal="center" vertical="center"/>
    </xf>
    <xf numFmtId="14" fontId="5" fillId="0" borderId="48" xfId="6" applyNumberFormat="1" applyBorder="1" applyAlignment="1">
      <alignment horizontal="center" vertical="center"/>
    </xf>
    <xf numFmtId="14" fontId="5" fillId="0" borderId="60" xfId="6" applyNumberFormat="1" applyBorder="1" applyAlignment="1">
      <alignment horizontal="center" vertical="center"/>
    </xf>
    <xf numFmtId="14" fontId="5" fillId="0" borderId="52" xfId="6" applyNumberFormat="1" applyBorder="1" applyAlignment="1">
      <alignment horizontal="center" vertical="center"/>
    </xf>
    <xf numFmtId="187" fontId="5" fillId="0" borderId="1" xfId="4" applyNumberFormat="1" applyBorder="1" applyAlignment="1">
      <alignment horizontal="center" vertical="center"/>
    </xf>
    <xf numFmtId="187" fontId="5" fillId="0" borderId="2" xfId="4" applyNumberFormat="1" applyBorder="1" applyAlignment="1">
      <alignment horizontal="center" vertical="center"/>
    </xf>
    <xf numFmtId="182" fontId="5" fillId="0" borderId="3" xfId="4" applyNumberFormat="1" applyBorder="1" applyAlignment="1">
      <alignment horizontal="center" vertical="center"/>
    </xf>
    <xf numFmtId="182" fontId="5" fillId="0" borderId="4" xfId="4" applyNumberFormat="1" applyBorder="1" applyAlignment="1">
      <alignment horizontal="center" vertical="center"/>
    </xf>
    <xf numFmtId="188" fontId="5" fillId="0" borderId="1" xfId="6" applyNumberFormat="1" applyBorder="1" applyAlignment="1">
      <alignment horizontal="center" vertical="center"/>
    </xf>
    <xf numFmtId="188" fontId="5" fillId="0" borderId="2" xfId="6" applyNumberFormat="1" applyBorder="1" applyAlignment="1">
      <alignment horizontal="center" vertical="center"/>
    </xf>
    <xf numFmtId="183" fontId="5" fillId="0" borderId="1" xfId="3" applyNumberFormat="1" applyBorder="1" applyAlignment="1">
      <alignment horizontal="center" vertical="center"/>
    </xf>
    <xf numFmtId="183" fontId="5" fillId="0" borderId="2" xfId="3" applyNumberFormat="1" applyBorder="1" applyAlignment="1">
      <alignment horizontal="center" vertical="center"/>
    </xf>
    <xf numFmtId="0" fontId="5" fillId="0" borderId="19" xfId="6" applyBorder="1" applyAlignment="1">
      <alignment horizontal="center" vertical="center"/>
    </xf>
    <xf numFmtId="41" fontId="5" fillId="0" borderId="19" xfId="6" applyNumberFormat="1" applyBorder="1" applyAlignment="1">
      <alignment horizontal="center" vertical="center"/>
    </xf>
    <xf numFmtId="183" fontId="5" fillId="0" borderId="19" xfId="6" applyNumberFormat="1" applyBorder="1" applyAlignment="1">
      <alignment horizontal="center" vertical="center"/>
    </xf>
    <xf numFmtId="14" fontId="5" fillId="0" borderId="19" xfId="6" applyNumberFormat="1" applyBorder="1" applyAlignment="1">
      <alignment horizontal="center" vertical="center"/>
    </xf>
    <xf numFmtId="182" fontId="5" fillId="0" borderId="19" xfId="4" applyNumberFormat="1" applyBorder="1" applyAlignment="1">
      <alignment horizontal="center" vertical="center"/>
    </xf>
    <xf numFmtId="188" fontId="5" fillId="0" borderId="19" xfId="6" applyNumberFormat="1" applyBorder="1" applyAlignment="1">
      <alignment horizontal="center" vertical="center"/>
    </xf>
    <xf numFmtId="183" fontId="5" fillId="0" borderId="1" xfId="4" applyNumberFormat="1" applyBorder="1" applyAlignment="1">
      <alignment horizontal="center" vertical="center"/>
    </xf>
    <xf numFmtId="183" fontId="5" fillId="0" borderId="2" xfId="4" applyNumberFormat="1" applyBorder="1" applyAlignment="1">
      <alignment horizontal="center" vertical="center"/>
    </xf>
    <xf numFmtId="178" fontId="5" fillId="0" borderId="19" xfId="6" applyNumberFormat="1" applyBorder="1" applyAlignment="1">
      <alignment horizontal="center" vertical="center"/>
    </xf>
    <xf numFmtId="178" fontId="5" fillId="0" borderId="1" xfId="6" applyNumberFormat="1" applyBorder="1" applyAlignment="1">
      <alignment horizontal="center" vertical="center"/>
    </xf>
    <xf numFmtId="178" fontId="5" fillId="0" borderId="2" xfId="6" applyNumberFormat="1" applyBorder="1" applyAlignment="1">
      <alignment horizontal="center" vertical="center"/>
    </xf>
    <xf numFmtId="41" fontId="8" fillId="0" borderId="0" xfId="4" applyFont="1" applyAlignment="1">
      <alignment horizontal="center" vertical="center"/>
    </xf>
    <xf numFmtId="41" fontId="12" fillId="0" borderId="3" xfId="4" applyFont="1" applyBorder="1" applyAlignment="1">
      <alignment horizontal="center" vertical="center"/>
    </xf>
    <xf numFmtId="41" fontId="12" fillId="0" borderId="4" xfId="4" applyFont="1" applyBorder="1" applyAlignment="1">
      <alignment horizontal="center" vertical="center"/>
    </xf>
    <xf numFmtId="41" fontId="12" fillId="0" borderId="19" xfId="4" applyFont="1" applyBorder="1" applyAlignment="1">
      <alignment horizontal="center" vertical="center"/>
    </xf>
    <xf numFmtId="41" fontId="12" fillId="0" borderId="3" xfId="188" applyFont="1" applyBorder="1" applyAlignment="1">
      <alignment horizontal="center" vertical="center" wrapText="1"/>
    </xf>
    <xf numFmtId="41" fontId="12" fillId="0" borderId="4" xfId="188" applyFont="1" applyBorder="1" applyAlignment="1">
      <alignment horizontal="center" vertical="center" wrapText="1"/>
    </xf>
    <xf numFmtId="41" fontId="12" fillId="0" borderId="1" xfId="4" applyFont="1" applyBorder="1" applyAlignment="1">
      <alignment horizontal="center" vertical="center"/>
    </xf>
    <xf numFmtId="41" fontId="12" fillId="0" borderId="6" xfId="4" applyFont="1" applyBorder="1" applyAlignment="1">
      <alignment horizontal="center" vertical="center"/>
    </xf>
    <xf numFmtId="185" fontId="12" fillId="0" borderId="3" xfId="4" applyNumberFormat="1" applyFont="1" applyBorder="1" applyAlignment="1">
      <alignment horizontal="center" vertical="center"/>
    </xf>
    <xf numFmtId="185" fontId="12" fillId="0" borderId="4" xfId="4" applyNumberFormat="1" applyFont="1" applyBorder="1" applyAlignment="1">
      <alignment horizontal="center" vertical="center"/>
    </xf>
    <xf numFmtId="185" fontId="12" fillId="0" borderId="3" xfId="4" applyNumberFormat="1" applyFont="1" applyBorder="1" applyAlignment="1">
      <alignment horizontal="center" vertical="center" wrapText="1"/>
    </xf>
    <xf numFmtId="185" fontId="12" fillId="0" borderId="3" xfId="188" applyNumberFormat="1" applyFont="1" applyBorder="1" applyAlignment="1">
      <alignment horizontal="center" vertical="center" wrapText="1"/>
    </xf>
    <xf numFmtId="185" fontId="12" fillId="0" borderId="4" xfId="188" applyNumberFormat="1" applyFont="1" applyBorder="1" applyAlignment="1">
      <alignment horizontal="center" vertical="center" wrapText="1"/>
    </xf>
    <xf numFmtId="41" fontId="12" fillId="8" borderId="19" xfId="4" applyFont="1" applyFill="1" applyBorder="1" applyAlignment="1">
      <alignment horizontal="center" vertical="center"/>
    </xf>
    <xf numFmtId="41" fontId="12" fillId="0" borderId="1" xfId="4" applyFont="1" applyBorder="1" applyAlignment="1">
      <alignment horizontal="center" vertical="center" shrinkToFit="1"/>
    </xf>
    <xf numFmtId="41" fontId="12" fillId="0" borderId="6" xfId="4" applyFont="1" applyBorder="1" applyAlignment="1">
      <alignment horizontal="center" vertical="center" shrinkToFit="1"/>
    </xf>
    <xf numFmtId="0" fontId="18" fillId="15" borderId="56" xfId="7" applyFill="1" applyBorder="1" applyAlignment="1">
      <alignment horizontal="center" vertical="center"/>
    </xf>
    <xf numFmtId="0" fontId="26" fillId="0" borderId="19" xfId="31" applyFont="1" applyBorder="1" applyAlignment="1">
      <alignment horizontal="center" vertical="center"/>
    </xf>
    <xf numFmtId="0" fontId="18" fillId="0" borderId="19" xfId="31" applyBorder="1" applyAlignment="1">
      <alignment horizontal="center" vertical="center"/>
    </xf>
    <xf numFmtId="41" fontId="42" fillId="0" borderId="0" xfId="195" applyFont="1" applyAlignment="1">
      <alignment horizontal="center" vertical="center"/>
    </xf>
    <xf numFmtId="41" fontId="41" fillId="0" borderId="47" xfId="195" applyFont="1" applyBorder="1" applyAlignment="1">
      <alignment horizontal="center" vertical="center"/>
    </xf>
    <xf numFmtId="41" fontId="41" fillId="0" borderId="46" xfId="195" applyFont="1" applyBorder="1" applyAlignment="1">
      <alignment horizontal="center" vertical="center"/>
    </xf>
    <xf numFmtId="41" fontId="41" fillId="0" borderId="50" xfId="195" applyFont="1" applyBorder="1" applyAlignment="1">
      <alignment horizontal="center" vertical="center"/>
    </xf>
    <xf numFmtId="41" fontId="41" fillId="0" borderId="51" xfId="195" applyFont="1" applyBorder="1" applyAlignment="1">
      <alignment horizontal="center" vertical="center"/>
    </xf>
    <xf numFmtId="41" fontId="41" fillId="0" borderId="19" xfId="195" applyFont="1" applyBorder="1" applyAlignment="1">
      <alignment horizontal="center" vertical="center"/>
    </xf>
    <xf numFmtId="41" fontId="41" fillId="0" borderId="3" xfId="195" applyFont="1" applyBorder="1" applyAlignment="1">
      <alignment horizontal="center" vertical="center"/>
    </xf>
    <xf numFmtId="41" fontId="41" fillId="11" borderId="42" xfId="195" applyFont="1" applyFill="1" applyBorder="1" applyAlignment="1">
      <alignment horizontal="center" vertical="center"/>
    </xf>
    <xf numFmtId="41" fontId="41" fillId="11" borderId="61" xfId="195" applyFont="1" applyFill="1" applyBorder="1" applyAlignment="1">
      <alignment horizontal="center" vertical="center"/>
    </xf>
    <xf numFmtId="41" fontId="41" fillId="0" borderId="50" xfId="195" applyFont="1" applyBorder="1" applyAlignment="1">
      <alignment horizontal="center" vertical="center" shrinkToFit="1"/>
    </xf>
    <xf numFmtId="41" fontId="41" fillId="0" borderId="58" xfId="195" applyFont="1" applyBorder="1" applyAlignment="1">
      <alignment horizontal="center" vertical="center" shrinkToFit="1"/>
    </xf>
    <xf numFmtId="41" fontId="41" fillId="11" borderId="48" xfId="195" applyFont="1" applyFill="1" applyBorder="1" applyAlignment="1">
      <alignment horizontal="center" vertical="center"/>
    </xf>
    <xf numFmtId="41" fontId="41" fillId="11" borderId="53" xfId="195" applyFont="1" applyFill="1" applyBorder="1" applyAlignment="1">
      <alignment horizontal="center" vertical="center"/>
    </xf>
    <xf numFmtId="41" fontId="41" fillId="11" borderId="3" xfId="195" applyFont="1" applyFill="1" applyBorder="1" applyAlignment="1">
      <alignment horizontal="center" vertical="center"/>
    </xf>
    <xf numFmtId="41" fontId="41" fillId="11" borderId="59" xfId="195" applyFont="1" applyFill="1" applyBorder="1" applyAlignment="1">
      <alignment horizontal="center" vertical="center"/>
    </xf>
    <xf numFmtId="41" fontId="12" fillId="0" borderId="3" xfId="4" applyFont="1" applyBorder="1" applyAlignment="1">
      <alignment horizontal="center" vertical="center" wrapText="1"/>
    </xf>
    <xf numFmtId="0" fontId="5" fillId="0" borderId="30" xfId="6" applyBorder="1" applyAlignment="1">
      <alignment horizontal="center" vertical="center"/>
    </xf>
    <xf numFmtId="0" fontId="5" fillId="0" borderId="12" xfId="6" applyBorder="1" applyAlignment="1">
      <alignment horizontal="center" vertical="center"/>
    </xf>
    <xf numFmtId="0" fontId="5" fillId="0" borderId="14" xfId="6" applyBorder="1" applyAlignment="1">
      <alignment horizontal="center" vertical="center"/>
    </xf>
    <xf numFmtId="14" fontId="5" fillId="0" borderId="20" xfId="6" applyNumberFormat="1" applyBorder="1" applyAlignment="1">
      <alignment horizontal="center" vertical="center"/>
    </xf>
    <xf numFmtId="14" fontId="5" fillId="0" borderId="21" xfId="6" applyNumberFormat="1" applyBorder="1" applyAlignment="1">
      <alignment horizontal="center" vertical="center"/>
    </xf>
    <xf numFmtId="14" fontId="5" fillId="0" borderId="22" xfId="6" applyNumberFormat="1" applyBorder="1" applyAlignment="1">
      <alignment horizontal="center" vertical="center"/>
    </xf>
    <xf numFmtId="14" fontId="5" fillId="0" borderId="23" xfId="6" applyNumberFormat="1" applyBorder="1" applyAlignment="1">
      <alignment horizontal="center" vertical="center"/>
    </xf>
    <xf numFmtId="183" fontId="5" fillId="0" borderId="16" xfId="4" applyNumberFormat="1" applyBorder="1" applyAlignment="1">
      <alignment horizontal="center" vertical="center"/>
    </xf>
    <xf numFmtId="183" fontId="5" fillId="0" borderId="17" xfId="4" applyNumberFormat="1" applyBorder="1" applyAlignment="1">
      <alignment horizontal="center" vertical="center"/>
    </xf>
    <xf numFmtId="182" fontId="5" fillId="0" borderId="26" xfId="4" applyNumberFormat="1" applyBorder="1" applyAlignment="1">
      <alignment horizontal="center" vertical="center"/>
    </xf>
    <xf numFmtId="182" fontId="5" fillId="0" borderId="27" xfId="4" applyNumberFormat="1" applyBorder="1" applyAlignment="1">
      <alignment horizontal="center" vertical="center"/>
    </xf>
    <xf numFmtId="178" fontId="5" fillId="0" borderId="32" xfId="6" applyNumberFormat="1" applyBorder="1" applyAlignment="1">
      <alignment horizontal="center" vertical="center"/>
    </xf>
    <xf numFmtId="178" fontId="5" fillId="0" borderId="25" xfId="6" applyNumberFormat="1" applyBorder="1" applyAlignment="1">
      <alignment horizontal="center" vertical="center"/>
    </xf>
    <xf numFmtId="183" fontId="5" fillId="0" borderId="24" xfId="3" applyNumberFormat="1" applyBorder="1" applyAlignment="1">
      <alignment horizontal="center" vertical="center"/>
    </xf>
    <xf numFmtId="183" fontId="5" fillId="0" borderId="25" xfId="3" applyNumberFormat="1" applyBorder="1" applyAlignment="1">
      <alignment horizontal="center" vertical="center"/>
    </xf>
    <xf numFmtId="0" fontId="5" fillId="0" borderId="35" xfId="6" applyBorder="1" applyAlignment="1">
      <alignment horizontal="center" vertical="center"/>
    </xf>
    <xf numFmtId="0" fontId="5" fillId="0" borderId="36" xfId="6" applyBorder="1" applyAlignment="1">
      <alignment horizontal="center" vertical="center"/>
    </xf>
    <xf numFmtId="0" fontId="5" fillId="0" borderId="37" xfId="6" applyBorder="1" applyAlignment="1">
      <alignment horizontal="center" vertical="center"/>
    </xf>
    <xf numFmtId="0" fontId="5" fillId="0" borderId="33" xfId="6" applyBorder="1" applyAlignment="1">
      <alignment horizontal="center" vertical="center"/>
    </xf>
    <xf numFmtId="0" fontId="5" fillId="0" borderId="34" xfId="6" applyBorder="1" applyAlignment="1">
      <alignment horizontal="center" vertical="center"/>
    </xf>
    <xf numFmtId="0" fontId="5" fillId="0" borderId="31" xfId="6" applyBorder="1" applyAlignment="1">
      <alignment horizontal="center" vertical="center"/>
    </xf>
    <xf numFmtId="41" fontId="5" fillId="0" borderId="16" xfId="6" applyNumberFormat="1" applyBorder="1" applyAlignment="1">
      <alignment horizontal="center" vertical="center"/>
    </xf>
    <xf numFmtId="41" fontId="5" fillId="0" borderId="29" xfId="6" applyNumberFormat="1" applyBorder="1" applyAlignment="1">
      <alignment horizontal="center" vertical="center"/>
    </xf>
    <xf numFmtId="41" fontId="5" fillId="0" borderId="30" xfId="6" applyNumberFormat="1" applyBorder="1" applyAlignment="1">
      <alignment horizontal="center" vertical="center"/>
    </xf>
    <xf numFmtId="183" fontId="5" fillId="0" borderId="16" xfId="6" applyNumberFormat="1" applyBorder="1" applyAlignment="1">
      <alignment horizontal="center" vertical="center"/>
    </xf>
    <xf numFmtId="183" fontId="5" fillId="0" borderId="29" xfId="6" applyNumberFormat="1" applyBorder="1" applyAlignment="1">
      <alignment horizontal="center" vertical="center"/>
    </xf>
    <xf numFmtId="183" fontId="5" fillId="0" borderId="19" xfId="4" applyNumberFormat="1" applyBorder="1" applyAlignment="1">
      <alignment horizontal="center" vertical="center"/>
    </xf>
    <xf numFmtId="183" fontId="5" fillId="0" borderId="19" xfId="3" applyNumberForma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41" fontId="51" fillId="2" borderId="19" xfId="4" applyFont="1" applyFill="1" applyBorder="1" applyAlignment="1">
      <alignment horizontal="center" vertical="center" shrinkToFit="1"/>
    </xf>
  </cellXfs>
  <cellStyles count="213">
    <cellStyle name="Excel Built-in Normal" xfId="194" xr:uid="{00000000-0005-0000-0000-000000000000}"/>
    <cellStyle name="Monthly Totals" xfId="9" xr:uid="{00000000-0005-0000-0000-000001000000}"/>
    <cellStyle name="Page Title Bar" xfId="10" xr:uid="{00000000-0005-0000-0000-000002000000}"/>
    <cellStyle name="Year to date information" xfId="11" xr:uid="{00000000-0005-0000-0000-000003000000}"/>
    <cellStyle name="쉼표" xfId="212" builtinId="3"/>
    <cellStyle name="쉼표 [0]" xfId="188" builtinId="6"/>
    <cellStyle name="쉼표 [0] 2" xfId="2" xr:uid="{00000000-0005-0000-0000-000005000000}"/>
    <cellStyle name="쉼표 [0] 2 2" xfId="4" xr:uid="{00000000-0005-0000-0000-000006000000}"/>
    <cellStyle name="쉼표 [0] 2 2 2" xfId="195" xr:uid="{00000000-0005-0000-0000-000007000000}"/>
    <cellStyle name="쉼표 [0] 2 2 2 2" xfId="204" xr:uid="{A651ACE9-D973-4E5B-B921-7EFD0EC3D903}"/>
    <cellStyle name="쉼표 [0] 2 2 3" xfId="199" xr:uid="{E63F22C4-BE76-4151-8CE8-81EBA04C1A78}"/>
    <cellStyle name="쉼표 [0] 2 3" xfId="29" xr:uid="{00000000-0005-0000-0000-000008000000}"/>
    <cellStyle name="쉼표 [0] 2 3 2" xfId="201" xr:uid="{32ABAD39-4A8B-42D6-8566-1C9E833927BA}"/>
    <cellStyle name="쉼표 [0] 2 4" xfId="12" xr:uid="{00000000-0005-0000-0000-000009000000}"/>
    <cellStyle name="쉼표 [0] 2 4 2" xfId="200" xr:uid="{46DF8946-5F41-489F-B72C-BE883F9F8862}"/>
    <cellStyle name="쉼표 [0] 2 5" xfId="197" xr:uid="{00000000-0005-0000-0000-00000A000000}"/>
    <cellStyle name="쉼표 [0] 2 5 2" xfId="205" xr:uid="{FDE855D0-7964-4432-ABC3-885DC6E162AF}"/>
    <cellStyle name="쉼표 [0] 2 6" xfId="198" xr:uid="{F3821471-27A3-46BE-BB3B-0A65CAB52866}"/>
    <cellStyle name="쉼표 [0] 2 7" xfId="208" xr:uid="{FF1C3D2A-7E2D-4AD8-8855-BFFABB104ED3}"/>
    <cellStyle name="쉼표 [0] 3" xfId="189" xr:uid="{00000000-0005-0000-0000-00000B000000}"/>
    <cellStyle name="쉼표 [0] 3 2" xfId="203" xr:uid="{56D339C1-C595-4B70-BAD4-932756051854}"/>
    <cellStyle name="쉼표 [0] 3 3" xfId="206" xr:uid="{F10935F9-129E-4C92-BD52-61ABE32E9842}"/>
    <cellStyle name="쉼표 [0] 4" xfId="202" xr:uid="{8C138701-E3AE-4443-9C95-625E02BEE7FE}"/>
    <cellStyle name="쉼표 [0] 5" xfId="211" xr:uid="{2DD3227A-B555-4B76-A0E9-EC6A348BE74F}"/>
    <cellStyle name="쉼표 [0]_세금계산-임금계산" xfId="5" xr:uid="{00000000-0005-0000-0000-00000C000000}"/>
    <cellStyle name="쉼표 [0]_세금계산-임금계산 2" xfId="196" xr:uid="{00000000-0005-0000-0000-00000D000000}"/>
    <cellStyle name="통화 [0] 2" xfId="209" xr:uid="{D156E380-3878-4286-AD8E-3A82DC0AD95B}"/>
    <cellStyle name="표준" xfId="0" builtinId="0"/>
    <cellStyle name="표준 10" xfId="13" xr:uid="{00000000-0005-0000-0000-00000F000000}"/>
    <cellStyle name="표준 11" xfId="14" xr:uid="{00000000-0005-0000-0000-000010000000}"/>
    <cellStyle name="표준 16" xfId="15" xr:uid="{00000000-0005-0000-0000-000011000000}"/>
    <cellStyle name="표준 2" xfId="1" xr:uid="{00000000-0005-0000-0000-000012000000}"/>
    <cellStyle name="표준 2 10" xfId="56" xr:uid="{00000000-0005-0000-0000-000013000000}"/>
    <cellStyle name="표준 2 11" xfId="59" xr:uid="{00000000-0005-0000-0000-000014000000}"/>
    <cellStyle name="표준 2 12" xfId="62" xr:uid="{00000000-0005-0000-0000-000015000000}"/>
    <cellStyle name="표준 2 13" xfId="65" xr:uid="{00000000-0005-0000-0000-000016000000}"/>
    <cellStyle name="표준 2 14" xfId="68" xr:uid="{00000000-0005-0000-0000-000017000000}"/>
    <cellStyle name="표준 2 15" xfId="60" xr:uid="{00000000-0005-0000-0000-000018000000}"/>
    <cellStyle name="표준 2 16" xfId="74" xr:uid="{00000000-0005-0000-0000-000019000000}"/>
    <cellStyle name="표준 2 17" xfId="77" xr:uid="{00000000-0005-0000-0000-00001A000000}"/>
    <cellStyle name="표준 2 18" xfId="80" xr:uid="{00000000-0005-0000-0000-00001B000000}"/>
    <cellStyle name="표준 2 19" xfId="83" xr:uid="{00000000-0005-0000-0000-00001C000000}"/>
    <cellStyle name="표준 2 2" xfId="3" xr:uid="{00000000-0005-0000-0000-00001D000000}"/>
    <cellStyle name="표준 2 2 10" xfId="46" xr:uid="{00000000-0005-0000-0000-00001E000000}"/>
    <cellStyle name="표준 2 2 11" xfId="48" xr:uid="{00000000-0005-0000-0000-00001F000000}"/>
    <cellStyle name="표준 2 2 12" xfId="51" xr:uid="{00000000-0005-0000-0000-000020000000}"/>
    <cellStyle name="표준 2 2 13" xfId="54" xr:uid="{00000000-0005-0000-0000-000021000000}"/>
    <cellStyle name="표준 2 2 14" xfId="57" xr:uid="{00000000-0005-0000-0000-000022000000}"/>
    <cellStyle name="표준 2 2 15" xfId="72" xr:uid="{00000000-0005-0000-0000-000023000000}"/>
    <cellStyle name="표준 2 2 16" xfId="66" xr:uid="{00000000-0005-0000-0000-000024000000}"/>
    <cellStyle name="표준 2 2 17" xfId="73" xr:uid="{00000000-0005-0000-0000-000025000000}"/>
    <cellStyle name="표준 2 2 18" xfId="63" xr:uid="{00000000-0005-0000-0000-000026000000}"/>
    <cellStyle name="표준 2 2 19" xfId="70" xr:uid="{00000000-0005-0000-0000-000027000000}"/>
    <cellStyle name="표준 2 2 2" xfId="30" xr:uid="{00000000-0005-0000-0000-000028000000}"/>
    <cellStyle name="표준 2 2 20" xfId="75" xr:uid="{00000000-0005-0000-0000-000029000000}"/>
    <cellStyle name="표준 2 2 21" xfId="78" xr:uid="{00000000-0005-0000-0000-00002A000000}"/>
    <cellStyle name="표준 2 2 22" xfId="81" xr:uid="{00000000-0005-0000-0000-00002B000000}"/>
    <cellStyle name="표준 2 2 23" xfId="84" xr:uid="{00000000-0005-0000-0000-00002C000000}"/>
    <cellStyle name="표준 2 2 24" xfId="87" xr:uid="{00000000-0005-0000-0000-00002D000000}"/>
    <cellStyle name="표준 2 2 25" xfId="90" xr:uid="{00000000-0005-0000-0000-00002E000000}"/>
    <cellStyle name="표준 2 2 26" xfId="93" xr:uid="{00000000-0005-0000-0000-00002F000000}"/>
    <cellStyle name="표준 2 2 27" xfId="96" xr:uid="{00000000-0005-0000-0000-000030000000}"/>
    <cellStyle name="표준 2 2 28" xfId="99" xr:uid="{00000000-0005-0000-0000-000031000000}"/>
    <cellStyle name="표준 2 2 29" xfId="102" xr:uid="{00000000-0005-0000-0000-000032000000}"/>
    <cellStyle name="표준 2 2 3" xfId="37" xr:uid="{00000000-0005-0000-0000-000033000000}"/>
    <cellStyle name="표준 2 2 30" xfId="105" xr:uid="{00000000-0005-0000-0000-000034000000}"/>
    <cellStyle name="표준 2 2 31" xfId="108" xr:uid="{00000000-0005-0000-0000-000035000000}"/>
    <cellStyle name="표준 2 2 32" xfId="111" xr:uid="{00000000-0005-0000-0000-000036000000}"/>
    <cellStyle name="표준 2 2 33" xfId="114" xr:uid="{00000000-0005-0000-0000-000037000000}"/>
    <cellStyle name="표준 2 2 34" xfId="117" xr:uid="{00000000-0005-0000-0000-000038000000}"/>
    <cellStyle name="표준 2 2 35" xfId="120" xr:uid="{00000000-0005-0000-0000-000039000000}"/>
    <cellStyle name="표준 2 2 36" xfId="123" xr:uid="{00000000-0005-0000-0000-00003A000000}"/>
    <cellStyle name="표준 2 2 37" xfId="126" xr:uid="{00000000-0005-0000-0000-00003B000000}"/>
    <cellStyle name="표준 2 2 38" xfId="129" xr:uid="{00000000-0005-0000-0000-00003C000000}"/>
    <cellStyle name="표준 2 2 39" xfId="132" xr:uid="{00000000-0005-0000-0000-00003D000000}"/>
    <cellStyle name="표준 2 2 4" xfId="36" xr:uid="{00000000-0005-0000-0000-00003E000000}"/>
    <cellStyle name="표준 2 2 40" xfId="135" xr:uid="{00000000-0005-0000-0000-00003F000000}"/>
    <cellStyle name="표준 2 2 41" xfId="138" xr:uid="{00000000-0005-0000-0000-000040000000}"/>
    <cellStyle name="표준 2 2 42" xfId="141" xr:uid="{00000000-0005-0000-0000-000041000000}"/>
    <cellStyle name="표준 2 2 43" xfId="144" xr:uid="{00000000-0005-0000-0000-000042000000}"/>
    <cellStyle name="표준 2 2 44" xfId="147" xr:uid="{00000000-0005-0000-0000-000043000000}"/>
    <cellStyle name="표준 2 2 45" xfId="150" xr:uid="{00000000-0005-0000-0000-000044000000}"/>
    <cellStyle name="표준 2 2 46" xfId="153" xr:uid="{00000000-0005-0000-0000-000045000000}"/>
    <cellStyle name="표준 2 2 47" xfId="156" xr:uid="{00000000-0005-0000-0000-000046000000}"/>
    <cellStyle name="표준 2 2 48" xfId="159" xr:uid="{00000000-0005-0000-0000-000047000000}"/>
    <cellStyle name="표준 2 2 49" xfId="162" xr:uid="{00000000-0005-0000-0000-000048000000}"/>
    <cellStyle name="표준 2 2 5" xfId="38" xr:uid="{00000000-0005-0000-0000-000049000000}"/>
    <cellStyle name="표준 2 2 50" xfId="165" xr:uid="{00000000-0005-0000-0000-00004A000000}"/>
    <cellStyle name="표준 2 2 51" xfId="168" xr:uid="{00000000-0005-0000-0000-00004B000000}"/>
    <cellStyle name="표준 2 2 52" xfId="171" xr:uid="{00000000-0005-0000-0000-00004C000000}"/>
    <cellStyle name="표준 2 2 53" xfId="174" xr:uid="{00000000-0005-0000-0000-00004D000000}"/>
    <cellStyle name="표준 2 2 54" xfId="177" xr:uid="{00000000-0005-0000-0000-00004E000000}"/>
    <cellStyle name="표준 2 2 55" xfId="34" xr:uid="{00000000-0005-0000-0000-00004F000000}"/>
    <cellStyle name="표준 2 2 56" xfId="16" xr:uid="{00000000-0005-0000-0000-000050000000}"/>
    <cellStyle name="표준 2 2 6" xfId="33" xr:uid="{00000000-0005-0000-0000-000051000000}"/>
    <cellStyle name="표준 2 2 7" xfId="32" xr:uid="{00000000-0005-0000-0000-000052000000}"/>
    <cellStyle name="표준 2 2 8" xfId="40" xr:uid="{00000000-0005-0000-0000-000053000000}"/>
    <cellStyle name="표준 2 2 9" xfId="43" xr:uid="{00000000-0005-0000-0000-000054000000}"/>
    <cellStyle name="표준 2 20" xfId="86" xr:uid="{00000000-0005-0000-0000-000055000000}"/>
    <cellStyle name="표준 2 21" xfId="89" xr:uid="{00000000-0005-0000-0000-000056000000}"/>
    <cellStyle name="표준 2 22" xfId="92" xr:uid="{00000000-0005-0000-0000-000057000000}"/>
    <cellStyle name="표준 2 23" xfId="95" xr:uid="{00000000-0005-0000-0000-000058000000}"/>
    <cellStyle name="표준 2 24" xfId="98" xr:uid="{00000000-0005-0000-0000-000059000000}"/>
    <cellStyle name="표준 2 25" xfId="101" xr:uid="{00000000-0005-0000-0000-00005A000000}"/>
    <cellStyle name="표준 2 26" xfId="104" xr:uid="{00000000-0005-0000-0000-00005B000000}"/>
    <cellStyle name="표준 2 27" xfId="107" xr:uid="{00000000-0005-0000-0000-00005C000000}"/>
    <cellStyle name="표준 2 28" xfId="110" xr:uid="{00000000-0005-0000-0000-00005D000000}"/>
    <cellStyle name="표준 2 29" xfId="113" xr:uid="{00000000-0005-0000-0000-00005E000000}"/>
    <cellStyle name="표준 2 3" xfId="17" xr:uid="{00000000-0005-0000-0000-00005F000000}"/>
    <cellStyle name="표준 2 3 2" xfId="35" xr:uid="{00000000-0005-0000-0000-000060000000}"/>
    <cellStyle name="표준 2 30" xfId="116" xr:uid="{00000000-0005-0000-0000-000061000000}"/>
    <cellStyle name="표준 2 31" xfId="119" xr:uid="{00000000-0005-0000-0000-000062000000}"/>
    <cellStyle name="표준 2 32" xfId="122" xr:uid="{00000000-0005-0000-0000-000063000000}"/>
    <cellStyle name="표준 2 33" xfId="125" xr:uid="{00000000-0005-0000-0000-000064000000}"/>
    <cellStyle name="표준 2 34" xfId="128" xr:uid="{00000000-0005-0000-0000-000065000000}"/>
    <cellStyle name="표준 2 35" xfId="131" xr:uid="{00000000-0005-0000-0000-000066000000}"/>
    <cellStyle name="표준 2 36" xfId="134" xr:uid="{00000000-0005-0000-0000-000067000000}"/>
    <cellStyle name="표준 2 37" xfId="137" xr:uid="{00000000-0005-0000-0000-000068000000}"/>
    <cellStyle name="표준 2 38" xfId="140" xr:uid="{00000000-0005-0000-0000-000069000000}"/>
    <cellStyle name="표준 2 39" xfId="143" xr:uid="{00000000-0005-0000-0000-00006A000000}"/>
    <cellStyle name="표준 2 4" xfId="18" xr:uid="{00000000-0005-0000-0000-00006B000000}"/>
    <cellStyle name="표준 2 4 2" xfId="39" xr:uid="{00000000-0005-0000-0000-00006C000000}"/>
    <cellStyle name="표준 2 40" xfId="146" xr:uid="{00000000-0005-0000-0000-00006D000000}"/>
    <cellStyle name="표준 2 41" xfId="149" xr:uid="{00000000-0005-0000-0000-00006E000000}"/>
    <cellStyle name="표준 2 42" xfId="152" xr:uid="{00000000-0005-0000-0000-00006F000000}"/>
    <cellStyle name="표준 2 43" xfId="155" xr:uid="{00000000-0005-0000-0000-000070000000}"/>
    <cellStyle name="표준 2 44" xfId="158" xr:uid="{00000000-0005-0000-0000-000071000000}"/>
    <cellStyle name="표준 2 45" xfId="161" xr:uid="{00000000-0005-0000-0000-000072000000}"/>
    <cellStyle name="표준 2 46" xfId="164" xr:uid="{00000000-0005-0000-0000-000073000000}"/>
    <cellStyle name="표준 2 47" xfId="167" xr:uid="{00000000-0005-0000-0000-000074000000}"/>
    <cellStyle name="표준 2 48" xfId="170" xr:uid="{00000000-0005-0000-0000-000075000000}"/>
    <cellStyle name="표준 2 49" xfId="173" xr:uid="{00000000-0005-0000-0000-000076000000}"/>
    <cellStyle name="표준 2 5" xfId="19" xr:uid="{00000000-0005-0000-0000-000077000000}"/>
    <cellStyle name="표준 2 5 2" xfId="42" xr:uid="{00000000-0005-0000-0000-000078000000}"/>
    <cellStyle name="표준 2 50" xfId="176" xr:uid="{00000000-0005-0000-0000-000079000000}"/>
    <cellStyle name="표준 2 51" xfId="179" xr:uid="{00000000-0005-0000-0000-00007A000000}"/>
    <cellStyle name="표준 2 52" xfId="181" xr:uid="{00000000-0005-0000-0000-00007B000000}"/>
    <cellStyle name="표준 2 53" xfId="183" xr:uid="{00000000-0005-0000-0000-00007C000000}"/>
    <cellStyle name="표준 2 54" xfId="185" xr:uid="{00000000-0005-0000-0000-00007D000000}"/>
    <cellStyle name="표준 2 55" xfId="8" xr:uid="{00000000-0005-0000-0000-00007E000000}"/>
    <cellStyle name="표준 2 56" xfId="190" xr:uid="{00000000-0005-0000-0000-00007F000000}"/>
    <cellStyle name="표준 2 57" xfId="210" xr:uid="{C0ED30F1-927F-40B0-8F0B-C536F97E7225}"/>
    <cellStyle name="표준 2 6" xfId="20" xr:uid="{00000000-0005-0000-0000-000080000000}"/>
    <cellStyle name="표준 2 6 2" xfId="45" xr:uid="{00000000-0005-0000-0000-000081000000}"/>
    <cellStyle name="표준 2 7" xfId="28" xr:uid="{00000000-0005-0000-0000-000082000000}"/>
    <cellStyle name="표준 2 8" xfId="50" xr:uid="{00000000-0005-0000-0000-000083000000}"/>
    <cellStyle name="표준 2 9" xfId="53" xr:uid="{00000000-0005-0000-0000-000084000000}"/>
    <cellStyle name="표준 3" xfId="7" xr:uid="{00000000-0005-0000-0000-000085000000}"/>
    <cellStyle name="표준 3 10" xfId="61" xr:uid="{00000000-0005-0000-0000-000086000000}"/>
    <cellStyle name="표준 3 11" xfId="64" xr:uid="{00000000-0005-0000-0000-000087000000}"/>
    <cellStyle name="표준 3 12" xfId="67" xr:uid="{00000000-0005-0000-0000-000088000000}"/>
    <cellStyle name="표준 3 13" xfId="69" xr:uid="{00000000-0005-0000-0000-000089000000}"/>
    <cellStyle name="표준 3 14" xfId="71" xr:uid="{00000000-0005-0000-0000-00008A000000}"/>
    <cellStyle name="표준 3 15" xfId="76" xr:uid="{00000000-0005-0000-0000-00008B000000}"/>
    <cellStyle name="표준 3 16" xfId="79" xr:uid="{00000000-0005-0000-0000-00008C000000}"/>
    <cellStyle name="표준 3 17" xfId="82" xr:uid="{00000000-0005-0000-0000-00008D000000}"/>
    <cellStyle name="표준 3 18" xfId="85" xr:uid="{00000000-0005-0000-0000-00008E000000}"/>
    <cellStyle name="표준 3 19" xfId="88" xr:uid="{00000000-0005-0000-0000-00008F000000}"/>
    <cellStyle name="표준 3 2" xfId="31" xr:uid="{00000000-0005-0000-0000-000090000000}"/>
    <cellStyle name="표준 3 20" xfId="91" xr:uid="{00000000-0005-0000-0000-000091000000}"/>
    <cellStyle name="표준 3 21" xfId="94" xr:uid="{00000000-0005-0000-0000-000092000000}"/>
    <cellStyle name="표준 3 22" xfId="97" xr:uid="{00000000-0005-0000-0000-000093000000}"/>
    <cellStyle name="표준 3 23" xfId="100" xr:uid="{00000000-0005-0000-0000-000094000000}"/>
    <cellStyle name="표준 3 24" xfId="103" xr:uid="{00000000-0005-0000-0000-000095000000}"/>
    <cellStyle name="표준 3 25" xfId="106" xr:uid="{00000000-0005-0000-0000-000096000000}"/>
    <cellStyle name="표준 3 26" xfId="109" xr:uid="{00000000-0005-0000-0000-000097000000}"/>
    <cellStyle name="표준 3 27" xfId="112" xr:uid="{00000000-0005-0000-0000-000098000000}"/>
    <cellStyle name="표준 3 28" xfId="115" xr:uid="{00000000-0005-0000-0000-000099000000}"/>
    <cellStyle name="표준 3 29" xfId="118" xr:uid="{00000000-0005-0000-0000-00009A000000}"/>
    <cellStyle name="표준 3 3" xfId="41" xr:uid="{00000000-0005-0000-0000-00009B000000}"/>
    <cellStyle name="표준 3 30" xfId="121" xr:uid="{00000000-0005-0000-0000-00009C000000}"/>
    <cellStyle name="표준 3 31" xfId="124" xr:uid="{00000000-0005-0000-0000-00009D000000}"/>
    <cellStyle name="표준 3 32" xfId="127" xr:uid="{00000000-0005-0000-0000-00009E000000}"/>
    <cellStyle name="표준 3 33" xfId="130" xr:uid="{00000000-0005-0000-0000-00009F000000}"/>
    <cellStyle name="표준 3 34" xfId="133" xr:uid="{00000000-0005-0000-0000-0000A0000000}"/>
    <cellStyle name="표준 3 35" xfId="136" xr:uid="{00000000-0005-0000-0000-0000A1000000}"/>
    <cellStyle name="표준 3 36" xfId="139" xr:uid="{00000000-0005-0000-0000-0000A2000000}"/>
    <cellStyle name="표준 3 37" xfId="142" xr:uid="{00000000-0005-0000-0000-0000A3000000}"/>
    <cellStyle name="표준 3 38" xfId="145" xr:uid="{00000000-0005-0000-0000-0000A4000000}"/>
    <cellStyle name="표준 3 39" xfId="148" xr:uid="{00000000-0005-0000-0000-0000A5000000}"/>
    <cellStyle name="표준 3 4" xfId="44" xr:uid="{00000000-0005-0000-0000-0000A6000000}"/>
    <cellStyle name="표준 3 40" xfId="151" xr:uid="{00000000-0005-0000-0000-0000A7000000}"/>
    <cellStyle name="표준 3 41" xfId="154" xr:uid="{00000000-0005-0000-0000-0000A8000000}"/>
    <cellStyle name="표준 3 42" xfId="157" xr:uid="{00000000-0005-0000-0000-0000A9000000}"/>
    <cellStyle name="표준 3 43" xfId="160" xr:uid="{00000000-0005-0000-0000-0000AA000000}"/>
    <cellStyle name="표준 3 44" xfId="163" xr:uid="{00000000-0005-0000-0000-0000AB000000}"/>
    <cellStyle name="표준 3 45" xfId="166" xr:uid="{00000000-0005-0000-0000-0000AC000000}"/>
    <cellStyle name="표준 3 46" xfId="169" xr:uid="{00000000-0005-0000-0000-0000AD000000}"/>
    <cellStyle name="표준 3 47" xfId="172" xr:uid="{00000000-0005-0000-0000-0000AE000000}"/>
    <cellStyle name="표준 3 48" xfId="175" xr:uid="{00000000-0005-0000-0000-0000AF000000}"/>
    <cellStyle name="표준 3 49" xfId="178" xr:uid="{00000000-0005-0000-0000-0000B0000000}"/>
    <cellStyle name="표준 3 5" xfId="47" xr:uid="{00000000-0005-0000-0000-0000B1000000}"/>
    <cellStyle name="표준 3 50" xfId="180" xr:uid="{00000000-0005-0000-0000-0000B2000000}"/>
    <cellStyle name="표준 3 51" xfId="182" xr:uid="{00000000-0005-0000-0000-0000B3000000}"/>
    <cellStyle name="표준 3 52" xfId="184" xr:uid="{00000000-0005-0000-0000-0000B4000000}"/>
    <cellStyle name="표준 3 53" xfId="186" xr:uid="{00000000-0005-0000-0000-0000B5000000}"/>
    <cellStyle name="표준 3 54" xfId="187" xr:uid="{00000000-0005-0000-0000-0000B6000000}"/>
    <cellStyle name="표준 3 55" xfId="21" xr:uid="{00000000-0005-0000-0000-0000B7000000}"/>
    <cellStyle name="표준 3 56" xfId="193" xr:uid="{00000000-0005-0000-0000-0000B8000000}"/>
    <cellStyle name="표준 3 57" xfId="207" xr:uid="{B5F59F6A-1187-4F32-8F2E-238E4F62DB84}"/>
    <cellStyle name="표준 3 6" xfId="49" xr:uid="{00000000-0005-0000-0000-0000B9000000}"/>
    <cellStyle name="표준 3 7" xfId="52" xr:uid="{00000000-0005-0000-0000-0000BA000000}"/>
    <cellStyle name="표준 3 8" xfId="55" xr:uid="{00000000-0005-0000-0000-0000BB000000}"/>
    <cellStyle name="표준 3 9" xfId="58" xr:uid="{00000000-0005-0000-0000-0000BC000000}"/>
    <cellStyle name="표준 4" xfId="22" xr:uid="{00000000-0005-0000-0000-0000BD000000}"/>
    <cellStyle name="표준 4 2" xfId="192" xr:uid="{00000000-0005-0000-0000-0000BE000000}"/>
    <cellStyle name="표준 5" xfId="23" xr:uid="{00000000-0005-0000-0000-0000BF000000}"/>
    <cellStyle name="표준 5 2" xfId="191" xr:uid="{00000000-0005-0000-0000-0000C0000000}"/>
    <cellStyle name="표준 6" xfId="24" xr:uid="{00000000-0005-0000-0000-0000C1000000}"/>
    <cellStyle name="표준 7" xfId="25" xr:uid="{00000000-0005-0000-0000-0000C2000000}"/>
    <cellStyle name="표준 8" xfId="26" xr:uid="{00000000-0005-0000-0000-0000C3000000}"/>
    <cellStyle name="표준 9" xfId="27" xr:uid="{00000000-0005-0000-0000-0000C4000000}"/>
    <cellStyle name="표준_세금계산-임금계산" xfId="6" xr:uid="{00000000-0005-0000-0000-0000C5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7.5"/>
      </font>
      <fill>
        <patternFill>
          <bgColor theme="8" tint="0.59996337778862885"/>
        </patternFill>
      </fill>
      <border diagonalUp="0" diagonalDown="0">
        <left style="thin">
          <color theme="0"/>
        </left>
        <right style="thin">
          <color theme="0"/>
        </right>
        <top style="double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>
          <bgColor theme="8" tint="0.79998168889431442"/>
        </patternFill>
      </fill>
      <border diagonalUp="0" diagonalDown="0">
        <horizontal style="thin">
          <color theme="0"/>
        </horizontal>
      </border>
    </dxf>
    <dxf>
      <fill>
        <patternFill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>
          <bgColor theme="8" tint="0.59996337778862885"/>
        </patternFill>
      </fill>
      <border diagonalUp="0" diagonalDown="0">
        <horizontal style="thin">
          <color theme="0"/>
        </horizontal>
      </border>
    </dxf>
    <dxf>
      <font>
        <sz val="7.5"/>
      </font>
      <fill>
        <patternFill>
          <bgColor theme="8" tint="0.59996337778862885"/>
        </patternFill>
      </fill>
      <border diagonalUp="0" diagonalDown="0">
        <left style="thin">
          <color theme="0"/>
        </left>
        <right style="thin">
          <color theme="0"/>
        </right>
        <top style="double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z val="9"/>
        <color theme="0"/>
      </font>
      <fill>
        <patternFill>
          <bgColor theme="8"/>
        </patternFill>
      </fill>
      <border diagonalUp="0" diagonalDown="0">
        <top style="medium">
          <color theme="0"/>
        </top>
        <bottom style="thin">
          <color theme="0"/>
        </bottom>
      </border>
    </dxf>
    <dxf>
      <font>
        <sz val="7.5"/>
      </font>
    </dxf>
  </dxfs>
  <tableStyles count="1" defaultTableStyle="TableStyleMedium2" defaultPivotStyle="PivotStyleLight16">
    <tableStyle name="Employee Timesheet" pivot="0" count="7" xr9:uid="{00000000-0011-0000-FFFF-FFFF00000000}">
      <tableStyleElement type="wholeTable" dxfId="21"/>
      <tableStyleElement type="headerRow" dxfId="20"/>
      <tableStyleElement type="totalRow" dxfId="19"/>
      <tableStyleElement type="firstColumn" dxfId="18"/>
      <tableStyleElement type="firstColumnStripe" dxfId="17"/>
      <tableStyleElement type="secondColumnStripe" dxfId="16"/>
      <tableStyleElement type="firstTotalCell" dxfId="15"/>
    </tableStyle>
  </tableStyles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ceam\Downloads\26&#45380;%201&#50900;&#44553;&#50668;%20&#45432;&#47924;&#49324;%20&#49688;&#51221;&#48376;.xlsx" TargetMode="External"/><Relationship Id="rId1" Type="http://schemas.openxmlformats.org/officeDocument/2006/relationships/externalLinkPath" Target="file:///C:\Users\iceam\Downloads\26&#45380;%201&#50900;&#44553;&#50668;%20&#45432;&#47924;&#49324;%20&#49688;&#51221;&#48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PIAO JING</v>
          </cell>
          <cell r="E2">
            <v>3400000</v>
          </cell>
          <cell r="F2" t="str">
            <v>830729-6100013</v>
          </cell>
          <cell r="G2" t="str">
            <v>2022년07월01일</v>
          </cell>
          <cell r="I2" t="str">
            <v>2.5추가</v>
          </cell>
        </row>
        <row r="3">
          <cell r="B3" t="str">
            <v>이부순</v>
          </cell>
          <cell r="E3">
            <v>3300000</v>
          </cell>
          <cell r="F3" t="str">
            <v>690917-2451117</v>
          </cell>
          <cell r="G3">
            <v>45720</v>
          </cell>
          <cell r="I3" t="str">
            <v>0.5추가</v>
          </cell>
        </row>
        <row r="4">
          <cell r="B4" t="str">
            <v>안동화</v>
          </cell>
          <cell r="C4" t="str">
            <v>우리</v>
          </cell>
          <cell r="D4" t="str">
            <v>1002-946-342922</v>
          </cell>
          <cell r="E4">
            <v>3400000</v>
          </cell>
          <cell r="F4" t="str">
            <v>700928-6101893</v>
          </cell>
          <cell r="G4" t="str">
            <v>2025년01월25일</v>
          </cell>
          <cell r="I4" t="str">
            <v>0.5추가</v>
          </cell>
        </row>
        <row r="5">
          <cell r="B5" t="str">
            <v>김연희</v>
          </cell>
          <cell r="E5">
            <v>3300000</v>
          </cell>
          <cell r="F5" t="str">
            <v>770210-6102899</v>
          </cell>
          <cell r="G5">
            <v>45726</v>
          </cell>
          <cell r="I5" t="str">
            <v>1.5추가</v>
          </cell>
        </row>
        <row r="6">
          <cell r="B6" t="str">
            <v>허옥자</v>
          </cell>
          <cell r="E6">
            <v>3300000</v>
          </cell>
          <cell r="F6" t="str">
            <v>691020-6760016</v>
          </cell>
          <cell r="G6">
            <v>45887</v>
          </cell>
          <cell r="I6" t="str">
            <v>0.5추가</v>
          </cell>
        </row>
        <row r="7">
          <cell r="B7" t="str">
            <v>박은규</v>
          </cell>
          <cell r="C7" t="str">
            <v>하나은행</v>
          </cell>
          <cell r="D7" t="str">
            <v>369-910552-11407</v>
          </cell>
          <cell r="E7">
            <v>4300000</v>
          </cell>
          <cell r="F7" t="str">
            <v>870923-1243215</v>
          </cell>
          <cell r="G7" t="str">
            <v>2022년02월01일</v>
          </cell>
          <cell r="I7" t="str">
            <v>0.5추가</v>
          </cell>
        </row>
        <row r="8">
          <cell r="B8" t="str">
            <v>서헌규</v>
          </cell>
          <cell r="E8">
            <v>3400000</v>
          </cell>
          <cell r="F8" t="str">
            <v>921204-1748215</v>
          </cell>
          <cell r="G8" t="str">
            <v>2024년07월29일</v>
          </cell>
          <cell r="I8" t="str">
            <v>1.5추가</v>
          </cell>
        </row>
        <row r="9">
          <cell r="B9" t="str">
            <v>유용복</v>
          </cell>
          <cell r="E9">
            <v>3400000</v>
          </cell>
          <cell r="F9" t="str">
            <v>880621-1065632</v>
          </cell>
          <cell r="G9" t="str">
            <v xml:space="preserve"> </v>
          </cell>
          <cell r="I9" t="str">
            <v>0.5추가</v>
          </cell>
        </row>
        <row r="10">
          <cell r="B10" t="str">
            <v>최장현</v>
          </cell>
          <cell r="E10">
            <v>3800000</v>
          </cell>
          <cell r="F10" t="str">
            <v>930114-1064818</v>
          </cell>
          <cell r="G10">
            <v>45693</v>
          </cell>
          <cell r="I10" t="str">
            <v>1.5추가</v>
          </cell>
        </row>
        <row r="11">
          <cell r="B11" t="str">
            <v>강현경</v>
          </cell>
          <cell r="E11">
            <v>3300000</v>
          </cell>
          <cell r="F11" t="str">
            <v>951206-2158027</v>
          </cell>
          <cell r="G11">
            <v>45941</v>
          </cell>
          <cell r="I11" t="str">
            <v>0.5추가</v>
          </cell>
        </row>
        <row r="12">
          <cell r="B12" t="str">
            <v>조윤희</v>
          </cell>
          <cell r="E12">
            <v>3000000</v>
          </cell>
          <cell r="F12" t="str">
            <v>890428-2150912</v>
          </cell>
          <cell r="G12">
            <v>45809</v>
          </cell>
        </row>
        <row r="13">
          <cell r="B13" t="str">
            <v>이다연</v>
          </cell>
          <cell r="E13">
            <v>3000000</v>
          </cell>
          <cell r="F13" t="str">
            <v>950526-2401425</v>
          </cell>
          <cell r="G13">
            <v>46023</v>
          </cell>
        </row>
        <row r="14">
          <cell r="B14" t="str">
            <v>정지훈</v>
          </cell>
          <cell r="E14">
            <v>3800000</v>
          </cell>
          <cell r="F14" t="str">
            <v>841217-1185319</v>
          </cell>
          <cell r="G14">
            <v>45971</v>
          </cell>
          <cell r="I14" t="str">
            <v>1.5추가</v>
          </cell>
        </row>
        <row r="15">
          <cell r="B15" t="str">
            <v>정유진</v>
          </cell>
          <cell r="E15">
            <v>3200000</v>
          </cell>
          <cell r="F15" t="str">
            <v>000810-4155313</v>
          </cell>
          <cell r="G15">
            <v>46000</v>
          </cell>
          <cell r="I15" t="str">
            <v>1.5추가</v>
          </cell>
        </row>
        <row r="16">
          <cell r="B16" t="str">
            <v>김제우</v>
          </cell>
          <cell r="E16">
            <v>3800000</v>
          </cell>
          <cell r="F16" t="str">
            <v>830513-1624015</v>
          </cell>
          <cell r="G16">
            <v>46013</v>
          </cell>
          <cell r="I16" t="str">
            <v>1.5추가</v>
          </cell>
        </row>
        <row r="17">
          <cell r="B17" t="str">
            <v>김광신</v>
          </cell>
          <cell r="E17">
            <v>3500000</v>
          </cell>
          <cell r="F17" t="str">
            <v>730213-1350715</v>
          </cell>
          <cell r="G17">
            <v>46015</v>
          </cell>
          <cell r="I17" t="str">
            <v>0.5추가</v>
          </cell>
        </row>
        <row r="18">
          <cell r="B18" t="str">
            <v>김선월</v>
          </cell>
          <cell r="E18">
            <v>3300000</v>
          </cell>
          <cell r="F18" t="str">
            <v>631004-6320198</v>
          </cell>
          <cell r="G18" t="str">
            <v>2024년11월14일</v>
          </cell>
          <cell r="I18" t="str">
            <v>0.5추가</v>
          </cell>
        </row>
        <row r="19">
          <cell r="B19" t="str">
            <v>강정애</v>
          </cell>
          <cell r="C19" t="str">
            <v>신한</v>
          </cell>
          <cell r="D19" t="str">
            <v>110-253-242081</v>
          </cell>
          <cell r="E19">
            <v>3300000</v>
          </cell>
          <cell r="F19" t="str">
            <v>621005-6100899</v>
          </cell>
          <cell r="G19" t="str">
            <v>2024년04월18일</v>
          </cell>
          <cell r="I19" t="str">
            <v>0.5추가</v>
          </cell>
        </row>
        <row r="20">
          <cell r="B20" t="str">
            <v>김린</v>
          </cell>
          <cell r="E20">
            <v>3300000</v>
          </cell>
          <cell r="F20" t="str">
            <v>861016-6100690</v>
          </cell>
          <cell r="G20">
            <v>45890</v>
          </cell>
          <cell r="H20">
            <v>46046</v>
          </cell>
        </row>
        <row r="21">
          <cell r="B21" t="str">
            <v>이금향</v>
          </cell>
          <cell r="E21">
            <v>3300000</v>
          </cell>
          <cell r="F21" t="str">
            <v>660414-6101593</v>
          </cell>
          <cell r="G21">
            <v>45888</v>
          </cell>
          <cell r="I21" t="str">
            <v>1.5차감</v>
          </cell>
        </row>
        <row r="22">
          <cell r="B22" t="str">
            <v>황지현</v>
          </cell>
          <cell r="E22">
            <v>4300000</v>
          </cell>
          <cell r="F22" t="str">
            <v>830909-1247317</v>
          </cell>
          <cell r="G22">
            <v>45870</v>
          </cell>
          <cell r="I22" t="str">
            <v>3.5추가</v>
          </cell>
        </row>
        <row r="23">
          <cell r="B23" t="str">
            <v>김예찬</v>
          </cell>
          <cell r="E23">
            <v>3400000</v>
          </cell>
          <cell r="F23" t="str">
            <v>980825-1156317</v>
          </cell>
          <cell r="G23" t="str">
            <v>2025년04월24일</v>
          </cell>
          <cell r="I23" t="str">
            <v>1.5추가</v>
          </cell>
        </row>
        <row r="24">
          <cell r="B24" t="str">
            <v>김성환</v>
          </cell>
          <cell r="C24" t="str">
            <v>농협</v>
          </cell>
          <cell r="D24" t="str">
            <v>356-0297-9622-53</v>
          </cell>
          <cell r="E24">
            <v>3500000</v>
          </cell>
          <cell r="F24" t="str">
            <v>970504-1019024</v>
          </cell>
          <cell r="G24" t="str">
            <v>2023년12월18일</v>
          </cell>
          <cell r="I24" t="str">
            <v>2.5추가</v>
          </cell>
        </row>
        <row r="25">
          <cell r="B25" t="str">
            <v>강수정</v>
          </cell>
          <cell r="E25">
            <v>3500000</v>
          </cell>
          <cell r="F25" t="str">
            <v>970726-2155815</v>
          </cell>
          <cell r="G25" t="str">
            <v>2024년03월18일</v>
          </cell>
          <cell r="I25" t="str">
            <v>1.5추가</v>
          </cell>
        </row>
        <row r="26">
          <cell r="B26" t="str">
            <v>안유빈</v>
          </cell>
          <cell r="E26">
            <v>3300000</v>
          </cell>
          <cell r="F26" t="str">
            <v>001104-3466619</v>
          </cell>
          <cell r="G26">
            <v>45992</v>
          </cell>
          <cell r="I26" t="str">
            <v>0.5추가</v>
          </cell>
        </row>
        <row r="27">
          <cell r="B27" t="str">
            <v>나지훈</v>
          </cell>
          <cell r="E27">
            <v>3300000</v>
          </cell>
          <cell r="F27" t="str">
            <v>960115-1020619</v>
          </cell>
          <cell r="G27">
            <v>45841</v>
          </cell>
          <cell r="I27" t="str">
            <v>3.5추가</v>
          </cell>
        </row>
        <row r="28">
          <cell r="B28" t="str">
            <v>박기호</v>
          </cell>
          <cell r="E28">
            <v>3400000</v>
          </cell>
          <cell r="F28" t="str">
            <v>010620-3156714</v>
          </cell>
          <cell r="G28">
            <v>45861</v>
          </cell>
          <cell r="I28" t="str">
            <v>0.5추가</v>
          </cell>
        </row>
        <row r="29">
          <cell r="B29" t="str">
            <v>노근희</v>
          </cell>
          <cell r="E29">
            <v>3200000</v>
          </cell>
          <cell r="F29" t="str">
            <v>000927-3054211</v>
          </cell>
          <cell r="G29">
            <v>45922</v>
          </cell>
          <cell r="I29" t="str">
            <v>1.5추가</v>
          </cell>
        </row>
        <row r="30">
          <cell r="B30" t="str">
            <v>강봉국</v>
          </cell>
          <cell r="E30">
            <v>3300000</v>
          </cell>
          <cell r="F30" t="str">
            <v>860414-1156218</v>
          </cell>
          <cell r="G30">
            <v>46028</v>
          </cell>
        </row>
        <row r="31">
          <cell r="B31" t="str">
            <v>남궁현</v>
          </cell>
          <cell r="E31">
            <v>3300000</v>
          </cell>
          <cell r="F31" t="str">
            <v>880916-1063617</v>
          </cell>
          <cell r="G31">
            <v>46035</v>
          </cell>
        </row>
        <row r="32">
          <cell r="B32" t="str">
            <v>장준수</v>
          </cell>
          <cell r="E32">
            <v>3500000</v>
          </cell>
          <cell r="F32" t="str">
            <v>890417-1709714</v>
          </cell>
          <cell r="G32" t="str">
            <v>2024년03월04일</v>
          </cell>
          <cell r="I32" t="str">
            <v>1.5추가</v>
          </cell>
        </row>
        <row r="33">
          <cell r="B33" t="str">
            <v>이준수</v>
          </cell>
          <cell r="E33">
            <v>3500000</v>
          </cell>
          <cell r="F33" t="str">
            <v>991231-1152511</v>
          </cell>
          <cell r="G33">
            <v>45709</v>
          </cell>
          <cell r="I33" t="str">
            <v>1.5추가</v>
          </cell>
        </row>
        <row r="34">
          <cell r="B34" t="str">
            <v>박성재</v>
          </cell>
          <cell r="E34">
            <v>3200000</v>
          </cell>
          <cell r="F34" t="str">
            <v>061020-3178512</v>
          </cell>
          <cell r="G34">
            <v>45901</v>
          </cell>
          <cell r="H34" t="str">
            <v>2025-12-31일</v>
          </cell>
        </row>
        <row r="35">
          <cell r="B35" t="str">
            <v>이경수</v>
          </cell>
          <cell r="E35">
            <v>3000000</v>
          </cell>
          <cell r="F35" t="str">
            <v>920315-1352615</v>
          </cell>
          <cell r="G35">
            <v>46013</v>
          </cell>
        </row>
        <row r="36">
          <cell r="B36" t="str">
            <v>박옥순</v>
          </cell>
          <cell r="C36" t="str">
            <v>새마을금고</v>
          </cell>
          <cell r="D36" t="str">
            <v>9002-1731-3280-5</v>
          </cell>
          <cell r="E36">
            <v>3300000</v>
          </cell>
          <cell r="F36" t="str">
            <v>630526-2252859</v>
          </cell>
          <cell r="G36" t="str">
            <v>2023년03월27일</v>
          </cell>
          <cell r="I36" t="str">
            <v>0.5추가</v>
          </cell>
        </row>
        <row r="37">
          <cell r="B37" t="str">
            <v>김금희</v>
          </cell>
          <cell r="E37">
            <v>2300000</v>
          </cell>
          <cell r="F37" t="str">
            <v>700318-2018314</v>
          </cell>
          <cell r="G37" t="str">
            <v>2024년07월26일</v>
          </cell>
          <cell r="I37" t="str">
            <v>0.5추가</v>
          </cell>
        </row>
        <row r="38">
          <cell r="B38" t="str">
            <v>이경숙</v>
          </cell>
          <cell r="D38" t="str">
            <v>920315-1352615</v>
          </cell>
          <cell r="E38">
            <v>3300000</v>
          </cell>
          <cell r="F38" t="str">
            <v>650225-2154914</v>
          </cell>
          <cell r="G38">
            <v>46001</v>
          </cell>
          <cell r="I38" t="str">
            <v>0.5추가</v>
          </cell>
        </row>
        <row r="39">
          <cell r="B39" t="str">
            <v>김미숙</v>
          </cell>
          <cell r="E39">
            <v>3300000</v>
          </cell>
          <cell r="F39" t="str">
            <v>690610-2328312</v>
          </cell>
          <cell r="G39">
            <v>45933</v>
          </cell>
          <cell r="I39" t="str">
            <v>1.5추가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ehong seo" id="{44FE2A00-EED5-4493-BDBB-F00B5B54F225}" userId="316922520d303379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2" dT="2025-07-31T07:11:16.25" personId="{44FE2A00-EED5-4493-BDBB-F00B5B54F225}" id="{8A026C10-137F-44D6-A1B7-27CE1AC0202D}">
    <text>실수령300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1" row="14">
    <wetp:webextensionref xmlns:r="http://schemas.openxmlformats.org/officeDocument/2006/relationships" r:id="rId1"/>
  </wetp:taskpane>
  <wetp:taskpane dockstate="right" visibility="1" width="700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6727DC9-1E44-4491-88D5-954C1FB1E431}">
  <we:reference id="wa200005502" version="1.0.0.12" store="ko-KR" storeType="OMEX"/>
  <we:alternateReferences>
    <we:reference id="wa200005502" version="1.0.0.12" store="wa200005502" storeType="OMEX"/>
  </we:alternateReferences>
  <we:properties>
    <we:property name="docId" value="&quot;7EFV7uqc92cODhVE9xRi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85CE274C-A60A-48BC-9D19-85117E926364}">
  <we:reference id="wa200009404" version="1.0.0.4" store="ko-KR" storeType="OMEX"/>
  <we:alternateReferences>
    <we:reference id="wa200009404" version="1.0.0.4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648"/>
  <sheetViews>
    <sheetView zoomScale="115" zoomScaleNormal="115" workbookViewId="0">
      <pane xSplit="1" ySplit="1" topLeftCell="B623" activePane="bottomRight" state="frozen"/>
      <selection pane="topRight" activeCell="B610" sqref="B610"/>
      <selection pane="bottomLeft" activeCell="B610" sqref="B610"/>
      <selection pane="bottomRight" activeCell="B2" sqref="B2:L648"/>
    </sheetView>
  </sheetViews>
  <sheetFormatPr defaultRowHeight="12.75" x14ac:dyDescent="0.3"/>
  <cols>
    <col min="1" max="1" width="12" style="4" bestFit="1" customWidth="1"/>
    <col min="2" max="2" width="10.875" style="14" bestFit="1" customWidth="1"/>
    <col min="3" max="3" width="10.875" style="15" bestFit="1" customWidth="1"/>
    <col min="4" max="4" width="10.875" style="16" bestFit="1" customWidth="1"/>
    <col min="5" max="12" width="10.875" style="14" bestFit="1" customWidth="1"/>
    <col min="13" max="18" width="9.6875" style="4" bestFit="1" customWidth="1"/>
    <col min="19" max="256" width="9" style="4"/>
    <col min="257" max="257" width="12" style="4" bestFit="1" customWidth="1"/>
    <col min="258" max="268" width="10.875" style="4" bestFit="1" customWidth="1"/>
    <col min="269" max="274" width="9.6875" style="4" bestFit="1" customWidth="1"/>
    <col min="275" max="512" width="9" style="4"/>
    <col min="513" max="513" width="12" style="4" bestFit="1" customWidth="1"/>
    <col min="514" max="524" width="10.875" style="4" bestFit="1" customWidth="1"/>
    <col min="525" max="530" width="9.6875" style="4" bestFit="1" customWidth="1"/>
    <col min="531" max="768" width="9" style="4"/>
    <col min="769" max="769" width="12" style="4" bestFit="1" customWidth="1"/>
    <col min="770" max="780" width="10.875" style="4" bestFit="1" customWidth="1"/>
    <col min="781" max="786" width="9.6875" style="4" bestFit="1" customWidth="1"/>
    <col min="787" max="1024" width="9" style="4"/>
    <col min="1025" max="1025" width="12" style="4" bestFit="1" customWidth="1"/>
    <col min="1026" max="1036" width="10.875" style="4" bestFit="1" customWidth="1"/>
    <col min="1037" max="1042" width="9.6875" style="4" bestFit="1" customWidth="1"/>
    <col min="1043" max="1280" width="9" style="4"/>
    <col min="1281" max="1281" width="12" style="4" bestFit="1" customWidth="1"/>
    <col min="1282" max="1292" width="10.875" style="4" bestFit="1" customWidth="1"/>
    <col min="1293" max="1298" width="9.6875" style="4" bestFit="1" customWidth="1"/>
    <col min="1299" max="1536" width="9" style="4"/>
    <col min="1537" max="1537" width="12" style="4" bestFit="1" customWidth="1"/>
    <col min="1538" max="1548" width="10.875" style="4" bestFit="1" customWidth="1"/>
    <col min="1549" max="1554" width="9.6875" style="4" bestFit="1" customWidth="1"/>
    <col min="1555" max="1792" width="9" style="4"/>
    <col min="1793" max="1793" width="12" style="4" bestFit="1" customWidth="1"/>
    <col min="1794" max="1804" width="10.875" style="4" bestFit="1" customWidth="1"/>
    <col min="1805" max="1810" width="9.6875" style="4" bestFit="1" customWidth="1"/>
    <col min="1811" max="2048" width="9" style="4"/>
    <col min="2049" max="2049" width="12" style="4" bestFit="1" customWidth="1"/>
    <col min="2050" max="2060" width="10.875" style="4" bestFit="1" customWidth="1"/>
    <col min="2061" max="2066" width="9.6875" style="4" bestFit="1" customWidth="1"/>
    <col min="2067" max="2304" width="9" style="4"/>
    <col min="2305" max="2305" width="12" style="4" bestFit="1" customWidth="1"/>
    <col min="2306" max="2316" width="10.875" style="4" bestFit="1" customWidth="1"/>
    <col min="2317" max="2322" width="9.6875" style="4" bestFit="1" customWidth="1"/>
    <col min="2323" max="2560" width="9" style="4"/>
    <col min="2561" max="2561" width="12" style="4" bestFit="1" customWidth="1"/>
    <col min="2562" max="2572" width="10.875" style="4" bestFit="1" customWidth="1"/>
    <col min="2573" max="2578" width="9.6875" style="4" bestFit="1" customWidth="1"/>
    <col min="2579" max="2816" width="9" style="4"/>
    <col min="2817" max="2817" width="12" style="4" bestFit="1" customWidth="1"/>
    <col min="2818" max="2828" width="10.875" style="4" bestFit="1" customWidth="1"/>
    <col min="2829" max="2834" width="9.6875" style="4" bestFit="1" customWidth="1"/>
    <col min="2835" max="3072" width="9" style="4"/>
    <col min="3073" max="3073" width="12" style="4" bestFit="1" customWidth="1"/>
    <col min="3074" max="3084" width="10.875" style="4" bestFit="1" customWidth="1"/>
    <col min="3085" max="3090" width="9.6875" style="4" bestFit="1" customWidth="1"/>
    <col min="3091" max="3328" width="9" style="4"/>
    <col min="3329" max="3329" width="12" style="4" bestFit="1" customWidth="1"/>
    <col min="3330" max="3340" width="10.875" style="4" bestFit="1" customWidth="1"/>
    <col min="3341" max="3346" width="9.6875" style="4" bestFit="1" customWidth="1"/>
    <col min="3347" max="3584" width="9" style="4"/>
    <col min="3585" max="3585" width="12" style="4" bestFit="1" customWidth="1"/>
    <col min="3586" max="3596" width="10.875" style="4" bestFit="1" customWidth="1"/>
    <col min="3597" max="3602" width="9.6875" style="4" bestFit="1" customWidth="1"/>
    <col min="3603" max="3840" width="9" style="4"/>
    <col min="3841" max="3841" width="12" style="4" bestFit="1" customWidth="1"/>
    <col min="3842" max="3852" width="10.875" style="4" bestFit="1" customWidth="1"/>
    <col min="3853" max="3858" width="9.6875" style="4" bestFit="1" customWidth="1"/>
    <col min="3859" max="4096" width="9" style="4"/>
    <col min="4097" max="4097" width="12" style="4" bestFit="1" customWidth="1"/>
    <col min="4098" max="4108" width="10.875" style="4" bestFit="1" customWidth="1"/>
    <col min="4109" max="4114" width="9.6875" style="4" bestFit="1" customWidth="1"/>
    <col min="4115" max="4352" width="9" style="4"/>
    <col min="4353" max="4353" width="12" style="4" bestFit="1" customWidth="1"/>
    <col min="4354" max="4364" width="10.875" style="4" bestFit="1" customWidth="1"/>
    <col min="4365" max="4370" width="9.6875" style="4" bestFit="1" customWidth="1"/>
    <col min="4371" max="4608" width="9" style="4"/>
    <col min="4609" max="4609" width="12" style="4" bestFit="1" customWidth="1"/>
    <col min="4610" max="4620" width="10.875" style="4" bestFit="1" customWidth="1"/>
    <col min="4621" max="4626" width="9.6875" style="4" bestFit="1" customWidth="1"/>
    <col min="4627" max="4864" width="9" style="4"/>
    <col min="4865" max="4865" width="12" style="4" bestFit="1" customWidth="1"/>
    <col min="4866" max="4876" width="10.875" style="4" bestFit="1" customWidth="1"/>
    <col min="4877" max="4882" width="9.6875" style="4" bestFit="1" customWidth="1"/>
    <col min="4883" max="5120" width="9" style="4"/>
    <col min="5121" max="5121" width="12" style="4" bestFit="1" customWidth="1"/>
    <col min="5122" max="5132" width="10.875" style="4" bestFit="1" customWidth="1"/>
    <col min="5133" max="5138" width="9.6875" style="4" bestFit="1" customWidth="1"/>
    <col min="5139" max="5376" width="9" style="4"/>
    <col min="5377" max="5377" width="12" style="4" bestFit="1" customWidth="1"/>
    <col min="5378" max="5388" width="10.875" style="4" bestFit="1" customWidth="1"/>
    <col min="5389" max="5394" width="9.6875" style="4" bestFit="1" customWidth="1"/>
    <col min="5395" max="5632" width="9" style="4"/>
    <col min="5633" max="5633" width="12" style="4" bestFit="1" customWidth="1"/>
    <col min="5634" max="5644" width="10.875" style="4" bestFit="1" customWidth="1"/>
    <col min="5645" max="5650" width="9.6875" style="4" bestFit="1" customWidth="1"/>
    <col min="5651" max="5888" width="9" style="4"/>
    <col min="5889" max="5889" width="12" style="4" bestFit="1" customWidth="1"/>
    <col min="5890" max="5900" width="10.875" style="4" bestFit="1" customWidth="1"/>
    <col min="5901" max="5906" width="9.6875" style="4" bestFit="1" customWidth="1"/>
    <col min="5907" max="6144" width="9" style="4"/>
    <col min="6145" max="6145" width="12" style="4" bestFit="1" customWidth="1"/>
    <col min="6146" max="6156" width="10.875" style="4" bestFit="1" customWidth="1"/>
    <col min="6157" max="6162" width="9.6875" style="4" bestFit="1" customWidth="1"/>
    <col min="6163" max="6400" width="9" style="4"/>
    <col min="6401" max="6401" width="12" style="4" bestFit="1" customWidth="1"/>
    <col min="6402" max="6412" width="10.875" style="4" bestFit="1" customWidth="1"/>
    <col min="6413" max="6418" width="9.6875" style="4" bestFit="1" customWidth="1"/>
    <col min="6419" max="6656" width="9" style="4"/>
    <col min="6657" max="6657" width="12" style="4" bestFit="1" customWidth="1"/>
    <col min="6658" max="6668" width="10.875" style="4" bestFit="1" customWidth="1"/>
    <col min="6669" max="6674" width="9.6875" style="4" bestFit="1" customWidth="1"/>
    <col min="6675" max="6912" width="9" style="4"/>
    <col min="6913" max="6913" width="12" style="4" bestFit="1" customWidth="1"/>
    <col min="6914" max="6924" width="10.875" style="4" bestFit="1" customWidth="1"/>
    <col min="6925" max="6930" width="9.6875" style="4" bestFit="1" customWidth="1"/>
    <col min="6931" max="7168" width="9" style="4"/>
    <col min="7169" max="7169" width="12" style="4" bestFit="1" customWidth="1"/>
    <col min="7170" max="7180" width="10.875" style="4" bestFit="1" customWidth="1"/>
    <col min="7181" max="7186" width="9.6875" style="4" bestFit="1" customWidth="1"/>
    <col min="7187" max="7424" width="9" style="4"/>
    <col min="7425" max="7425" width="12" style="4" bestFit="1" customWidth="1"/>
    <col min="7426" max="7436" width="10.875" style="4" bestFit="1" customWidth="1"/>
    <col min="7437" max="7442" width="9.6875" style="4" bestFit="1" customWidth="1"/>
    <col min="7443" max="7680" width="9" style="4"/>
    <col min="7681" max="7681" width="12" style="4" bestFit="1" customWidth="1"/>
    <col min="7682" max="7692" width="10.875" style="4" bestFit="1" customWidth="1"/>
    <col min="7693" max="7698" width="9.6875" style="4" bestFit="1" customWidth="1"/>
    <col min="7699" max="7936" width="9" style="4"/>
    <col min="7937" max="7937" width="12" style="4" bestFit="1" customWidth="1"/>
    <col min="7938" max="7948" width="10.875" style="4" bestFit="1" customWidth="1"/>
    <col min="7949" max="7954" width="9.6875" style="4" bestFit="1" customWidth="1"/>
    <col min="7955" max="8192" width="9" style="4"/>
    <col min="8193" max="8193" width="12" style="4" bestFit="1" customWidth="1"/>
    <col min="8194" max="8204" width="10.875" style="4" bestFit="1" customWidth="1"/>
    <col min="8205" max="8210" width="9.6875" style="4" bestFit="1" customWidth="1"/>
    <col min="8211" max="8448" width="9" style="4"/>
    <col min="8449" max="8449" width="12" style="4" bestFit="1" customWidth="1"/>
    <col min="8450" max="8460" width="10.875" style="4" bestFit="1" customWidth="1"/>
    <col min="8461" max="8466" width="9.6875" style="4" bestFit="1" customWidth="1"/>
    <col min="8467" max="8704" width="9" style="4"/>
    <col min="8705" max="8705" width="12" style="4" bestFit="1" customWidth="1"/>
    <col min="8706" max="8716" width="10.875" style="4" bestFit="1" customWidth="1"/>
    <col min="8717" max="8722" width="9.6875" style="4" bestFit="1" customWidth="1"/>
    <col min="8723" max="8960" width="9" style="4"/>
    <col min="8961" max="8961" width="12" style="4" bestFit="1" customWidth="1"/>
    <col min="8962" max="8972" width="10.875" style="4" bestFit="1" customWidth="1"/>
    <col min="8973" max="8978" width="9.6875" style="4" bestFit="1" customWidth="1"/>
    <col min="8979" max="9216" width="9" style="4"/>
    <col min="9217" max="9217" width="12" style="4" bestFit="1" customWidth="1"/>
    <col min="9218" max="9228" width="10.875" style="4" bestFit="1" customWidth="1"/>
    <col min="9229" max="9234" width="9.6875" style="4" bestFit="1" customWidth="1"/>
    <col min="9235" max="9472" width="9" style="4"/>
    <col min="9473" max="9473" width="12" style="4" bestFit="1" customWidth="1"/>
    <col min="9474" max="9484" width="10.875" style="4" bestFit="1" customWidth="1"/>
    <col min="9485" max="9490" width="9.6875" style="4" bestFit="1" customWidth="1"/>
    <col min="9491" max="9728" width="9" style="4"/>
    <col min="9729" max="9729" width="12" style="4" bestFit="1" customWidth="1"/>
    <col min="9730" max="9740" width="10.875" style="4" bestFit="1" customWidth="1"/>
    <col min="9741" max="9746" width="9.6875" style="4" bestFit="1" customWidth="1"/>
    <col min="9747" max="9984" width="9" style="4"/>
    <col min="9985" max="9985" width="12" style="4" bestFit="1" customWidth="1"/>
    <col min="9986" max="9996" width="10.875" style="4" bestFit="1" customWidth="1"/>
    <col min="9997" max="10002" width="9.6875" style="4" bestFit="1" customWidth="1"/>
    <col min="10003" max="10240" width="9" style="4"/>
    <col min="10241" max="10241" width="12" style="4" bestFit="1" customWidth="1"/>
    <col min="10242" max="10252" width="10.875" style="4" bestFit="1" customWidth="1"/>
    <col min="10253" max="10258" width="9.6875" style="4" bestFit="1" customWidth="1"/>
    <col min="10259" max="10496" width="9" style="4"/>
    <col min="10497" max="10497" width="12" style="4" bestFit="1" customWidth="1"/>
    <col min="10498" max="10508" width="10.875" style="4" bestFit="1" customWidth="1"/>
    <col min="10509" max="10514" width="9.6875" style="4" bestFit="1" customWidth="1"/>
    <col min="10515" max="10752" width="9" style="4"/>
    <col min="10753" max="10753" width="12" style="4" bestFit="1" customWidth="1"/>
    <col min="10754" max="10764" width="10.875" style="4" bestFit="1" customWidth="1"/>
    <col min="10765" max="10770" width="9.6875" style="4" bestFit="1" customWidth="1"/>
    <col min="10771" max="11008" width="9" style="4"/>
    <col min="11009" max="11009" width="12" style="4" bestFit="1" customWidth="1"/>
    <col min="11010" max="11020" width="10.875" style="4" bestFit="1" customWidth="1"/>
    <col min="11021" max="11026" width="9.6875" style="4" bestFit="1" customWidth="1"/>
    <col min="11027" max="11264" width="9" style="4"/>
    <col min="11265" max="11265" width="12" style="4" bestFit="1" customWidth="1"/>
    <col min="11266" max="11276" width="10.875" style="4" bestFit="1" customWidth="1"/>
    <col min="11277" max="11282" width="9.6875" style="4" bestFit="1" customWidth="1"/>
    <col min="11283" max="11520" width="9" style="4"/>
    <col min="11521" max="11521" width="12" style="4" bestFit="1" customWidth="1"/>
    <col min="11522" max="11532" width="10.875" style="4" bestFit="1" customWidth="1"/>
    <col min="11533" max="11538" width="9.6875" style="4" bestFit="1" customWidth="1"/>
    <col min="11539" max="11776" width="9" style="4"/>
    <col min="11777" max="11777" width="12" style="4" bestFit="1" customWidth="1"/>
    <col min="11778" max="11788" width="10.875" style="4" bestFit="1" customWidth="1"/>
    <col min="11789" max="11794" width="9.6875" style="4" bestFit="1" customWidth="1"/>
    <col min="11795" max="12032" width="9" style="4"/>
    <col min="12033" max="12033" width="12" style="4" bestFit="1" customWidth="1"/>
    <col min="12034" max="12044" width="10.875" style="4" bestFit="1" customWidth="1"/>
    <col min="12045" max="12050" width="9.6875" style="4" bestFit="1" customWidth="1"/>
    <col min="12051" max="12288" width="9" style="4"/>
    <col min="12289" max="12289" width="12" style="4" bestFit="1" customWidth="1"/>
    <col min="12290" max="12300" width="10.875" style="4" bestFit="1" customWidth="1"/>
    <col min="12301" max="12306" width="9.6875" style="4" bestFit="1" customWidth="1"/>
    <col min="12307" max="12544" width="9" style="4"/>
    <col min="12545" max="12545" width="12" style="4" bestFit="1" customWidth="1"/>
    <col min="12546" max="12556" width="10.875" style="4" bestFit="1" customWidth="1"/>
    <col min="12557" max="12562" width="9.6875" style="4" bestFit="1" customWidth="1"/>
    <col min="12563" max="12800" width="9" style="4"/>
    <col min="12801" max="12801" width="12" style="4" bestFit="1" customWidth="1"/>
    <col min="12802" max="12812" width="10.875" style="4" bestFit="1" customWidth="1"/>
    <col min="12813" max="12818" width="9.6875" style="4" bestFit="1" customWidth="1"/>
    <col min="12819" max="13056" width="9" style="4"/>
    <col min="13057" max="13057" width="12" style="4" bestFit="1" customWidth="1"/>
    <col min="13058" max="13068" width="10.875" style="4" bestFit="1" customWidth="1"/>
    <col min="13069" max="13074" width="9.6875" style="4" bestFit="1" customWidth="1"/>
    <col min="13075" max="13312" width="9" style="4"/>
    <col min="13313" max="13313" width="12" style="4" bestFit="1" customWidth="1"/>
    <col min="13314" max="13324" width="10.875" style="4" bestFit="1" customWidth="1"/>
    <col min="13325" max="13330" width="9.6875" style="4" bestFit="1" customWidth="1"/>
    <col min="13331" max="13568" width="9" style="4"/>
    <col min="13569" max="13569" width="12" style="4" bestFit="1" customWidth="1"/>
    <col min="13570" max="13580" width="10.875" style="4" bestFit="1" customWidth="1"/>
    <col min="13581" max="13586" width="9.6875" style="4" bestFit="1" customWidth="1"/>
    <col min="13587" max="13824" width="9" style="4"/>
    <col min="13825" max="13825" width="12" style="4" bestFit="1" customWidth="1"/>
    <col min="13826" max="13836" width="10.875" style="4" bestFit="1" customWidth="1"/>
    <col min="13837" max="13842" width="9.6875" style="4" bestFit="1" customWidth="1"/>
    <col min="13843" max="14080" width="9" style="4"/>
    <col min="14081" max="14081" width="12" style="4" bestFit="1" customWidth="1"/>
    <col min="14082" max="14092" width="10.875" style="4" bestFit="1" customWidth="1"/>
    <col min="14093" max="14098" width="9.6875" style="4" bestFit="1" customWidth="1"/>
    <col min="14099" max="14336" width="9" style="4"/>
    <col min="14337" max="14337" width="12" style="4" bestFit="1" customWidth="1"/>
    <col min="14338" max="14348" width="10.875" style="4" bestFit="1" customWidth="1"/>
    <col min="14349" max="14354" width="9.6875" style="4" bestFit="1" customWidth="1"/>
    <col min="14355" max="14592" width="9" style="4"/>
    <col min="14593" max="14593" width="12" style="4" bestFit="1" customWidth="1"/>
    <col min="14594" max="14604" width="10.875" style="4" bestFit="1" customWidth="1"/>
    <col min="14605" max="14610" width="9.6875" style="4" bestFit="1" customWidth="1"/>
    <col min="14611" max="14848" width="9" style="4"/>
    <col min="14849" max="14849" width="12" style="4" bestFit="1" customWidth="1"/>
    <col min="14850" max="14860" width="10.875" style="4" bestFit="1" customWidth="1"/>
    <col min="14861" max="14866" width="9.6875" style="4" bestFit="1" customWidth="1"/>
    <col min="14867" max="15104" width="9" style="4"/>
    <col min="15105" max="15105" width="12" style="4" bestFit="1" customWidth="1"/>
    <col min="15106" max="15116" width="10.875" style="4" bestFit="1" customWidth="1"/>
    <col min="15117" max="15122" width="9.6875" style="4" bestFit="1" customWidth="1"/>
    <col min="15123" max="15360" width="9" style="4"/>
    <col min="15361" max="15361" width="12" style="4" bestFit="1" customWidth="1"/>
    <col min="15362" max="15372" width="10.875" style="4" bestFit="1" customWidth="1"/>
    <col min="15373" max="15378" width="9.6875" style="4" bestFit="1" customWidth="1"/>
    <col min="15379" max="15616" width="9" style="4"/>
    <col min="15617" max="15617" width="12" style="4" bestFit="1" customWidth="1"/>
    <col min="15618" max="15628" width="10.875" style="4" bestFit="1" customWidth="1"/>
    <col min="15629" max="15634" width="9.6875" style="4" bestFit="1" customWidth="1"/>
    <col min="15635" max="15872" width="9" style="4"/>
    <col min="15873" max="15873" width="12" style="4" bestFit="1" customWidth="1"/>
    <col min="15874" max="15884" width="10.875" style="4" bestFit="1" customWidth="1"/>
    <col min="15885" max="15890" width="9.6875" style="4" bestFit="1" customWidth="1"/>
    <col min="15891" max="16128" width="9" style="4"/>
    <col min="16129" max="16129" width="12" style="4" bestFit="1" customWidth="1"/>
    <col min="16130" max="16140" width="10.875" style="4" bestFit="1" customWidth="1"/>
    <col min="16141" max="16146" width="9.6875" style="4" bestFit="1" customWidth="1"/>
    <col min="16147" max="16384" width="9" style="4"/>
  </cols>
  <sheetData>
    <row r="1" spans="1:21" x14ac:dyDescent="0.3">
      <c r="A1" s="1"/>
      <c r="B1" s="184">
        <v>1</v>
      </c>
      <c r="C1" s="185">
        <v>2</v>
      </c>
      <c r="D1" s="2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</row>
    <row r="2" spans="1:21" x14ac:dyDescent="0.3">
      <c r="A2" s="186">
        <v>775000</v>
      </c>
      <c r="B2" s="187">
        <v>0</v>
      </c>
      <c r="C2" s="188">
        <v>0</v>
      </c>
      <c r="D2" s="189">
        <v>0</v>
      </c>
      <c r="E2" s="187">
        <v>0</v>
      </c>
      <c r="F2" s="187">
        <v>0</v>
      </c>
      <c r="G2" s="187">
        <v>0</v>
      </c>
      <c r="H2" s="187">
        <v>0</v>
      </c>
      <c r="I2" s="187">
        <v>0</v>
      </c>
      <c r="J2" s="187">
        <v>0</v>
      </c>
      <c r="K2" s="187">
        <v>0</v>
      </c>
      <c r="L2" s="187">
        <v>0</v>
      </c>
      <c r="M2" s="187">
        <v>0</v>
      </c>
      <c r="N2" s="187">
        <v>0</v>
      </c>
      <c r="O2" s="187">
        <v>0</v>
      </c>
      <c r="P2" s="187">
        <v>0</v>
      </c>
      <c r="Q2" s="187">
        <v>0</v>
      </c>
      <c r="R2" s="187">
        <v>0</v>
      </c>
      <c r="S2" s="187">
        <v>0</v>
      </c>
      <c r="T2" s="187">
        <v>0</v>
      </c>
      <c r="U2" s="187">
        <v>0</v>
      </c>
    </row>
    <row r="3" spans="1:21" x14ac:dyDescent="0.3">
      <c r="A3" s="186">
        <v>780000</v>
      </c>
      <c r="B3" s="187">
        <v>0</v>
      </c>
      <c r="C3" s="188">
        <v>0</v>
      </c>
      <c r="D3" s="189">
        <v>0</v>
      </c>
      <c r="E3" s="187">
        <v>0</v>
      </c>
      <c r="F3" s="187">
        <v>0</v>
      </c>
      <c r="G3" s="187">
        <v>0</v>
      </c>
      <c r="H3" s="187">
        <v>0</v>
      </c>
      <c r="I3" s="187">
        <v>0</v>
      </c>
      <c r="J3" s="187">
        <v>0</v>
      </c>
      <c r="K3" s="187">
        <v>0</v>
      </c>
      <c r="L3" s="187">
        <v>0</v>
      </c>
      <c r="M3" s="187">
        <v>0</v>
      </c>
      <c r="N3" s="187">
        <v>0</v>
      </c>
      <c r="O3" s="187">
        <v>0</v>
      </c>
      <c r="P3" s="187">
        <v>0</v>
      </c>
      <c r="Q3" s="187">
        <v>0</v>
      </c>
      <c r="R3" s="187">
        <v>0</v>
      </c>
      <c r="S3" s="187">
        <v>0</v>
      </c>
      <c r="T3" s="187">
        <v>0</v>
      </c>
      <c r="U3" s="187">
        <v>0</v>
      </c>
    </row>
    <row r="4" spans="1:21" x14ac:dyDescent="0.3">
      <c r="A4" s="186">
        <v>785000</v>
      </c>
      <c r="B4" s="187">
        <v>0</v>
      </c>
      <c r="C4" s="188">
        <v>0</v>
      </c>
      <c r="D4" s="189">
        <v>0</v>
      </c>
      <c r="E4" s="187">
        <v>0</v>
      </c>
      <c r="F4" s="187">
        <v>0</v>
      </c>
      <c r="G4" s="187">
        <v>0</v>
      </c>
      <c r="H4" s="187">
        <v>0</v>
      </c>
      <c r="I4" s="187">
        <v>0</v>
      </c>
      <c r="J4" s="187">
        <v>0</v>
      </c>
      <c r="K4" s="187">
        <v>0</v>
      </c>
      <c r="L4" s="187">
        <v>0</v>
      </c>
      <c r="M4" s="187">
        <v>0</v>
      </c>
      <c r="N4" s="187">
        <v>0</v>
      </c>
      <c r="O4" s="187">
        <v>0</v>
      </c>
      <c r="P4" s="187">
        <v>0</v>
      </c>
      <c r="Q4" s="187">
        <v>0</v>
      </c>
      <c r="R4" s="187">
        <v>0</v>
      </c>
      <c r="S4" s="187">
        <v>0</v>
      </c>
      <c r="T4" s="187">
        <v>0</v>
      </c>
      <c r="U4" s="187">
        <v>0</v>
      </c>
    </row>
    <row r="5" spans="1:21" x14ac:dyDescent="0.3">
      <c r="A5" s="186">
        <v>790000</v>
      </c>
      <c r="B5" s="187">
        <v>0</v>
      </c>
      <c r="C5" s="188">
        <v>0</v>
      </c>
      <c r="D5" s="189">
        <v>0</v>
      </c>
      <c r="E5" s="187">
        <v>0</v>
      </c>
      <c r="F5" s="187">
        <v>0</v>
      </c>
      <c r="G5" s="187">
        <v>0</v>
      </c>
      <c r="H5" s="187">
        <v>0</v>
      </c>
      <c r="I5" s="187">
        <v>0</v>
      </c>
      <c r="J5" s="187">
        <v>0</v>
      </c>
      <c r="K5" s="187">
        <v>0</v>
      </c>
      <c r="L5" s="187">
        <v>0</v>
      </c>
      <c r="M5" s="187">
        <v>0</v>
      </c>
      <c r="N5" s="187">
        <v>0</v>
      </c>
      <c r="O5" s="187">
        <v>0</v>
      </c>
      <c r="P5" s="187">
        <v>0</v>
      </c>
      <c r="Q5" s="187">
        <v>0</v>
      </c>
      <c r="R5" s="187">
        <v>0</v>
      </c>
      <c r="S5" s="187">
        <v>0</v>
      </c>
      <c r="T5" s="187">
        <v>0</v>
      </c>
      <c r="U5" s="187">
        <v>0</v>
      </c>
    </row>
    <row r="6" spans="1:21" x14ac:dyDescent="0.3">
      <c r="A6" s="190">
        <v>795000</v>
      </c>
      <c r="B6" s="191">
        <v>0</v>
      </c>
      <c r="C6" s="188">
        <v>0</v>
      </c>
      <c r="D6" s="189">
        <v>0</v>
      </c>
      <c r="E6" s="191">
        <v>0</v>
      </c>
      <c r="F6" s="191">
        <v>0</v>
      </c>
      <c r="G6" s="191">
        <v>0</v>
      </c>
      <c r="H6" s="191">
        <v>0</v>
      </c>
      <c r="I6" s="191">
        <v>0</v>
      </c>
      <c r="J6" s="191">
        <v>0</v>
      </c>
      <c r="K6" s="191">
        <v>0</v>
      </c>
      <c r="L6" s="191">
        <v>0</v>
      </c>
      <c r="M6" s="191">
        <v>0</v>
      </c>
      <c r="N6" s="191">
        <v>0</v>
      </c>
      <c r="O6" s="191">
        <v>0</v>
      </c>
      <c r="P6" s="191">
        <v>0</v>
      </c>
      <c r="Q6" s="191">
        <v>0</v>
      </c>
      <c r="R6" s="191">
        <v>0</v>
      </c>
      <c r="S6" s="191">
        <v>0</v>
      </c>
      <c r="T6" s="191">
        <v>0</v>
      </c>
      <c r="U6" s="191">
        <v>0</v>
      </c>
    </row>
    <row r="7" spans="1:21" x14ac:dyDescent="0.3">
      <c r="A7" s="190">
        <v>800000</v>
      </c>
      <c r="B7" s="192">
        <v>0</v>
      </c>
      <c r="C7" s="193">
        <v>0</v>
      </c>
      <c r="D7" s="194">
        <v>0</v>
      </c>
      <c r="E7" s="192">
        <v>0</v>
      </c>
      <c r="F7" s="192">
        <v>0</v>
      </c>
      <c r="G7" s="192">
        <v>0</v>
      </c>
      <c r="H7" s="192">
        <v>0</v>
      </c>
      <c r="I7" s="192">
        <v>0</v>
      </c>
      <c r="J7" s="192">
        <v>0</v>
      </c>
      <c r="K7" s="192">
        <v>0</v>
      </c>
      <c r="L7" s="192">
        <v>0</v>
      </c>
      <c r="M7" s="191">
        <v>0</v>
      </c>
      <c r="N7" s="191">
        <v>0</v>
      </c>
      <c r="O7" s="191">
        <v>0</v>
      </c>
      <c r="P7" s="191">
        <v>0</v>
      </c>
      <c r="Q7" s="191">
        <v>0</v>
      </c>
      <c r="R7" s="191">
        <v>0</v>
      </c>
      <c r="S7" s="191">
        <v>0</v>
      </c>
      <c r="T7" s="191">
        <v>0</v>
      </c>
      <c r="U7" s="191">
        <v>0</v>
      </c>
    </row>
    <row r="8" spans="1:21" x14ac:dyDescent="0.3">
      <c r="A8" s="195">
        <v>805000</v>
      </c>
      <c r="B8" s="192">
        <v>0</v>
      </c>
      <c r="C8" s="193">
        <v>0</v>
      </c>
      <c r="D8" s="194">
        <v>0</v>
      </c>
      <c r="E8" s="192">
        <v>0</v>
      </c>
      <c r="F8" s="192">
        <v>0</v>
      </c>
      <c r="G8" s="192">
        <v>0</v>
      </c>
      <c r="H8" s="192">
        <v>0</v>
      </c>
      <c r="I8" s="192">
        <v>0</v>
      </c>
      <c r="J8" s="192">
        <v>0</v>
      </c>
      <c r="K8" s="192">
        <v>0</v>
      </c>
      <c r="L8" s="192">
        <v>0</v>
      </c>
      <c r="M8" s="191">
        <v>0</v>
      </c>
      <c r="N8" s="191">
        <v>0</v>
      </c>
      <c r="O8" s="191">
        <v>0</v>
      </c>
      <c r="P8" s="191">
        <v>0</v>
      </c>
      <c r="Q8" s="191">
        <v>0</v>
      </c>
      <c r="R8" s="191">
        <v>0</v>
      </c>
      <c r="S8" s="191">
        <v>0</v>
      </c>
      <c r="T8" s="191">
        <v>0</v>
      </c>
      <c r="U8" s="191">
        <v>0</v>
      </c>
    </row>
    <row r="9" spans="1:21" x14ac:dyDescent="0.3">
      <c r="A9" s="195">
        <v>810000</v>
      </c>
      <c r="B9" s="192">
        <v>0</v>
      </c>
      <c r="C9" s="193">
        <v>0</v>
      </c>
      <c r="D9" s="194">
        <v>0</v>
      </c>
      <c r="E9" s="192">
        <v>0</v>
      </c>
      <c r="F9" s="192">
        <v>0</v>
      </c>
      <c r="G9" s="192">
        <v>0</v>
      </c>
      <c r="H9" s="192">
        <v>0</v>
      </c>
      <c r="I9" s="192">
        <v>0</v>
      </c>
      <c r="J9" s="192">
        <v>0</v>
      </c>
      <c r="K9" s="192">
        <v>0</v>
      </c>
      <c r="L9" s="192">
        <v>0</v>
      </c>
      <c r="M9" s="191">
        <v>0</v>
      </c>
      <c r="N9" s="191">
        <v>0</v>
      </c>
      <c r="O9" s="191">
        <v>0</v>
      </c>
      <c r="P9" s="191">
        <v>0</v>
      </c>
      <c r="Q9" s="191">
        <v>0</v>
      </c>
      <c r="R9" s="191">
        <v>0</v>
      </c>
      <c r="S9" s="191">
        <v>0</v>
      </c>
      <c r="T9" s="191">
        <v>0</v>
      </c>
      <c r="U9" s="191">
        <v>0</v>
      </c>
    </row>
    <row r="10" spans="1:21" x14ac:dyDescent="0.3">
      <c r="A10" s="195">
        <v>815000</v>
      </c>
      <c r="B10" s="192">
        <v>0</v>
      </c>
      <c r="C10" s="193">
        <v>0</v>
      </c>
      <c r="D10" s="194">
        <v>0</v>
      </c>
      <c r="E10" s="192">
        <v>0</v>
      </c>
      <c r="F10" s="192">
        <v>0</v>
      </c>
      <c r="G10" s="192">
        <v>0</v>
      </c>
      <c r="H10" s="192">
        <v>0</v>
      </c>
      <c r="I10" s="192">
        <v>0</v>
      </c>
      <c r="J10" s="192">
        <v>0</v>
      </c>
      <c r="K10" s="192">
        <v>0</v>
      </c>
      <c r="L10" s="192">
        <v>0</v>
      </c>
      <c r="M10" s="191">
        <v>0</v>
      </c>
      <c r="N10" s="191">
        <v>0</v>
      </c>
      <c r="O10" s="191">
        <v>0</v>
      </c>
      <c r="P10" s="191">
        <v>0</v>
      </c>
      <c r="Q10" s="191">
        <v>0</v>
      </c>
      <c r="R10" s="191">
        <v>0</v>
      </c>
      <c r="S10" s="191">
        <v>0</v>
      </c>
      <c r="T10" s="191">
        <v>0</v>
      </c>
      <c r="U10" s="191">
        <v>0</v>
      </c>
    </row>
    <row r="11" spans="1:21" x14ac:dyDescent="0.3">
      <c r="A11" s="195">
        <v>820000</v>
      </c>
      <c r="B11" s="192">
        <v>0</v>
      </c>
      <c r="C11" s="193">
        <v>0</v>
      </c>
      <c r="D11" s="194">
        <v>0</v>
      </c>
      <c r="E11" s="192">
        <v>0</v>
      </c>
      <c r="F11" s="192">
        <v>0</v>
      </c>
      <c r="G11" s="192">
        <v>0</v>
      </c>
      <c r="H11" s="192">
        <v>0</v>
      </c>
      <c r="I11" s="192">
        <v>0</v>
      </c>
      <c r="J11" s="192">
        <v>0</v>
      </c>
      <c r="K11" s="192">
        <v>0</v>
      </c>
      <c r="L11" s="192">
        <v>0</v>
      </c>
      <c r="M11" s="191">
        <v>0</v>
      </c>
      <c r="N11" s="191">
        <v>0</v>
      </c>
      <c r="O11" s="191">
        <v>0</v>
      </c>
      <c r="P11" s="191">
        <v>0</v>
      </c>
      <c r="Q11" s="191">
        <v>0</v>
      </c>
      <c r="R11" s="191">
        <v>0</v>
      </c>
      <c r="S11" s="191">
        <v>0</v>
      </c>
      <c r="T11" s="191">
        <v>0</v>
      </c>
      <c r="U11" s="191">
        <v>0</v>
      </c>
    </row>
    <row r="12" spans="1:21" x14ac:dyDescent="0.3">
      <c r="A12" s="195">
        <v>825000</v>
      </c>
      <c r="B12" s="192">
        <v>0</v>
      </c>
      <c r="C12" s="193">
        <v>0</v>
      </c>
      <c r="D12" s="194">
        <v>0</v>
      </c>
      <c r="E12" s="192">
        <v>0</v>
      </c>
      <c r="F12" s="192">
        <v>0</v>
      </c>
      <c r="G12" s="192">
        <v>0</v>
      </c>
      <c r="H12" s="192">
        <v>0</v>
      </c>
      <c r="I12" s="192">
        <v>0</v>
      </c>
      <c r="J12" s="192">
        <v>0</v>
      </c>
      <c r="K12" s="192">
        <v>0</v>
      </c>
      <c r="L12" s="192">
        <v>0</v>
      </c>
      <c r="M12" s="191">
        <v>0</v>
      </c>
      <c r="N12" s="191">
        <v>0</v>
      </c>
      <c r="O12" s="191">
        <v>0</v>
      </c>
      <c r="P12" s="191">
        <v>0</v>
      </c>
      <c r="Q12" s="191">
        <v>0</v>
      </c>
      <c r="R12" s="191">
        <v>0</v>
      </c>
      <c r="S12" s="191">
        <v>0</v>
      </c>
      <c r="T12" s="191">
        <v>0</v>
      </c>
      <c r="U12" s="191">
        <v>0</v>
      </c>
    </row>
    <row r="13" spans="1:21" x14ac:dyDescent="0.3">
      <c r="A13" s="195">
        <v>830000</v>
      </c>
      <c r="B13" s="192">
        <v>0</v>
      </c>
      <c r="C13" s="193">
        <v>0</v>
      </c>
      <c r="D13" s="194">
        <v>0</v>
      </c>
      <c r="E13" s="192">
        <v>0</v>
      </c>
      <c r="F13" s="192">
        <v>0</v>
      </c>
      <c r="G13" s="192">
        <v>0</v>
      </c>
      <c r="H13" s="192">
        <v>0</v>
      </c>
      <c r="I13" s="192">
        <v>0</v>
      </c>
      <c r="J13" s="192">
        <v>0</v>
      </c>
      <c r="K13" s="192">
        <v>0</v>
      </c>
      <c r="L13" s="192">
        <v>0</v>
      </c>
      <c r="M13" s="191">
        <v>0</v>
      </c>
      <c r="N13" s="191">
        <v>0</v>
      </c>
      <c r="O13" s="191">
        <v>0</v>
      </c>
      <c r="P13" s="191">
        <v>0</v>
      </c>
      <c r="Q13" s="191">
        <v>0</v>
      </c>
      <c r="R13" s="191">
        <v>0</v>
      </c>
      <c r="S13" s="191">
        <v>0</v>
      </c>
      <c r="T13" s="191">
        <v>0</v>
      </c>
      <c r="U13" s="191">
        <v>0</v>
      </c>
    </row>
    <row r="14" spans="1:21" x14ac:dyDescent="0.3">
      <c r="A14" s="195">
        <v>835000</v>
      </c>
      <c r="B14" s="192">
        <v>0</v>
      </c>
      <c r="C14" s="193">
        <v>0</v>
      </c>
      <c r="D14" s="194">
        <v>0</v>
      </c>
      <c r="E14" s="192">
        <v>0</v>
      </c>
      <c r="F14" s="192">
        <v>0</v>
      </c>
      <c r="G14" s="192">
        <v>0</v>
      </c>
      <c r="H14" s="192">
        <v>0</v>
      </c>
      <c r="I14" s="192">
        <v>0</v>
      </c>
      <c r="J14" s="192">
        <v>0</v>
      </c>
      <c r="K14" s="192">
        <v>0</v>
      </c>
      <c r="L14" s="192">
        <v>0</v>
      </c>
      <c r="M14" s="191">
        <v>0</v>
      </c>
      <c r="N14" s="191">
        <v>0</v>
      </c>
      <c r="O14" s="191">
        <v>0</v>
      </c>
      <c r="P14" s="191">
        <v>0</v>
      </c>
      <c r="Q14" s="191">
        <v>0</v>
      </c>
      <c r="R14" s="191">
        <v>0</v>
      </c>
      <c r="S14" s="191">
        <v>0</v>
      </c>
      <c r="T14" s="191">
        <v>0</v>
      </c>
      <c r="U14" s="191">
        <v>0</v>
      </c>
    </row>
    <row r="15" spans="1:21" x14ac:dyDescent="0.3">
      <c r="A15" s="195">
        <v>840000</v>
      </c>
      <c r="B15" s="192">
        <v>0</v>
      </c>
      <c r="C15" s="193">
        <v>0</v>
      </c>
      <c r="D15" s="194">
        <v>0</v>
      </c>
      <c r="E15" s="192">
        <v>0</v>
      </c>
      <c r="F15" s="192">
        <v>0</v>
      </c>
      <c r="G15" s="192">
        <v>0</v>
      </c>
      <c r="H15" s="192">
        <v>0</v>
      </c>
      <c r="I15" s="192">
        <v>0</v>
      </c>
      <c r="J15" s="192">
        <v>0</v>
      </c>
      <c r="K15" s="192">
        <v>0</v>
      </c>
      <c r="L15" s="192">
        <v>0</v>
      </c>
      <c r="M15" s="191">
        <v>0</v>
      </c>
      <c r="N15" s="191">
        <v>0</v>
      </c>
      <c r="O15" s="191">
        <v>0</v>
      </c>
      <c r="P15" s="191">
        <v>0</v>
      </c>
      <c r="Q15" s="191">
        <v>0</v>
      </c>
      <c r="R15" s="191">
        <v>0</v>
      </c>
      <c r="S15" s="191">
        <v>0</v>
      </c>
      <c r="T15" s="191">
        <v>0</v>
      </c>
      <c r="U15" s="191">
        <v>0</v>
      </c>
    </row>
    <row r="16" spans="1:21" x14ac:dyDescent="0.3">
      <c r="A16" s="195">
        <v>845000</v>
      </c>
      <c r="B16" s="192">
        <v>0</v>
      </c>
      <c r="C16" s="193">
        <v>0</v>
      </c>
      <c r="D16" s="194">
        <v>0</v>
      </c>
      <c r="E16" s="192">
        <v>0</v>
      </c>
      <c r="F16" s="192">
        <v>0</v>
      </c>
      <c r="G16" s="192">
        <v>0</v>
      </c>
      <c r="H16" s="192">
        <v>0</v>
      </c>
      <c r="I16" s="192">
        <v>0</v>
      </c>
      <c r="J16" s="192">
        <v>0</v>
      </c>
      <c r="K16" s="192">
        <v>0</v>
      </c>
      <c r="L16" s="192">
        <v>0</v>
      </c>
      <c r="M16" s="191">
        <v>0</v>
      </c>
      <c r="N16" s="191">
        <v>0</v>
      </c>
      <c r="O16" s="191">
        <v>0</v>
      </c>
      <c r="P16" s="191">
        <v>0</v>
      </c>
      <c r="Q16" s="191">
        <v>0</v>
      </c>
      <c r="R16" s="191">
        <v>0</v>
      </c>
      <c r="S16" s="191">
        <v>0</v>
      </c>
      <c r="T16" s="191">
        <v>0</v>
      </c>
      <c r="U16" s="191">
        <v>0</v>
      </c>
    </row>
    <row r="17" spans="1:21" x14ac:dyDescent="0.3">
      <c r="A17" s="195">
        <v>850000</v>
      </c>
      <c r="B17" s="192">
        <v>0</v>
      </c>
      <c r="C17" s="193">
        <v>0</v>
      </c>
      <c r="D17" s="194">
        <v>0</v>
      </c>
      <c r="E17" s="192">
        <v>0</v>
      </c>
      <c r="F17" s="192">
        <v>0</v>
      </c>
      <c r="G17" s="192">
        <v>0</v>
      </c>
      <c r="H17" s="192">
        <v>0</v>
      </c>
      <c r="I17" s="192">
        <v>0</v>
      </c>
      <c r="J17" s="192">
        <v>0</v>
      </c>
      <c r="K17" s="192">
        <v>0</v>
      </c>
      <c r="L17" s="192">
        <v>0</v>
      </c>
      <c r="M17" s="191">
        <v>0</v>
      </c>
      <c r="N17" s="191">
        <v>0</v>
      </c>
      <c r="O17" s="191">
        <v>0</v>
      </c>
      <c r="P17" s="191">
        <v>0</v>
      </c>
      <c r="Q17" s="191">
        <v>0</v>
      </c>
      <c r="R17" s="191">
        <v>0</v>
      </c>
      <c r="S17" s="191">
        <v>0</v>
      </c>
      <c r="T17" s="191">
        <v>0</v>
      </c>
      <c r="U17" s="191">
        <v>0</v>
      </c>
    </row>
    <row r="18" spans="1:21" x14ac:dyDescent="0.3">
      <c r="A18" s="195">
        <v>855000</v>
      </c>
      <c r="B18" s="192">
        <v>0</v>
      </c>
      <c r="C18" s="193">
        <v>0</v>
      </c>
      <c r="D18" s="194">
        <v>0</v>
      </c>
      <c r="E18" s="192">
        <v>0</v>
      </c>
      <c r="F18" s="192">
        <v>0</v>
      </c>
      <c r="G18" s="192">
        <v>0</v>
      </c>
      <c r="H18" s="192">
        <v>0</v>
      </c>
      <c r="I18" s="192">
        <v>0</v>
      </c>
      <c r="J18" s="192">
        <v>0</v>
      </c>
      <c r="K18" s="192">
        <v>0</v>
      </c>
      <c r="L18" s="192">
        <v>0</v>
      </c>
      <c r="M18" s="191">
        <v>0</v>
      </c>
      <c r="N18" s="191">
        <v>0</v>
      </c>
      <c r="O18" s="191">
        <v>0</v>
      </c>
      <c r="P18" s="191">
        <v>0</v>
      </c>
      <c r="Q18" s="191">
        <v>0</v>
      </c>
      <c r="R18" s="191">
        <v>0</v>
      </c>
      <c r="S18" s="191">
        <v>0</v>
      </c>
      <c r="T18" s="191">
        <v>0</v>
      </c>
      <c r="U18" s="191">
        <v>0</v>
      </c>
    </row>
    <row r="19" spans="1:21" x14ac:dyDescent="0.3">
      <c r="A19" s="195">
        <v>860000</v>
      </c>
      <c r="B19" s="192">
        <v>0</v>
      </c>
      <c r="C19" s="193">
        <v>0</v>
      </c>
      <c r="D19" s="194">
        <v>0</v>
      </c>
      <c r="E19" s="192">
        <v>0</v>
      </c>
      <c r="F19" s="192">
        <v>0</v>
      </c>
      <c r="G19" s="192">
        <v>0</v>
      </c>
      <c r="H19" s="192">
        <v>0</v>
      </c>
      <c r="I19" s="192">
        <v>0</v>
      </c>
      <c r="J19" s="192">
        <v>0</v>
      </c>
      <c r="K19" s="192">
        <v>0</v>
      </c>
      <c r="L19" s="192">
        <v>0</v>
      </c>
      <c r="M19" s="191">
        <v>0</v>
      </c>
      <c r="N19" s="191">
        <v>0</v>
      </c>
      <c r="O19" s="191">
        <v>0</v>
      </c>
      <c r="P19" s="191">
        <v>0</v>
      </c>
      <c r="Q19" s="191">
        <v>0</v>
      </c>
      <c r="R19" s="191">
        <v>0</v>
      </c>
      <c r="S19" s="191">
        <v>0</v>
      </c>
      <c r="T19" s="191">
        <v>0</v>
      </c>
      <c r="U19" s="191">
        <v>0</v>
      </c>
    </row>
    <row r="20" spans="1:21" x14ac:dyDescent="0.3">
      <c r="A20" s="195">
        <v>865000</v>
      </c>
      <c r="B20" s="192">
        <v>0</v>
      </c>
      <c r="C20" s="193">
        <v>0</v>
      </c>
      <c r="D20" s="194">
        <v>0</v>
      </c>
      <c r="E20" s="192">
        <v>0</v>
      </c>
      <c r="F20" s="192">
        <v>0</v>
      </c>
      <c r="G20" s="192">
        <v>0</v>
      </c>
      <c r="H20" s="192">
        <v>0</v>
      </c>
      <c r="I20" s="192">
        <v>0</v>
      </c>
      <c r="J20" s="192">
        <v>0</v>
      </c>
      <c r="K20" s="192">
        <v>0</v>
      </c>
      <c r="L20" s="192">
        <v>0</v>
      </c>
      <c r="M20" s="191">
        <v>0</v>
      </c>
      <c r="N20" s="191">
        <v>0</v>
      </c>
      <c r="O20" s="191">
        <v>0</v>
      </c>
      <c r="P20" s="191">
        <v>0</v>
      </c>
      <c r="Q20" s="191">
        <v>0</v>
      </c>
      <c r="R20" s="191">
        <v>0</v>
      </c>
      <c r="S20" s="191">
        <v>0</v>
      </c>
      <c r="T20" s="191">
        <v>0</v>
      </c>
      <c r="U20" s="191">
        <v>0</v>
      </c>
    </row>
    <row r="21" spans="1:21" x14ac:dyDescent="0.3">
      <c r="A21" s="195">
        <v>870000</v>
      </c>
      <c r="B21" s="192">
        <v>0</v>
      </c>
      <c r="C21" s="193">
        <v>0</v>
      </c>
      <c r="D21" s="194">
        <v>0</v>
      </c>
      <c r="E21" s="192">
        <v>0</v>
      </c>
      <c r="F21" s="192">
        <v>0</v>
      </c>
      <c r="G21" s="192">
        <v>0</v>
      </c>
      <c r="H21" s="192">
        <v>0</v>
      </c>
      <c r="I21" s="192">
        <v>0</v>
      </c>
      <c r="J21" s="192">
        <v>0</v>
      </c>
      <c r="K21" s="192">
        <v>0</v>
      </c>
      <c r="L21" s="192">
        <v>0</v>
      </c>
      <c r="M21" s="191">
        <v>0</v>
      </c>
      <c r="N21" s="191">
        <v>0</v>
      </c>
      <c r="O21" s="191">
        <v>0</v>
      </c>
      <c r="P21" s="191">
        <v>0</v>
      </c>
      <c r="Q21" s="191">
        <v>0</v>
      </c>
      <c r="R21" s="191">
        <v>0</v>
      </c>
      <c r="S21" s="191">
        <v>0</v>
      </c>
      <c r="T21" s="191">
        <v>0</v>
      </c>
      <c r="U21" s="191">
        <v>0</v>
      </c>
    </row>
    <row r="22" spans="1:21" x14ac:dyDescent="0.3">
      <c r="A22" s="195">
        <v>875000</v>
      </c>
      <c r="B22" s="192">
        <v>0</v>
      </c>
      <c r="C22" s="193">
        <v>0</v>
      </c>
      <c r="D22" s="194">
        <v>0</v>
      </c>
      <c r="E22" s="192">
        <v>0</v>
      </c>
      <c r="F22" s="192">
        <v>0</v>
      </c>
      <c r="G22" s="192">
        <v>0</v>
      </c>
      <c r="H22" s="192">
        <v>0</v>
      </c>
      <c r="I22" s="192">
        <v>0</v>
      </c>
      <c r="J22" s="192">
        <v>0</v>
      </c>
      <c r="K22" s="192">
        <v>0</v>
      </c>
      <c r="L22" s="192">
        <v>0</v>
      </c>
      <c r="M22" s="191">
        <v>0</v>
      </c>
      <c r="N22" s="191">
        <v>0</v>
      </c>
      <c r="O22" s="191">
        <v>0</v>
      </c>
      <c r="P22" s="191">
        <v>0</v>
      </c>
      <c r="Q22" s="191">
        <v>0</v>
      </c>
      <c r="R22" s="191">
        <v>0</v>
      </c>
      <c r="S22" s="191">
        <v>0</v>
      </c>
      <c r="T22" s="191">
        <v>0</v>
      </c>
      <c r="U22" s="191">
        <v>0</v>
      </c>
    </row>
    <row r="23" spans="1:21" x14ac:dyDescent="0.3">
      <c r="A23" s="195">
        <v>880000</v>
      </c>
      <c r="B23" s="5">
        <v>0</v>
      </c>
      <c r="C23" s="196">
        <v>0</v>
      </c>
      <c r="D23" s="197">
        <v>0</v>
      </c>
      <c r="E23" s="198">
        <v>0</v>
      </c>
      <c r="F23" s="198">
        <v>0</v>
      </c>
      <c r="G23" s="198">
        <v>0</v>
      </c>
      <c r="H23" s="198">
        <v>0</v>
      </c>
      <c r="I23" s="198">
        <v>0</v>
      </c>
      <c r="J23" s="198">
        <v>0</v>
      </c>
      <c r="K23" s="198">
        <v>0</v>
      </c>
      <c r="L23" s="198">
        <v>0</v>
      </c>
      <c r="M23" s="191">
        <v>0</v>
      </c>
      <c r="N23" s="191">
        <v>0</v>
      </c>
      <c r="O23" s="191">
        <v>0</v>
      </c>
      <c r="P23" s="191">
        <v>0</v>
      </c>
      <c r="Q23" s="191">
        <v>0</v>
      </c>
      <c r="R23" s="191">
        <v>0</v>
      </c>
      <c r="S23" s="191">
        <v>0</v>
      </c>
      <c r="T23" s="191">
        <v>0</v>
      </c>
      <c r="U23" s="191">
        <v>0</v>
      </c>
    </row>
    <row r="24" spans="1:21" x14ac:dyDescent="0.3">
      <c r="A24" s="195">
        <v>885000</v>
      </c>
      <c r="B24" s="5">
        <v>0</v>
      </c>
      <c r="C24" s="196">
        <v>0</v>
      </c>
      <c r="D24" s="197">
        <v>0</v>
      </c>
      <c r="E24" s="198">
        <v>0</v>
      </c>
      <c r="F24" s="198">
        <v>0</v>
      </c>
      <c r="G24" s="198">
        <v>0</v>
      </c>
      <c r="H24" s="198">
        <v>0</v>
      </c>
      <c r="I24" s="198">
        <v>0</v>
      </c>
      <c r="J24" s="198">
        <v>0</v>
      </c>
      <c r="K24" s="198">
        <v>0</v>
      </c>
      <c r="L24" s="198">
        <v>0</v>
      </c>
      <c r="M24" s="191">
        <v>0</v>
      </c>
      <c r="N24" s="191">
        <v>0</v>
      </c>
      <c r="O24" s="191">
        <v>0</v>
      </c>
      <c r="P24" s="191">
        <v>0</v>
      </c>
      <c r="Q24" s="191">
        <v>0</v>
      </c>
      <c r="R24" s="191">
        <v>0</v>
      </c>
      <c r="S24" s="191">
        <v>0</v>
      </c>
      <c r="T24" s="191">
        <v>0</v>
      </c>
      <c r="U24" s="191">
        <v>0</v>
      </c>
    </row>
    <row r="25" spans="1:21" x14ac:dyDescent="0.3">
      <c r="A25" s="195">
        <v>890000</v>
      </c>
      <c r="B25" s="5">
        <v>0</v>
      </c>
      <c r="C25" s="196">
        <v>0</v>
      </c>
      <c r="D25" s="197">
        <v>0</v>
      </c>
      <c r="E25" s="198">
        <v>0</v>
      </c>
      <c r="F25" s="198">
        <v>0</v>
      </c>
      <c r="G25" s="198">
        <v>0</v>
      </c>
      <c r="H25" s="198">
        <v>0</v>
      </c>
      <c r="I25" s="198">
        <v>0</v>
      </c>
      <c r="J25" s="198">
        <v>0</v>
      </c>
      <c r="K25" s="198">
        <v>0</v>
      </c>
      <c r="L25" s="198">
        <v>0</v>
      </c>
      <c r="M25" s="191">
        <v>0</v>
      </c>
      <c r="N25" s="191">
        <v>0</v>
      </c>
      <c r="O25" s="191">
        <v>0</v>
      </c>
      <c r="P25" s="191">
        <v>0</v>
      </c>
      <c r="Q25" s="191">
        <v>0</v>
      </c>
      <c r="R25" s="191">
        <v>0</v>
      </c>
      <c r="S25" s="191">
        <v>0</v>
      </c>
      <c r="T25" s="191">
        <v>0</v>
      </c>
      <c r="U25" s="191">
        <v>0</v>
      </c>
    </row>
    <row r="26" spans="1:21" x14ac:dyDescent="0.3">
      <c r="A26" s="195">
        <v>895000</v>
      </c>
      <c r="B26" s="5">
        <v>0</v>
      </c>
      <c r="C26" s="196">
        <v>0</v>
      </c>
      <c r="D26" s="197">
        <v>0</v>
      </c>
      <c r="E26" s="198">
        <v>0</v>
      </c>
      <c r="F26" s="198">
        <v>0</v>
      </c>
      <c r="G26" s="198">
        <v>0</v>
      </c>
      <c r="H26" s="198">
        <v>0</v>
      </c>
      <c r="I26" s="198">
        <v>0</v>
      </c>
      <c r="J26" s="198">
        <v>0</v>
      </c>
      <c r="K26" s="198">
        <v>0</v>
      </c>
      <c r="L26" s="198">
        <v>0</v>
      </c>
      <c r="M26" s="191">
        <v>0</v>
      </c>
      <c r="N26" s="191">
        <v>0</v>
      </c>
      <c r="O26" s="191">
        <v>0</v>
      </c>
      <c r="P26" s="191">
        <v>0</v>
      </c>
      <c r="Q26" s="191">
        <v>0</v>
      </c>
      <c r="R26" s="191">
        <v>0</v>
      </c>
      <c r="S26" s="191">
        <v>0</v>
      </c>
      <c r="T26" s="191">
        <v>0</v>
      </c>
      <c r="U26" s="191">
        <v>0</v>
      </c>
    </row>
    <row r="27" spans="1:21" x14ac:dyDescent="0.3">
      <c r="A27" s="195">
        <v>900000</v>
      </c>
      <c r="B27" s="5">
        <v>0</v>
      </c>
      <c r="C27" s="196">
        <v>0</v>
      </c>
      <c r="D27" s="197">
        <v>0</v>
      </c>
      <c r="E27" s="198">
        <v>0</v>
      </c>
      <c r="F27" s="198">
        <v>0</v>
      </c>
      <c r="G27" s="198">
        <v>0</v>
      </c>
      <c r="H27" s="198">
        <v>0</v>
      </c>
      <c r="I27" s="198">
        <v>0</v>
      </c>
      <c r="J27" s="198">
        <v>0</v>
      </c>
      <c r="K27" s="198">
        <v>0</v>
      </c>
      <c r="L27" s="198">
        <v>0</v>
      </c>
      <c r="M27" s="191">
        <v>0</v>
      </c>
      <c r="N27" s="191">
        <v>0</v>
      </c>
      <c r="O27" s="191">
        <v>0</v>
      </c>
      <c r="P27" s="191">
        <v>0</v>
      </c>
      <c r="Q27" s="191">
        <v>0</v>
      </c>
      <c r="R27" s="191">
        <v>0</v>
      </c>
      <c r="S27" s="191">
        <v>0</v>
      </c>
      <c r="T27" s="191">
        <v>0</v>
      </c>
      <c r="U27" s="191">
        <v>0</v>
      </c>
    </row>
    <row r="28" spans="1:21" x14ac:dyDescent="0.3">
      <c r="A28" s="195">
        <v>905000</v>
      </c>
      <c r="B28" s="5">
        <v>0</v>
      </c>
      <c r="C28" s="196">
        <v>0</v>
      </c>
      <c r="D28" s="197">
        <v>0</v>
      </c>
      <c r="E28" s="198">
        <v>0</v>
      </c>
      <c r="F28" s="198">
        <v>0</v>
      </c>
      <c r="G28" s="198">
        <v>0</v>
      </c>
      <c r="H28" s="198">
        <v>0</v>
      </c>
      <c r="I28" s="198">
        <v>0</v>
      </c>
      <c r="J28" s="198">
        <v>0</v>
      </c>
      <c r="K28" s="198">
        <v>0</v>
      </c>
      <c r="L28" s="198">
        <v>0</v>
      </c>
      <c r="M28" s="191">
        <v>0</v>
      </c>
      <c r="N28" s="191">
        <v>0</v>
      </c>
      <c r="O28" s="191">
        <v>0</v>
      </c>
      <c r="P28" s="191">
        <v>0</v>
      </c>
      <c r="Q28" s="191">
        <v>0</v>
      </c>
      <c r="R28" s="191">
        <v>0</v>
      </c>
      <c r="S28" s="191">
        <v>0</v>
      </c>
      <c r="T28" s="191">
        <v>0</v>
      </c>
      <c r="U28" s="191">
        <v>0</v>
      </c>
    </row>
    <row r="29" spans="1:21" x14ac:dyDescent="0.3">
      <c r="A29" s="195">
        <v>910000</v>
      </c>
      <c r="B29" s="5">
        <v>0</v>
      </c>
      <c r="C29" s="196">
        <v>0</v>
      </c>
      <c r="D29" s="197">
        <v>0</v>
      </c>
      <c r="E29" s="198">
        <v>0</v>
      </c>
      <c r="F29" s="198">
        <v>0</v>
      </c>
      <c r="G29" s="198">
        <v>0</v>
      </c>
      <c r="H29" s="198">
        <v>0</v>
      </c>
      <c r="I29" s="198">
        <v>0</v>
      </c>
      <c r="J29" s="198">
        <v>0</v>
      </c>
      <c r="K29" s="198">
        <v>0</v>
      </c>
      <c r="L29" s="198">
        <v>0</v>
      </c>
      <c r="M29" s="191">
        <v>0</v>
      </c>
      <c r="N29" s="191">
        <v>0</v>
      </c>
      <c r="O29" s="191">
        <v>0</v>
      </c>
      <c r="P29" s="191">
        <v>0</v>
      </c>
      <c r="Q29" s="191">
        <v>0</v>
      </c>
      <c r="R29" s="191">
        <v>0</v>
      </c>
      <c r="S29" s="191">
        <v>0</v>
      </c>
      <c r="T29" s="191">
        <v>0</v>
      </c>
      <c r="U29" s="191">
        <v>0</v>
      </c>
    </row>
    <row r="30" spans="1:21" x14ac:dyDescent="0.3">
      <c r="A30" s="195">
        <v>915000</v>
      </c>
      <c r="B30" s="5">
        <v>0</v>
      </c>
      <c r="C30" s="196">
        <v>0</v>
      </c>
      <c r="D30" s="197">
        <v>0</v>
      </c>
      <c r="E30" s="198">
        <v>0</v>
      </c>
      <c r="F30" s="198">
        <v>0</v>
      </c>
      <c r="G30" s="198">
        <v>0</v>
      </c>
      <c r="H30" s="198">
        <v>0</v>
      </c>
      <c r="I30" s="198">
        <v>0</v>
      </c>
      <c r="J30" s="198">
        <v>0</v>
      </c>
      <c r="K30" s="198">
        <v>0</v>
      </c>
      <c r="L30" s="198">
        <v>0</v>
      </c>
      <c r="M30" s="191">
        <v>0</v>
      </c>
      <c r="N30" s="191">
        <v>0</v>
      </c>
      <c r="O30" s="191">
        <v>0</v>
      </c>
      <c r="P30" s="191">
        <v>0</v>
      </c>
      <c r="Q30" s="191">
        <v>0</v>
      </c>
      <c r="R30" s="191">
        <v>0</v>
      </c>
      <c r="S30" s="191">
        <v>0</v>
      </c>
      <c r="T30" s="191">
        <v>0</v>
      </c>
      <c r="U30" s="191">
        <v>0</v>
      </c>
    </row>
    <row r="31" spans="1:21" x14ac:dyDescent="0.3">
      <c r="A31" s="199">
        <v>920000</v>
      </c>
      <c r="B31" s="5">
        <v>0</v>
      </c>
      <c r="C31" s="196">
        <v>0</v>
      </c>
      <c r="D31" s="197">
        <v>0</v>
      </c>
      <c r="E31" s="198">
        <v>0</v>
      </c>
      <c r="F31" s="198">
        <v>0</v>
      </c>
      <c r="G31" s="198">
        <v>0</v>
      </c>
      <c r="H31" s="198">
        <v>0</v>
      </c>
      <c r="I31" s="198">
        <v>0</v>
      </c>
      <c r="J31" s="198">
        <v>0</v>
      </c>
      <c r="K31" s="198">
        <v>0</v>
      </c>
      <c r="L31" s="198">
        <v>0</v>
      </c>
      <c r="M31" s="191">
        <v>0</v>
      </c>
      <c r="N31" s="191">
        <v>0</v>
      </c>
      <c r="O31" s="191">
        <v>0</v>
      </c>
      <c r="P31" s="191">
        <v>0</v>
      </c>
      <c r="Q31" s="191">
        <v>0</v>
      </c>
      <c r="R31" s="191">
        <v>0</v>
      </c>
      <c r="S31" s="191">
        <v>0</v>
      </c>
      <c r="T31" s="191">
        <v>0</v>
      </c>
      <c r="U31" s="191">
        <v>0</v>
      </c>
    </row>
    <row r="32" spans="1:21" x14ac:dyDescent="0.3">
      <c r="A32" s="195">
        <v>925000</v>
      </c>
      <c r="B32" s="5">
        <v>0</v>
      </c>
      <c r="C32" s="196">
        <v>0</v>
      </c>
      <c r="D32" s="197">
        <v>0</v>
      </c>
      <c r="E32" s="198">
        <v>0</v>
      </c>
      <c r="F32" s="198">
        <v>0</v>
      </c>
      <c r="G32" s="198">
        <v>0</v>
      </c>
      <c r="H32" s="198">
        <v>0</v>
      </c>
      <c r="I32" s="198">
        <v>0</v>
      </c>
      <c r="J32" s="198">
        <v>0</v>
      </c>
      <c r="K32" s="198">
        <v>0</v>
      </c>
      <c r="L32" s="198">
        <v>0</v>
      </c>
      <c r="M32" s="191">
        <v>0</v>
      </c>
      <c r="N32" s="191">
        <v>0</v>
      </c>
      <c r="O32" s="191">
        <v>0</v>
      </c>
      <c r="P32" s="191">
        <v>0</v>
      </c>
      <c r="Q32" s="191">
        <v>0</v>
      </c>
      <c r="R32" s="191">
        <v>0</v>
      </c>
      <c r="S32" s="191">
        <v>0</v>
      </c>
      <c r="T32" s="191">
        <v>0</v>
      </c>
      <c r="U32" s="191">
        <v>0</v>
      </c>
    </row>
    <row r="33" spans="1:21" x14ac:dyDescent="0.3">
      <c r="A33" s="195">
        <v>930000</v>
      </c>
      <c r="B33" s="5">
        <v>0</v>
      </c>
      <c r="C33" s="196">
        <v>0</v>
      </c>
      <c r="D33" s="197">
        <v>0</v>
      </c>
      <c r="E33" s="198">
        <v>0</v>
      </c>
      <c r="F33" s="198">
        <v>0</v>
      </c>
      <c r="G33" s="198">
        <v>0</v>
      </c>
      <c r="H33" s="198">
        <v>0</v>
      </c>
      <c r="I33" s="198">
        <v>0</v>
      </c>
      <c r="J33" s="198">
        <v>0</v>
      </c>
      <c r="K33" s="198">
        <v>0</v>
      </c>
      <c r="L33" s="198">
        <v>0</v>
      </c>
      <c r="M33" s="191">
        <v>0</v>
      </c>
      <c r="N33" s="191">
        <v>0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</row>
    <row r="34" spans="1:21" x14ac:dyDescent="0.3">
      <c r="A34" s="195">
        <v>935000</v>
      </c>
      <c r="B34" s="5">
        <v>0</v>
      </c>
      <c r="C34" s="196">
        <v>0</v>
      </c>
      <c r="D34" s="197">
        <v>0</v>
      </c>
      <c r="E34" s="198">
        <v>0</v>
      </c>
      <c r="F34" s="198">
        <v>0</v>
      </c>
      <c r="G34" s="198">
        <v>0</v>
      </c>
      <c r="H34" s="198">
        <v>0</v>
      </c>
      <c r="I34" s="198">
        <v>0</v>
      </c>
      <c r="J34" s="198">
        <v>0</v>
      </c>
      <c r="K34" s="198">
        <v>0</v>
      </c>
      <c r="L34" s="198">
        <v>0</v>
      </c>
      <c r="M34" s="191">
        <v>0</v>
      </c>
      <c r="N34" s="191">
        <v>0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0</v>
      </c>
      <c r="U34" s="191">
        <v>0</v>
      </c>
    </row>
    <row r="35" spans="1:21" x14ac:dyDescent="0.3">
      <c r="A35" s="195">
        <v>940000</v>
      </c>
      <c r="B35" s="5">
        <v>0</v>
      </c>
      <c r="C35" s="196">
        <v>0</v>
      </c>
      <c r="D35" s="197">
        <v>0</v>
      </c>
      <c r="E35" s="198">
        <v>0</v>
      </c>
      <c r="F35" s="198">
        <v>0</v>
      </c>
      <c r="G35" s="198">
        <v>0</v>
      </c>
      <c r="H35" s="198">
        <v>0</v>
      </c>
      <c r="I35" s="198">
        <v>0</v>
      </c>
      <c r="J35" s="198">
        <v>0</v>
      </c>
      <c r="K35" s="198">
        <v>0</v>
      </c>
      <c r="L35" s="198">
        <v>0</v>
      </c>
      <c r="M35" s="191">
        <v>0</v>
      </c>
      <c r="N35" s="191">
        <v>0</v>
      </c>
      <c r="O35" s="191">
        <v>0</v>
      </c>
      <c r="P35" s="191">
        <v>0</v>
      </c>
      <c r="Q35" s="191">
        <v>0</v>
      </c>
      <c r="R35" s="191">
        <v>0</v>
      </c>
      <c r="S35" s="191">
        <v>0</v>
      </c>
      <c r="T35" s="191">
        <v>0</v>
      </c>
      <c r="U35" s="191">
        <v>0</v>
      </c>
    </row>
    <row r="36" spans="1:21" x14ac:dyDescent="0.3">
      <c r="A36" s="195">
        <v>945000</v>
      </c>
      <c r="B36" s="5">
        <v>0</v>
      </c>
      <c r="C36" s="196">
        <v>0</v>
      </c>
      <c r="D36" s="197">
        <v>0</v>
      </c>
      <c r="E36" s="198">
        <v>0</v>
      </c>
      <c r="F36" s="198">
        <v>0</v>
      </c>
      <c r="G36" s="198">
        <v>0</v>
      </c>
      <c r="H36" s="198">
        <v>0</v>
      </c>
      <c r="I36" s="198">
        <v>0</v>
      </c>
      <c r="J36" s="198">
        <v>0</v>
      </c>
      <c r="K36" s="198">
        <v>0</v>
      </c>
      <c r="L36" s="198">
        <v>0</v>
      </c>
      <c r="M36" s="191">
        <v>0</v>
      </c>
      <c r="N36" s="191">
        <v>0</v>
      </c>
      <c r="O36" s="191">
        <v>0</v>
      </c>
      <c r="P36" s="191">
        <v>0</v>
      </c>
      <c r="Q36" s="191">
        <v>0</v>
      </c>
      <c r="R36" s="191">
        <v>0</v>
      </c>
      <c r="S36" s="191">
        <v>0</v>
      </c>
      <c r="T36" s="191">
        <v>0</v>
      </c>
      <c r="U36" s="191">
        <v>0</v>
      </c>
    </row>
    <row r="37" spans="1:21" x14ac:dyDescent="0.3">
      <c r="A37" s="195">
        <v>950000</v>
      </c>
      <c r="B37" s="5">
        <v>0</v>
      </c>
      <c r="C37" s="196">
        <v>0</v>
      </c>
      <c r="D37" s="197">
        <v>0</v>
      </c>
      <c r="E37" s="198">
        <v>0</v>
      </c>
      <c r="F37" s="198">
        <v>0</v>
      </c>
      <c r="G37" s="198">
        <v>0</v>
      </c>
      <c r="H37" s="198">
        <v>0</v>
      </c>
      <c r="I37" s="198">
        <v>0</v>
      </c>
      <c r="J37" s="198">
        <v>0</v>
      </c>
      <c r="K37" s="198">
        <v>0</v>
      </c>
      <c r="L37" s="198">
        <v>0</v>
      </c>
      <c r="M37" s="191">
        <v>0</v>
      </c>
      <c r="N37" s="191">
        <v>0</v>
      </c>
      <c r="O37" s="191">
        <v>0</v>
      </c>
      <c r="P37" s="191">
        <v>0</v>
      </c>
      <c r="Q37" s="191">
        <v>0</v>
      </c>
      <c r="R37" s="191">
        <v>0</v>
      </c>
      <c r="S37" s="191">
        <v>0</v>
      </c>
      <c r="T37" s="191">
        <v>0</v>
      </c>
      <c r="U37" s="191">
        <v>0</v>
      </c>
    </row>
    <row r="38" spans="1:21" x14ac:dyDescent="0.3">
      <c r="A38" s="195">
        <v>955000</v>
      </c>
      <c r="B38" s="5">
        <v>0</v>
      </c>
      <c r="C38" s="196">
        <v>0</v>
      </c>
      <c r="D38" s="197">
        <v>0</v>
      </c>
      <c r="E38" s="198">
        <v>0</v>
      </c>
      <c r="F38" s="198">
        <v>0</v>
      </c>
      <c r="G38" s="198">
        <v>0</v>
      </c>
      <c r="H38" s="198">
        <v>0</v>
      </c>
      <c r="I38" s="198">
        <v>0</v>
      </c>
      <c r="J38" s="198">
        <v>0</v>
      </c>
      <c r="K38" s="198">
        <v>0</v>
      </c>
      <c r="L38" s="198">
        <v>0</v>
      </c>
      <c r="M38" s="191">
        <v>0</v>
      </c>
      <c r="N38" s="191">
        <v>0</v>
      </c>
      <c r="O38" s="191">
        <v>0</v>
      </c>
      <c r="P38" s="191">
        <v>0</v>
      </c>
      <c r="Q38" s="191">
        <v>0</v>
      </c>
      <c r="R38" s="191">
        <v>0</v>
      </c>
      <c r="S38" s="191">
        <v>0</v>
      </c>
      <c r="T38" s="191">
        <v>0</v>
      </c>
      <c r="U38" s="191">
        <v>0</v>
      </c>
    </row>
    <row r="39" spans="1:21" x14ac:dyDescent="0.3">
      <c r="A39" s="195">
        <v>960000</v>
      </c>
      <c r="B39" s="5">
        <v>0</v>
      </c>
      <c r="C39" s="196">
        <v>0</v>
      </c>
      <c r="D39" s="197">
        <v>0</v>
      </c>
      <c r="E39" s="198">
        <v>0</v>
      </c>
      <c r="F39" s="198">
        <v>0</v>
      </c>
      <c r="G39" s="198">
        <v>0</v>
      </c>
      <c r="H39" s="198">
        <v>0</v>
      </c>
      <c r="I39" s="198">
        <v>0</v>
      </c>
      <c r="J39" s="198">
        <v>0</v>
      </c>
      <c r="K39" s="198">
        <v>0</v>
      </c>
      <c r="L39" s="198">
        <v>0</v>
      </c>
      <c r="M39" s="191">
        <v>0</v>
      </c>
      <c r="N39" s="191">
        <v>0</v>
      </c>
      <c r="O39" s="191">
        <v>0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0</v>
      </c>
    </row>
    <row r="40" spans="1:21" x14ac:dyDescent="0.3">
      <c r="A40" s="195">
        <v>965000</v>
      </c>
      <c r="B40" s="5">
        <v>0</v>
      </c>
      <c r="C40" s="196">
        <v>0</v>
      </c>
      <c r="D40" s="197">
        <v>0</v>
      </c>
      <c r="E40" s="198">
        <v>0</v>
      </c>
      <c r="F40" s="198">
        <v>0</v>
      </c>
      <c r="G40" s="198">
        <v>0</v>
      </c>
      <c r="H40" s="198">
        <v>0</v>
      </c>
      <c r="I40" s="198">
        <v>0</v>
      </c>
      <c r="J40" s="198">
        <v>0</v>
      </c>
      <c r="K40" s="198">
        <v>0</v>
      </c>
      <c r="L40" s="198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0</v>
      </c>
    </row>
    <row r="41" spans="1:21" x14ac:dyDescent="0.3">
      <c r="A41" s="195">
        <v>970000</v>
      </c>
      <c r="B41" s="5">
        <v>0</v>
      </c>
      <c r="C41" s="196">
        <v>0</v>
      </c>
      <c r="D41" s="197">
        <v>0</v>
      </c>
      <c r="E41" s="198">
        <v>0</v>
      </c>
      <c r="F41" s="198">
        <v>0</v>
      </c>
      <c r="G41" s="198">
        <v>0</v>
      </c>
      <c r="H41" s="198">
        <v>0</v>
      </c>
      <c r="I41" s="198">
        <v>0</v>
      </c>
      <c r="J41" s="198">
        <v>0</v>
      </c>
      <c r="K41" s="198">
        <v>0</v>
      </c>
      <c r="L41" s="198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0</v>
      </c>
      <c r="U41" s="191">
        <v>0</v>
      </c>
    </row>
    <row r="42" spans="1:21" x14ac:dyDescent="0.3">
      <c r="A42" s="195">
        <v>975000</v>
      </c>
      <c r="B42" s="5">
        <v>0</v>
      </c>
      <c r="C42" s="196">
        <v>0</v>
      </c>
      <c r="D42" s="197">
        <v>0</v>
      </c>
      <c r="E42" s="198">
        <v>0</v>
      </c>
      <c r="F42" s="198">
        <v>0</v>
      </c>
      <c r="G42" s="198">
        <v>0</v>
      </c>
      <c r="H42" s="198">
        <v>0</v>
      </c>
      <c r="I42" s="198">
        <v>0</v>
      </c>
      <c r="J42" s="198">
        <v>0</v>
      </c>
      <c r="K42" s="198">
        <v>0</v>
      </c>
      <c r="L42" s="198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0</v>
      </c>
    </row>
    <row r="43" spans="1:21" x14ac:dyDescent="0.3">
      <c r="A43" s="195">
        <v>980000</v>
      </c>
      <c r="B43" s="5">
        <v>0</v>
      </c>
      <c r="C43" s="196">
        <v>0</v>
      </c>
      <c r="D43" s="197">
        <v>0</v>
      </c>
      <c r="E43" s="198">
        <v>0</v>
      </c>
      <c r="F43" s="198">
        <v>0</v>
      </c>
      <c r="G43" s="198">
        <v>0</v>
      </c>
      <c r="H43" s="198">
        <v>0</v>
      </c>
      <c r="I43" s="198">
        <v>0</v>
      </c>
      <c r="J43" s="198">
        <v>0</v>
      </c>
      <c r="K43" s="198">
        <v>0</v>
      </c>
      <c r="L43" s="198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0</v>
      </c>
    </row>
    <row r="44" spans="1:21" x14ac:dyDescent="0.3">
      <c r="A44" s="195">
        <v>985000</v>
      </c>
      <c r="B44" s="5">
        <v>0</v>
      </c>
      <c r="C44" s="196">
        <v>0</v>
      </c>
      <c r="D44" s="197">
        <v>0</v>
      </c>
      <c r="E44" s="198">
        <v>0</v>
      </c>
      <c r="F44" s="198">
        <v>0</v>
      </c>
      <c r="G44" s="198">
        <v>0</v>
      </c>
      <c r="H44" s="198">
        <v>0</v>
      </c>
      <c r="I44" s="198">
        <v>0</v>
      </c>
      <c r="J44" s="198">
        <v>0</v>
      </c>
      <c r="K44" s="198">
        <v>0</v>
      </c>
      <c r="L44" s="198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</row>
    <row r="45" spans="1:21" x14ac:dyDescent="0.3">
      <c r="A45" s="195">
        <v>990000</v>
      </c>
      <c r="B45" s="5">
        <v>0</v>
      </c>
      <c r="C45" s="196">
        <v>0</v>
      </c>
      <c r="D45" s="197">
        <v>0</v>
      </c>
      <c r="E45" s="198">
        <v>0</v>
      </c>
      <c r="F45" s="198">
        <v>0</v>
      </c>
      <c r="G45" s="198">
        <v>0</v>
      </c>
      <c r="H45" s="198">
        <v>0</v>
      </c>
      <c r="I45" s="198">
        <v>0</v>
      </c>
      <c r="J45" s="198">
        <v>0</v>
      </c>
      <c r="K45" s="198">
        <v>0</v>
      </c>
      <c r="L45" s="198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0</v>
      </c>
    </row>
    <row r="46" spans="1:21" x14ac:dyDescent="0.3">
      <c r="A46" s="195">
        <v>995000</v>
      </c>
      <c r="B46" s="5">
        <v>0</v>
      </c>
      <c r="C46" s="196">
        <v>0</v>
      </c>
      <c r="D46" s="197">
        <v>0</v>
      </c>
      <c r="E46" s="198">
        <v>0</v>
      </c>
      <c r="F46" s="198">
        <v>0</v>
      </c>
      <c r="G46" s="198">
        <v>0</v>
      </c>
      <c r="H46" s="198">
        <v>0</v>
      </c>
      <c r="I46" s="198">
        <v>0</v>
      </c>
      <c r="J46" s="198">
        <v>0</v>
      </c>
      <c r="K46" s="198">
        <v>0</v>
      </c>
      <c r="L46" s="198">
        <v>0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0</v>
      </c>
      <c r="U46" s="191">
        <v>0</v>
      </c>
    </row>
    <row r="47" spans="1:21" x14ac:dyDescent="0.3">
      <c r="A47" s="195">
        <v>1000000</v>
      </c>
      <c r="B47" s="5">
        <v>0</v>
      </c>
      <c r="C47" s="196">
        <v>0</v>
      </c>
      <c r="D47" s="197">
        <v>0</v>
      </c>
      <c r="E47" s="198">
        <v>0</v>
      </c>
      <c r="F47" s="198">
        <v>0</v>
      </c>
      <c r="G47" s="198">
        <v>0</v>
      </c>
      <c r="H47" s="198">
        <v>0</v>
      </c>
      <c r="I47" s="198">
        <v>0</v>
      </c>
      <c r="J47" s="198">
        <v>0</v>
      </c>
      <c r="K47" s="198">
        <v>0</v>
      </c>
      <c r="L47" s="198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0</v>
      </c>
    </row>
    <row r="48" spans="1:21" x14ac:dyDescent="0.3">
      <c r="A48" s="195">
        <v>1005000</v>
      </c>
      <c r="B48" s="5">
        <v>0</v>
      </c>
      <c r="C48" s="196">
        <v>0</v>
      </c>
      <c r="D48" s="197">
        <v>0</v>
      </c>
      <c r="E48" s="198">
        <v>0</v>
      </c>
      <c r="F48" s="198">
        <v>0</v>
      </c>
      <c r="G48" s="198">
        <v>0</v>
      </c>
      <c r="H48" s="198">
        <v>0</v>
      </c>
      <c r="I48" s="198">
        <v>0</v>
      </c>
      <c r="J48" s="198">
        <v>0</v>
      </c>
      <c r="K48" s="198">
        <v>0</v>
      </c>
      <c r="L48" s="198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0</v>
      </c>
    </row>
    <row r="49" spans="1:21" x14ac:dyDescent="0.3">
      <c r="A49" s="195">
        <v>1010000</v>
      </c>
      <c r="B49" s="5">
        <v>0</v>
      </c>
      <c r="C49" s="196">
        <v>0</v>
      </c>
      <c r="D49" s="197">
        <v>0</v>
      </c>
      <c r="E49" s="198">
        <v>0</v>
      </c>
      <c r="F49" s="198">
        <v>0</v>
      </c>
      <c r="G49" s="198">
        <v>0</v>
      </c>
      <c r="H49" s="198">
        <v>0</v>
      </c>
      <c r="I49" s="198">
        <v>0</v>
      </c>
      <c r="J49" s="198">
        <v>0</v>
      </c>
      <c r="K49" s="198">
        <v>0</v>
      </c>
      <c r="L49" s="198">
        <v>0</v>
      </c>
      <c r="M49" s="191">
        <v>0</v>
      </c>
      <c r="N49" s="191">
        <v>0</v>
      </c>
      <c r="O49" s="191">
        <v>0</v>
      </c>
      <c r="P49" s="191">
        <v>0</v>
      </c>
      <c r="Q49" s="191">
        <v>0</v>
      </c>
      <c r="R49" s="191">
        <v>0</v>
      </c>
      <c r="S49" s="191">
        <v>0</v>
      </c>
      <c r="T49" s="191">
        <v>0</v>
      </c>
      <c r="U49" s="191">
        <v>0</v>
      </c>
    </row>
    <row r="50" spans="1:21" x14ac:dyDescent="0.3">
      <c r="A50" s="195">
        <v>1015000</v>
      </c>
      <c r="B50" s="5">
        <v>0</v>
      </c>
      <c r="C50" s="196">
        <v>0</v>
      </c>
      <c r="D50" s="197">
        <v>0</v>
      </c>
      <c r="E50" s="198">
        <v>0</v>
      </c>
      <c r="F50" s="198">
        <v>0</v>
      </c>
      <c r="G50" s="198">
        <v>0</v>
      </c>
      <c r="H50" s="198">
        <v>0</v>
      </c>
      <c r="I50" s="198">
        <v>0</v>
      </c>
      <c r="J50" s="198">
        <v>0</v>
      </c>
      <c r="K50" s="198">
        <v>0</v>
      </c>
      <c r="L50" s="198">
        <v>0</v>
      </c>
      <c r="M50" s="191">
        <v>0</v>
      </c>
      <c r="N50" s="191">
        <v>0</v>
      </c>
      <c r="O50" s="191">
        <v>0</v>
      </c>
      <c r="P50" s="191">
        <v>0</v>
      </c>
      <c r="Q50" s="191">
        <v>0</v>
      </c>
      <c r="R50" s="191">
        <v>0</v>
      </c>
      <c r="S50" s="191">
        <v>0</v>
      </c>
      <c r="T50" s="191">
        <v>0</v>
      </c>
      <c r="U50" s="191">
        <v>0</v>
      </c>
    </row>
    <row r="51" spans="1:21" x14ac:dyDescent="0.3">
      <c r="A51" s="195">
        <v>1020000</v>
      </c>
      <c r="B51" s="5">
        <v>0</v>
      </c>
      <c r="C51" s="196">
        <v>0</v>
      </c>
      <c r="D51" s="197">
        <v>0</v>
      </c>
      <c r="E51" s="198">
        <v>0</v>
      </c>
      <c r="F51" s="198">
        <v>0</v>
      </c>
      <c r="G51" s="198">
        <v>0</v>
      </c>
      <c r="H51" s="198">
        <v>0</v>
      </c>
      <c r="I51" s="198">
        <v>0</v>
      </c>
      <c r="J51" s="198">
        <v>0</v>
      </c>
      <c r="K51" s="198">
        <v>0</v>
      </c>
      <c r="L51" s="198">
        <v>0</v>
      </c>
      <c r="M51" s="191">
        <v>0</v>
      </c>
      <c r="N51" s="191">
        <v>0</v>
      </c>
      <c r="O51" s="191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0</v>
      </c>
      <c r="U51" s="191">
        <v>0</v>
      </c>
    </row>
    <row r="52" spans="1:21" x14ac:dyDescent="0.3">
      <c r="A52" s="195">
        <v>1025000</v>
      </c>
      <c r="B52" s="5">
        <v>0</v>
      </c>
      <c r="C52" s="196">
        <v>0</v>
      </c>
      <c r="D52" s="197">
        <v>0</v>
      </c>
      <c r="E52" s="198">
        <v>0</v>
      </c>
      <c r="F52" s="198">
        <v>0</v>
      </c>
      <c r="G52" s="198">
        <v>0</v>
      </c>
      <c r="H52" s="198">
        <v>0</v>
      </c>
      <c r="I52" s="198">
        <v>0</v>
      </c>
      <c r="J52" s="198">
        <v>0</v>
      </c>
      <c r="K52" s="198">
        <v>0</v>
      </c>
      <c r="L52" s="198">
        <v>0</v>
      </c>
      <c r="M52" s="191">
        <v>0</v>
      </c>
      <c r="N52" s="191">
        <v>0</v>
      </c>
      <c r="O52" s="191">
        <v>0</v>
      </c>
      <c r="P52" s="191">
        <v>0</v>
      </c>
      <c r="Q52" s="191">
        <v>0</v>
      </c>
      <c r="R52" s="191">
        <v>0</v>
      </c>
      <c r="S52" s="191">
        <v>0</v>
      </c>
      <c r="T52" s="191">
        <v>0</v>
      </c>
      <c r="U52" s="191">
        <v>0</v>
      </c>
    </row>
    <row r="53" spans="1:21" x14ac:dyDescent="0.3">
      <c r="A53" s="195">
        <v>1030000</v>
      </c>
      <c r="B53" s="5">
        <v>0</v>
      </c>
      <c r="C53" s="196">
        <v>0</v>
      </c>
      <c r="D53" s="197">
        <v>0</v>
      </c>
      <c r="E53" s="198">
        <v>0</v>
      </c>
      <c r="F53" s="198">
        <v>0</v>
      </c>
      <c r="G53" s="198">
        <v>0</v>
      </c>
      <c r="H53" s="198">
        <v>0</v>
      </c>
      <c r="I53" s="198">
        <v>0</v>
      </c>
      <c r="J53" s="198">
        <v>0</v>
      </c>
      <c r="K53" s="198">
        <v>0</v>
      </c>
      <c r="L53" s="198">
        <v>0</v>
      </c>
      <c r="M53" s="191">
        <v>0</v>
      </c>
      <c r="N53" s="191">
        <v>0</v>
      </c>
      <c r="O53" s="191">
        <v>0</v>
      </c>
      <c r="P53" s="191">
        <v>0</v>
      </c>
      <c r="Q53" s="191">
        <v>0</v>
      </c>
      <c r="R53" s="191">
        <v>0</v>
      </c>
      <c r="S53" s="191">
        <v>0</v>
      </c>
      <c r="T53" s="191">
        <v>0</v>
      </c>
      <c r="U53" s="191">
        <v>0</v>
      </c>
    </row>
    <row r="54" spans="1:21" x14ac:dyDescent="0.3">
      <c r="A54" s="195">
        <v>1035000</v>
      </c>
      <c r="B54" s="5">
        <v>0</v>
      </c>
      <c r="C54" s="196">
        <v>0</v>
      </c>
      <c r="D54" s="197">
        <v>0</v>
      </c>
      <c r="E54" s="198">
        <v>0</v>
      </c>
      <c r="F54" s="198">
        <v>0</v>
      </c>
      <c r="G54" s="198">
        <v>0</v>
      </c>
      <c r="H54" s="198">
        <v>0</v>
      </c>
      <c r="I54" s="198">
        <v>0</v>
      </c>
      <c r="J54" s="198">
        <v>0</v>
      </c>
      <c r="K54" s="198">
        <v>0</v>
      </c>
      <c r="L54" s="198">
        <v>0</v>
      </c>
      <c r="M54" s="191">
        <v>0</v>
      </c>
      <c r="N54" s="191">
        <v>0</v>
      </c>
      <c r="O54" s="191">
        <v>0</v>
      </c>
      <c r="P54" s="191">
        <v>0</v>
      </c>
      <c r="Q54" s="191">
        <v>0</v>
      </c>
      <c r="R54" s="191">
        <v>0</v>
      </c>
      <c r="S54" s="191">
        <v>0</v>
      </c>
      <c r="T54" s="191">
        <v>0</v>
      </c>
      <c r="U54" s="191">
        <v>0</v>
      </c>
    </row>
    <row r="55" spans="1:21" x14ac:dyDescent="0.3">
      <c r="A55" s="195">
        <v>1040000</v>
      </c>
      <c r="B55" s="5">
        <v>0</v>
      </c>
      <c r="C55" s="196">
        <v>0</v>
      </c>
      <c r="D55" s="197">
        <v>0</v>
      </c>
      <c r="E55" s="198">
        <v>0</v>
      </c>
      <c r="F55" s="198">
        <v>0</v>
      </c>
      <c r="G55" s="198">
        <v>0</v>
      </c>
      <c r="H55" s="198">
        <v>0</v>
      </c>
      <c r="I55" s="198">
        <v>0</v>
      </c>
      <c r="J55" s="198">
        <v>0</v>
      </c>
      <c r="K55" s="198">
        <v>0</v>
      </c>
      <c r="L55" s="198">
        <v>0</v>
      </c>
      <c r="M55" s="191">
        <v>0</v>
      </c>
      <c r="N55" s="191">
        <v>0</v>
      </c>
      <c r="O55" s="191">
        <v>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</row>
    <row r="56" spans="1:21" x14ac:dyDescent="0.3">
      <c r="A56" s="195">
        <v>1045000</v>
      </c>
      <c r="B56" s="5">
        <v>0</v>
      </c>
      <c r="C56" s="196">
        <v>0</v>
      </c>
      <c r="D56" s="197">
        <v>0</v>
      </c>
      <c r="E56" s="198">
        <v>0</v>
      </c>
      <c r="F56" s="198">
        <v>0</v>
      </c>
      <c r="G56" s="198">
        <v>0</v>
      </c>
      <c r="H56" s="198">
        <v>0</v>
      </c>
      <c r="I56" s="198">
        <v>0</v>
      </c>
      <c r="J56" s="198">
        <v>0</v>
      </c>
      <c r="K56" s="198">
        <v>0</v>
      </c>
      <c r="L56" s="198">
        <v>0</v>
      </c>
      <c r="M56" s="191">
        <v>0</v>
      </c>
      <c r="N56" s="191">
        <v>0</v>
      </c>
      <c r="O56" s="191">
        <v>0</v>
      </c>
      <c r="P56" s="191">
        <v>0</v>
      </c>
      <c r="Q56" s="191">
        <v>0</v>
      </c>
      <c r="R56" s="191">
        <v>0</v>
      </c>
      <c r="S56" s="191">
        <v>0</v>
      </c>
      <c r="T56" s="191">
        <v>0</v>
      </c>
      <c r="U56" s="191">
        <v>0</v>
      </c>
    </row>
    <row r="57" spans="1:21" x14ac:dyDescent="0.3">
      <c r="A57" s="195">
        <v>1050000</v>
      </c>
      <c r="B57" s="5">
        <v>0</v>
      </c>
      <c r="C57" s="196">
        <v>0</v>
      </c>
      <c r="D57" s="197">
        <v>0</v>
      </c>
      <c r="E57" s="198">
        <v>0</v>
      </c>
      <c r="F57" s="198">
        <v>0</v>
      </c>
      <c r="G57" s="198">
        <v>0</v>
      </c>
      <c r="H57" s="198">
        <v>0</v>
      </c>
      <c r="I57" s="198">
        <v>0</v>
      </c>
      <c r="J57" s="198">
        <v>0</v>
      </c>
      <c r="K57" s="198">
        <v>0</v>
      </c>
      <c r="L57" s="198">
        <v>0</v>
      </c>
      <c r="M57" s="191">
        <v>0</v>
      </c>
      <c r="N57" s="191">
        <v>0</v>
      </c>
      <c r="O57" s="191">
        <v>0</v>
      </c>
      <c r="P57" s="191">
        <v>0</v>
      </c>
      <c r="Q57" s="191">
        <v>0</v>
      </c>
      <c r="R57" s="191">
        <v>0</v>
      </c>
      <c r="S57" s="191">
        <v>0</v>
      </c>
      <c r="T57" s="191">
        <v>0</v>
      </c>
      <c r="U57" s="191">
        <v>0</v>
      </c>
    </row>
    <row r="58" spans="1:21" x14ac:dyDescent="0.3">
      <c r="A58" s="195">
        <v>1055000</v>
      </c>
      <c r="B58" s="5">
        <v>0</v>
      </c>
      <c r="C58" s="196">
        <v>0</v>
      </c>
      <c r="D58" s="197">
        <v>0</v>
      </c>
      <c r="E58" s="198">
        <v>0</v>
      </c>
      <c r="F58" s="198">
        <v>0</v>
      </c>
      <c r="G58" s="198">
        <v>0</v>
      </c>
      <c r="H58" s="198">
        <v>0</v>
      </c>
      <c r="I58" s="198">
        <v>0</v>
      </c>
      <c r="J58" s="198">
        <v>0</v>
      </c>
      <c r="K58" s="198">
        <v>0</v>
      </c>
      <c r="L58" s="198">
        <v>0</v>
      </c>
      <c r="M58" s="191">
        <v>0</v>
      </c>
      <c r="N58" s="191">
        <v>0</v>
      </c>
      <c r="O58" s="191">
        <v>0</v>
      </c>
      <c r="P58" s="191">
        <v>0</v>
      </c>
      <c r="Q58" s="191">
        <v>0</v>
      </c>
      <c r="R58" s="191">
        <v>0</v>
      </c>
      <c r="S58" s="191">
        <v>0</v>
      </c>
      <c r="T58" s="191">
        <v>0</v>
      </c>
      <c r="U58" s="191">
        <v>0</v>
      </c>
    </row>
    <row r="59" spans="1:21" x14ac:dyDescent="0.3">
      <c r="A59" s="195">
        <v>1060000</v>
      </c>
      <c r="B59" s="6">
        <v>0</v>
      </c>
      <c r="C59" s="7">
        <v>0</v>
      </c>
      <c r="D59" s="8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/>
      <c r="K59" s="9"/>
      <c r="L59" s="9"/>
      <c r="M59" s="191">
        <v>0</v>
      </c>
      <c r="N59" s="191">
        <v>0</v>
      </c>
      <c r="O59" s="191">
        <v>0</v>
      </c>
      <c r="P59" s="191">
        <v>0</v>
      </c>
      <c r="Q59" s="191">
        <v>0</v>
      </c>
      <c r="R59" s="191">
        <v>0</v>
      </c>
      <c r="S59" s="191">
        <v>0</v>
      </c>
      <c r="T59" s="191">
        <v>0</v>
      </c>
      <c r="U59" s="191">
        <v>0</v>
      </c>
    </row>
    <row r="60" spans="1:21" x14ac:dyDescent="0.3">
      <c r="A60" s="195">
        <v>1065000</v>
      </c>
      <c r="B60" s="6">
        <v>1040</v>
      </c>
      <c r="C60" s="7">
        <v>0</v>
      </c>
      <c r="D60" s="8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/>
      <c r="K60" s="9"/>
      <c r="L60" s="9"/>
      <c r="M60" s="191">
        <v>0</v>
      </c>
      <c r="N60" s="191">
        <v>0</v>
      </c>
      <c r="O60" s="191">
        <v>0</v>
      </c>
      <c r="P60" s="191">
        <v>0</v>
      </c>
      <c r="Q60" s="191">
        <v>0</v>
      </c>
      <c r="R60" s="191">
        <v>0</v>
      </c>
      <c r="S60" s="191">
        <v>0</v>
      </c>
      <c r="T60" s="191">
        <v>0</v>
      </c>
      <c r="U60" s="191">
        <v>0</v>
      </c>
    </row>
    <row r="61" spans="1:21" x14ac:dyDescent="0.3">
      <c r="A61" s="195">
        <v>1070000</v>
      </c>
      <c r="B61" s="6">
        <v>1110</v>
      </c>
      <c r="C61" s="7">
        <v>0</v>
      </c>
      <c r="D61" s="8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/>
      <c r="K61" s="9"/>
      <c r="L61" s="9"/>
      <c r="M61" s="191">
        <v>0</v>
      </c>
      <c r="N61" s="191">
        <v>0</v>
      </c>
      <c r="O61" s="191">
        <v>0</v>
      </c>
      <c r="P61" s="191">
        <v>0</v>
      </c>
      <c r="Q61" s="191">
        <v>0</v>
      </c>
      <c r="R61" s="191">
        <v>0</v>
      </c>
      <c r="S61" s="191">
        <v>0</v>
      </c>
      <c r="T61" s="191">
        <v>0</v>
      </c>
      <c r="U61" s="191">
        <v>0</v>
      </c>
    </row>
    <row r="62" spans="1:21" x14ac:dyDescent="0.3">
      <c r="A62" s="195">
        <v>1075000</v>
      </c>
      <c r="B62" s="6">
        <v>1180</v>
      </c>
      <c r="C62" s="7">
        <v>0</v>
      </c>
      <c r="D62" s="8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/>
      <c r="K62" s="9"/>
      <c r="L62" s="9"/>
      <c r="M62" s="191">
        <v>0</v>
      </c>
      <c r="N62" s="191">
        <v>0</v>
      </c>
      <c r="O62" s="191">
        <v>0</v>
      </c>
      <c r="P62" s="191">
        <v>0</v>
      </c>
      <c r="Q62" s="191">
        <v>0</v>
      </c>
      <c r="R62" s="191">
        <v>0</v>
      </c>
      <c r="S62" s="191">
        <v>0</v>
      </c>
      <c r="T62" s="191">
        <v>0</v>
      </c>
      <c r="U62" s="191">
        <v>0</v>
      </c>
    </row>
    <row r="63" spans="1:21" x14ac:dyDescent="0.3">
      <c r="A63" s="195">
        <v>1080000</v>
      </c>
      <c r="B63" s="6">
        <v>1250</v>
      </c>
      <c r="C63" s="7">
        <v>0</v>
      </c>
      <c r="D63" s="8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/>
      <c r="K63" s="9"/>
      <c r="L63" s="9"/>
      <c r="M63" s="191">
        <v>0</v>
      </c>
      <c r="N63" s="191">
        <v>0</v>
      </c>
      <c r="O63" s="191">
        <v>0</v>
      </c>
      <c r="P63" s="191">
        <v>0</v>
      </c>
      <c r="Q63" s="191">
        <v>0</v>
      </c>
      <c r="R63" s="191">
        <v>0</v>
      </c>
      <c r="S63" s="191">
        <v>0</v>
      </c>
      <c r="T63" s="191">
        <v>0</v>
      </c>
      <c r="U63" s="191">
        <v>0</v>
      </c>
    </row>
    <row r="64" spans="1:21" x14ac:dyDescent="0.3">
      <c r="A64" s="195">
        <v>1085000</v>
      </c>
      <c r="B64" s="6">
        <v>1320</v>
      </c>
      <c r="C64" s="7">
        <v>0</v>
      </c>
      <c r="D64" s="8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/>
      <c r="K64" s="9"/>
      <c r="L64" s="9"/>
      <c r="M64" s="191">
        <v>0</v>
      </c>
      <c r="N64" s="191">
        <v>0</v>
      </c>
      <c r="O64" s="191">
        <v>0</v>
      </c>
      <c r="P64" s="191">
        <v>0</v>
      </c>
      <c r="Q64" s="191">
        <v>0</v>
      </c>
      <c r="R64" s="191">
        <v>0</v>
      </c>
      <c r="S64" s="191">
        <v>0</v>
      </c>
      <c r="T64" s="191">
        <v>0</v>
      </c>
      <c r="U64" s="191">
        <v>0</v>
      </c>
    </row>
    <row r="65" spans="1:21" x14ac:dyDescent="0.3">
      <c r="A65" s="195">
        <v>1090000</v>
      </c>
      <c r="B65" s="6">
        <v>1390</v>
      </c>
      <c r="C65" s="7">
        <v>0</v>
      </c>
      <c r="D65" s="8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/>
      <c r="K65" s="9"/>
      <c r="L65" s="9"/>
      <c r="M65" s="191">
        <v>0</v>
      </c>
      <c r="N65" s="191">
        <v>0</v>
      </c>
      <c r="O65" s="191">
        <v>0</v>
      </c>
      <c r="P65" s="191">
        <v>0</v>
      </c>
      <c r="Q65" s="191">
        <v>0</v>
      </c>
      <c r="R65" s="191">
        <v>0</v>
      </c>
      <c r="S65" s="191">
        <v>0</v>
      </c>
      <c r="T65" s="191">
        <v>0</v>
      </c>
      <c r="U65" s="191">
        <v>0</v>
      </c>
    </row>
    <row r="66" spans="1:21" x14ac:dyDescent="0.3">
      <c r="A66" s="195">
        <v>1095000</v>
      </c>
      <c r="B66" s="6">
        <v>1460</v>
      </c>
      <c r="C66" s="7">
        <v>0</v>
      </c>
      <c r="D66" s="8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/>
      <c r="K66" s="9"/>
      <c r="L66" s="9"/>
      <c r="M66" s="191">
        <v>0</v>
      </c>
      <c r="N66" s="191">
        <v>0</v>
      </c>
      <c r="O66" s="191">
        <v>0</v>
      </c>
      <c r="P66" s="191">
        <v>0</v>
      </c>
      <c r="Q66" s="191">
        <v>0</v>
      </c>
      <c r="R66" s="191">
        <v>0</v>
      </c>
      <c r="S66" s="191">
        <v>0</v>
      </c>
      <c r="T66" s="191">
        <v>0</v>
      </c>
      <c r="U66" s="191">
        <v>0</v>
      </c>
    </row>
    <row r="67" spans="1:21" x14ac:dyDescent="0.3">
      <c r="A67" s="195">
        <v>1100000</v>
      </c>
      <c r="B67" s="6">
        <v>1530</v>
      </c>
      <c r="C67" s="7">
        <v>0</v>
      </c>
      <c r="D67" s="8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/>
      <c r="K67" s="9"/>
      <c r="L67" s="9"/>
      <c r="M67" s="191">
        <v>0</v>
      </c>
      <c r="N67" s="191">
        <v>0</v>
      </c>
      <c r="O67" s="191">
        <v>0</v>
      </c>
      <c r="P67" s="191">
        <v>0</v>
      </c>
      <c r="Q67" s="191">
        <v>0</v>
      </c>
      <c r="R67" s="191">
        <v>0</v>
      </c>
      <c r="S67" s="191">
        <v>0</v>
      </c>
      <c r="T67" s="191">
        <v>0</v>
      </c>
      <c r="U67" s="191">
        <v>0</v>
      </c>
    </row>
    <row r="68" spans="1:21" x14ac:dyDescent="0.3">
      <c r="A68" s="195">
        <v>1105000</v>
      </c>
      <c r="B68" s="6">
        <v>1600</v>
      </c>
      <c r="C68" s="7">
        <v>0</v>
      </c>
      <c r="D68" s="8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/>
      <c r="K68" s="9"/>
      <c r="L68" s="9"/>
      <c r="M68" s="191">
        <v>0</v>
      </c>
      <c r="N68" s="191">
        <v>0</v>
      </c>
      <c r="O68" s="191">
        <v>0</v>
      </c>
      <c r="P68" s="191">
        <v>0</v>
      </c>
      <c r="Q68" s="191">
        <v>0</v>
      </c>
      <c r="R68" s="191">
        <v>0</v>
      </c>
      <c r="S68" s="191">
        <v>0</v>
      </c>
      <c r="T68" s="191">
        <v>0</v>
      </c>
      <c r="U68" s="191">
        <v>0</v>
      </c>
    </row>
    <row r="69" spans="1:21" x14ac:dyDescent="0.3">
      <c r="A69" s="195">
        <v>1110000</v>
      </c>
      <c r="B69" s="6">
        <v>1670</v>
      </c>
      <c r="C69" s="7">
        <v>0</v>
      </c>
      <c r="D69" s="8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/>
      <c r="K69" s="9"/>
      <c r="L69" s="9"/>
      <c r="M69" s="191">
        <v>0</v>
      </c>
      <c r="N69" s="191">
        <v>0</v>
      </c>
      <c r="O69" s="191">
        <v>0</v>
      </c>
      <c r="P69" s="191">
        <v>0</v>
      </c>
      <c r="Q69" s="191">
        <v>0</v>
      </c>
      <c r="R69" s="191">
        <v>0</v>
      </c>
      <c r="S69" s="191">
        <v>0</v>
      </c>
      <c r="T69" s="191">
        <v>0</v>
      </c>
      <c r="U69" s="191">
        <v>0</v>
      </c>
    </row>
    <row r="70" spans="1:21" x14ac:dyDescent="0.3">
      <c r="A70" s="195">
        <v>1115000</v>
      </c>
      <c r="B70" s="6">
        <v>1740</v>
      </c>
      <c r="C70" s="7">
        <v>0</v>
      </c>
      <c r="D70" s="8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/>
      <c r="K70" s="9"/>
      <c r="L70" s="9"/>
      <c r="M70" s="191">
        <v>0</v>
      </c>
      <c r="N70" s="191">
        <v>0</v>
      </c>
      <c r="O70" s="191">
        <v>0</v>
      </c>
      <c r="P70" s="191">
        <v>0</v>
      </c>
      <c r="Q70" s="191">
        <v>0</v>
      </c>
      <c r="R70" s="191">
        <v>0</v>
      </c>
      <c r="S70" s="191">
        <v>0</v>
      </c>
      <c r="T70" s="191">
        <v>0</v>
      </c>
      <c r="U70" s="191">
        <v>0</v>
      </c>
    </row>
    <row r="71" spans="1:21" x14ac:dyDescent="0.3">
      <c r="A71" s="195">
        <v>1120000</v>
      </c>
      <c r="B71" s="6">
        <v>1810</v>
      </c>
      <c r="C71" s="7">
        <v>0</v>
      </c>
      <c r="D71" s="8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/>
      <c r="K71" s="9"/>
      <c r="L71" s="9"/>
      <c r="M71" s="191">
        <v>0</v>
      </c>
      <c r="N71" s="191">
        <v>0</v>
      </c>
      <c r="O71" s="191">
        <v>0</v>
      </c>
      <c r="P71" s="191">
        <v>0</v>
      </c>
      <c r="Q71" s="191">
        <v>0</v>
      </c>
      <c r="R71" s="191">
        <v>0</v>
      </c>
      <c r="S71" s="191">
        <v>0</v>
      </c>
      <c r="T71" s="191">
        <v>0</v>
      </c>
      <c r="U71" s="191">
        <v>0</v>
      </c>
    </row>
    <row r="72" spans="1:21" x14ac:dyDescent="0.3">
      <c r="A72" s="195">
        <v>1125000</v>
      </c>
      <c r="B72" s="6">
        <v>1880</v>
      </c>
      <c r="C72" s="7">
        <v>0</v>
      </c>
      <c r="D72" s="8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/>
      <c r="K72" s="9"/>
      <c r="L72" s="9"/>
      <c r="M72" s="191">
        <v>0</v>
      </c>
      <c r="N72" s="191">
        <v>0</v>
      </c>
      <c r="O72" s="191">
        <v>0</v>
      </c>
      <c r="P72" s="191">
        <v>0</v>
      </c>
      <c r="Q72" s="191">
        <v>0</v>
      </c>
      <c r="R72" s="191">
        <v>0</v>
      </c>
      <c r="S72" s="191">
        <v>0</v>
      </c>
      <c r="T72" s="191">
        <v>0</v>
      </c>
      <c r="U72" s="191">
        <v>0</v>
      </c>
    </row>
    <row r="73" spans="1:21" x14ac:dyDescent="0.3">
      <c r="A73" s="195">
        <v>1130000</v>
      </c>
      <c r="B73" s="6">
        <v>1950</v>
      </c>
      <c r="C73" s="7">
        <v>0</v>
      </c>
      <c r="D73" s="8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/>
      <c r="K73" s="9"/>
      <c r="L73" s="9"/>
      <c r="M73" s="191">
        <v>0</v>
      </c>
      <c r="N73" s="191">
        <v>0</v>
      </c>
      <c r="O73" s="191">
        <v>0</v>
      </c>
      <c r="P73" s="191">
        <v>0</v>
      </c>
      <c r="Q73" s="191">
        <v>0</v>
      </c>
      <c r="R73" s="191">
        <v>0</v>
      </c>
      <c r="S73" s="191">
        <v>0</v>
      </c>
      <c r="T73" s="191">
        <v>0</v>
      </c>
      <c r="U73" s="191">
        <v>0</v>
      </c>
    </row>
    <row r="74" spans="1:21" x14ac:dyDescent="0.3">
      <c r="A74" s="195">
        <v>1135000</v>
      </c>
      <c r="B74" s="6">
        <v>2020</v>
      </c>
      <c r="C74" s="7">
        <v>0</v>
      </c>
      <c r="D74" s="8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/>
      <c r="K74" s="9"/>
      <c r="L74" s="9"/>
      <c r="M74" s="191">
        <v>0</v>
      </c>
      <c r="N74" s="191">
        <v>0</v>
      </c>
      <c r="O74" s="191">
        <v>0</v>
      </c>
      <c r="P74" s="191">
        <v>0</v>
      </c>
      <c r="Q74" s="191">
        <v>0</v>
      </c>
      <c r="R74" s="191">
        <v>0</v>
      </c>
      <c r="S74" s="191">
        <v>0</v>
      </c>
      <c r="T74" s="191">
        <v>0</v>
      </c>
      <c r="U74" s="191">
        <v>0</v>
      </c>
    </row>
    <row r="75" spans="1:21" x14ac:dyDescent="0.3">
      <c r="A75" s="195">
        <v>1140000</v>
      </c>
      <c r="B75" s="6">
        <v>2090</v>
      </c>
      <c r="C75" s="7">
        <v>0</v>
      </c>
      <c r="D75" s="8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/>
      <c r="K75" s="9"/>
      <c r="L75" s="9"/>
      <c r="M75" s="191">
        <v>0</v>
      </c>
      <c r="N75" s="191">
        <v>0</v>
      </c>
      <c r="O75" s="191">
        <v>0</v>
      </c>
      <c r="P75" s="191">
        <v>0</v>
      </c>
      <c r="Q75" s="191">
        <v>0</v>
      </c>
      <c r="R75" s="191">
        <v>0</v>
      </c>
      <c r="S75" s="191">
        <v>0</v>
      </c>
      <c r="T75" s="191">
        <v>0</v>
      </c>
      <c r="U75" s="191">
        <v>0</v>
      </c>
    </row>
    <row r="76" spans="1:21" x14ac:dyDescent="0.3">
      <c r="A76" s="195">
        <v>1145000</v>
      </c>
      <c r="B76" s="6">
        <v>2160</v>
      </c>
      <c r="C76" s="7">
        <v>0</v>
      </c>
      <c r="D76" s="8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/>
      <c r="K76" s="9"/>
      <c r="L76" s="9"/>
      <c r="M76" s="191">
        <v>0</v>
      </c>
      <c r="N76" s="191">
        <v>0</v>
      </c>
      <c r="O76" s="191">
        <v>0</v>
      </c>
      <c r="P76" s="191">
        <v>0</v>
      </c>
      <c r="Q76" s="191">
        <v>0</v>
      </c>
      <c r="R76" s="191">
        <v>0</v>
      </c>
      <c r="S76" s="191">
        <v>0</v>
      </c>
      <c r="T76" s="191">
        <v>0</v>
      </c>
      <c r="U76" s="191">
        <v>0</v>
      </c>
    </row>
    <row r="77" spans="1:21" x14ac:dyDescent="0.3">
      <c r="A77" s="195">
        <v>1150000</v>
      </c>
      <c r="B77" s="6">
        <v>2230</v>
      </c>
      <c r="C77" s="7">
        <v>0</v>
      </c>
      <c r="D77" s="8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/>
      <c r="K77" s="9"/>
      <c r="L77" s="9"/>
      <c r="M77" s="191">
        <v>0</v>
      </c>
      <c r="N77" s="191">
        <v>0</v>
      </c>
      <c r="O77" s="191">
        <v>0</v>
      </c>
      <c r="P77" s="191">
        <v>0</v>
      </c>
      <c r="Q77" s="191">
        <v>0</v>
      </c>
      <c r="R77" s="191">
        <v>0</v>
      </c>
      <c r="S77" s="191">
        <v>0</v>
      </c>
      <c r="T77" s="191">
        <v>0</v>
      </c>
      <c r="U77" s="191">
        <v>0</v>
      </c>
    </row>
    <row r="78" spans="1:21" x14ac:dyDescent="0.3">
      <c r="A78" s="195">
        <v>1155000</v>
      </c>
      <c r="B78" s="6">
        <v>2300</v>
      </c>
      <c r="C78" s="7">
        <v>0</v>
      </c>
      <c r="D78" s="8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/>
      <c r="K78" s="9"/>
      <c r="L78" s="9"/>
      <c r="M78" s="191">
        <v>0</v>
      </c>
      <c r="N78" s="191">
        <v>0</v>
      </c>
      <c r="O78" s="191">
        <v>0</v>
      </c>
      <c r="P78" s="191">
        <v>0</v>
      </c>
      <c r="Q78" s="191">
        <v>0</v>
      </c>
      <c r="R78" s="191">
        <v>0</v>
      </c>
      <c r="S78" s="191">
        <v>0</v>
      </c>
      <c r="T78" s="191">
        <v>0</v>
      </c>
      <c r="U78" s="191">
        <v>0</v>
      </c>
    </row>
    <row r="79" spans="1:21" x14ac:dyDescent="0.3">
      <c r="A79" s="195">
        <v>1160000</v>
      </c>
      <c r="B79" s="6">
        <v>2370</v>
      </c>
      <c r="C79" s="7">
        <v>0</v>
      </c>
      <c r="D79" s="8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/>
      <c r="K79" s="9"/>
      <c r="L79" s="9"/>
      <c r="M79" s="191">
        <v>0</v>
      </c>
      <c r="N79" s="191">
        <v>0</v>
      </c>
      <c r="O79" s="191">
        <v>0</v>
      </c>
      <c r="P79" s="191">
        <v>0</v>
      </c>
      <c r="Q79" s="191">
        <v>0</v>
      </c>
      <c r="R79" s="191">
        <v>0</v>
      </c>
      <c r="S79" s="191">
        <v>0</v>
      </c>
      <c r="T79" s="191">
        <v>0</v>
      </c>
      <c r="U79" s="191">
        <v>0</v>
      </c>
    </row>
    <row r="80" spans="1:21" x14ac:dyDescent="0.3">
      <c r="A80" s="195">
        <v>1165000</v>
      </c>
      <c r="B80" s="6">
        <v>2440</v>
      </c>
      <c r="C80" s="7">
        <v>0</v>
      </c>
      <c r="D80" s="8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/>
      <c r="K80" s="9"/>
      <c r="L80" s="9"/>
      <c r="M80" s="191">
        <v>0</v>
      </c>
      <c r="N80" s="191">
        <v>0</v>
      </c>
      <c r="O80" s="191">
        <v>0</v>
      </c>
      <c r="P80" s="191">
        <v>0</v>
      </c>
      <c r="Q80" s="191">
        <v>0</v>
      </c>
      <c r="R80" s="191">
        <v>0</v>
      </c>
      <c r="S80" s="191">
        <v>0</v>
      </c>
      <c r="T80" s="191">
        <v>0</v>
      </c>
      <c r="U80" s="191">
        <v>0</v>
      </c>
    </row>
    <row r="81" spans="1:21" x14ac:dyDescent="0.3">
      <c r="A81" s="195">
        <v>1170000</v>
      </c>
      <c r="B81" s="6">
        <v>2500</v>
      </c>
      <c r="C81" s="7">
        <v>0</v>
      </c>
      <c r="D81" s="8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/>
      <c r="K81" s="9"/>
      <c r="L81" s="9"/>
      <c r="M81" s="191">
        <v>0</v>
      </c>
      <c r="N81" s="191">
        <v>0</v>
      </c>
      <c r="O81" s="191">
        <v>0</v>
      </c>
      <c r="P81" s="191">
        <v>0</v>
      </c>
      <c r="Q81" s="191">
        <v>0</v>
      </c>
      <c r="R81" s="191">
        <v>0</v>
      </c>
      <c r="S81" s="191">
        <v>0</v>
      </c>
      <c r="T81" s="191">
        <v>0</v>
      </c>
      <c r="U81" s="191">
        <v>0</v>
      </c>
    </row>
    <row r="82" spans="1:21" x14ac:dyDescent="0.3">
      <c r="A82" s="195">
        <v>1175000</v>
      </c>
      <c r="B82" s="6">
        <v>2570</v>
      </c>
      <c r="C82" s="7">
        <v>0</v>
      </c>
      <c r="D82" s="8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/>
      <c r="K82" s="9"/>
      <c r="L82" s="9"/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0</v>
      </c>
    </row>
    <row r="83" spans="1:21" x14ac:dyDescent="0.3">
      <c r="A83" s="195">
        <v>1180000</v>
      </c>
      <c r="B83" s="6">
        <v>2640</v>
      </c>
      <c r="C83" s="7">
        <v>0</v>
      </c>
      <c r="D83" s="8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/>
      <c r="K83" s="9"/>
      <c r="L83" s="9"/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0</v>
      </c>
    </row>
    <row r="84" spans="1:21" x14ac:dyDescent="0.3">
      <c r="A84" s="195">
        <v>1185000</v>
      </c>
      <c r="B84" s="6">
        <v>2710</v>
      </c>
      <c r="C84" s="7">
        <v>0</v>
      </c>
      <c r="D84" s="8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/>
      <c r="K84" s="9"/>
      <c r="L84" s="9"/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0</v>
      </c>
    </row>
    <row r="85" spans="1:21" x14ac:dyDescent="0.3">
      <c r="A85" s="195">
        <v>1190000</v>
      </c>
      <c r="B85" s="6">
        <v>2780</v>
      </c>
      <c r="C85" s="7">
        <v>0</v>
      </c>
      <c r="D85" s="8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/>
      <c r="K85" s="9"/>
      <c r="L85" s="9"/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0</v>
      </c>
    </row>
    <row r="86" spans="1:21" x14ac:dyDescent="0.3">
      <c r="A86" s="195">
        <v>1195000</v>
      </c>
      <c r="B86" s="6">
        <v>2850</v>
      </c>
      <c r="C86" s="7">
        <v>0</v>
      </c>
      <c r="D86" s="8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/>
      <c r="K86" s="9"/>
      <c r="L86" s="9"/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0</v>
      </c>
    </row>
    <row r="87" spans="1:21" x14ac:dyDescent="0.3">
      <c r="A87" s="195">
        <v>1200000</v>
      </c>
      <c r="B87" s="6">
        <v>2920</v>
      </c>
      <c r="C87" s="7">
        <v>0</v>
      </c>
      <c r="D87" s="8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/>
      <c r="K87" s="9"/>
      <c r="L87" s="9"/>
      <c r="M87" s="191">
        <v>0</v>
      </c>
      <c r="N87" s="191">
        <v>0</v>
      </c>
      <c r="O87" s="191">
        <v>0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0</v>
      </c>
    </row>
    <row r="88" spans="1:21" x14ac:dyDescent="0.3">
      <c r="A88" s="195">
        <v>1205000</v>
      </c>
      <c r="B88" s="6">
        <v>2990</v>
      </c>
      <c r="C88" s="7">
        <v>0</v>
      </c>
      <c r="D88" s="8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/>
      <c r="K88" s="9"/>
      <c r="L88" s="9"/>
      <c r="M88" s="191">
        <v>0</v>
      </c>
      <c r="N88" s="191">
        <v>0</v>
      </c>
      <c r="O88" s="191">
        <v>0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0</v>
      </c>
    </row>
    <row r="89" spans="1:21" x14ac:dyDescent="0.3">
      <c r="A89" s="195">
        <v>1210000</v>
      </c>
      <c r="B89" s="6">
        <v>3060</v>
      </c>
      <c r="C89" s="7">
        <v>0</v>
      </c>
      <c r="D89" s="8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/>
      <c r="K89" s="9"/>
      <c r="L89" s="9"/>
      <c r="M89" s="191">
        <v>0</v>
      </c>
      <c r="N89" s="191">
        <v>0</v>
      </c>
      <c r="O89" s="191">
        <v>0</v>
      </c>
      <c r="P89" s="191">
        <v>0</v>
      </c>
      <c r="Q89" s="191">
        <v>0</v>
      </c>
      <c r="R89" s="191">
        <v>0</v>
      </c>
      <c r="S89" s="191">
        <v>0</v>
      </c>
      <c r="T89" s="191">
        <v>0</v>
      </c>
      <c r="U89" s="191">
        <v>0</v>
      </c>
    </row>
    <row r="90" spans="1:21" x14ac:dyDescent="0.3">
      <c r="A90" s="195">
        <v>1215000</v>
      </c>
      <c r="B90" s="6">
        <v>3130</v>
      </c>
      <c r="C90" s="7">
        <v>0</v>
      </c>
      <c r="D90" s="8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/>
      <c r="K90" s="9"/>
      <c r="L90" s="9"/>
      <c r="M90" s="191">
        <v>0</v>
      </c>
      <c r="N90" s="191">
        <v>0</v>
      </c>
      <c r="O90" s="191">
        <v>0</v>
      </c>
      <c r="P90" s="191">
        <v>0</v>
      </c>
      <c r="Q90" s="191">
        <v>0</v>
      </c>
      <c r="R90" s="191">
        <v>0</v>
      </c>
      <c r="S90" s="191">
        <v>0</v>
      </c>
      <c r="T90" s="191">
        <v>0</v>
      </c>
      <c r="U90" s="191">
        <v>0</v>
      </c>
    </row>
    <row r="91" spans="1:21" x14ac:dyDescent="0.3">
      <c r="A91" s="195">
        <v>1220000</v>
      </c>
      <c r="B91" s="6">
        <v>3200</v>
      </c>
      <c r="C91" s="7">
        <v>0</v>
      </c>
      <c r="D91" s="8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/>
      <c r="K91" s="9"/>
      <c r="L91" s="9"/>
      <c r="M91" s="191">
        <v>0</v>
      </c>
      <c r="N91" s="191">
        <v>0</v>
      </c>
      <c r="O91" s="191">
        <v>0</v>
      </c>
      <c r="P91" s="191">
        <v>0</v>
      </c>
      <c r="Q91" s="191">
        <v>0</v>
      </c>
      <c r="R91" s="191">
        <v>0</v>
      </c>
      <c r="S91" s="191">
        <v>0</v>
      </c>
      <c r="T91" s="191">
        <v>0</v>
      </c>
      <c r="U91" s="191">
        <v>0</v>
      </c>
    </row>
    <row r="92" spans="1:21" x14ac:dyDescent="0.3">
      <c r="A92" s="195">
        <v>1225000</v>
      </c>
      <c r="B92" s="6">
        <v>3270</v>
      </c>
      <c r="C92" s="7">
        <v>0</v>
      </c>
      <c r="D92" s="8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/>
      <c r="K92" s="9"/>
      <c r="L92" s="9"/>
      <c r="M92" s="191">
        <v>0</v>
      </c>
      <c r="N92" s="191">
        <v>0</v>
      </c>
      <c r="O92" s="191">
        <v>0</v>
      </c>
      <c r="P92" s="191">
        <v>0</v>
      </c>
      <c r="Q92" s="191">
        <v>0</v>
      </c>
      <c r="R92" s="191">
        <v>0</v>
      </c>
      <c r="S92" s="191">
        <v>0</v>
      </c>
      <c r="T92" s="191">
        <v>0</v>
      </c>
      <c r="U92" s="191">
        <v>0</v>
      </c>
    </row>
    <row r="93" spans="1:21" x14ac:dyDescent="0.3">
      <c r="A93" s="195">
        <v>1230000</v>
      </c>
      <c r="B93" s="6">
        <v>3340</v>
      </c>
      <c r="C93" s="7">
        <v>0</v>
      </c>
      <c r="D93" s="8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/>
      <c r="K93" s="9"/>
      <c r="L93" s="9"/>
      <c r="M93" s="191">
        <v>0</v>
      </c>
      <c r="N93" s="191">
        <v>0</v>
      </c>
      <c r="O93" s="191">
        <v>0</v>
      </c>
      <c r="P93" s="191">
        <v>0</v>
      </c>
      <c r="Q93" s="191">
        <v>0</v>
      </c>
      <c r="R93" s="191">
        <v>0</v>
      </c>
      <c r="S93" s="191">
        <v>0</v>
      </c>
      <c r="T93" s="191">
        <v>0</v>
      </c>
      <c r="U93" s="191">
        <v>0</v>
      </c>
    </row>
    <row r="94" spans="1:21" x14ac:dyDescent="0.3">
      <c r="A94" s="195">
        <v>1235000</v>
      </c>
      <c r="B94" s="6">
        <v>3410</v>
      </c>
      <c r="C94" s="7">
        <v>0</v>
      </c>
      <c r="D94" s="8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/>
      <c r="K94" s="9"/>
      <c r="L94" s="9"/>
      <c r="M94" s="191">
        <v>0</v>
      </c>
      <c r="N94" s="191">
        <v>0</v>
      </c>
      <c r="O94" s="191">
        <v>0</v>
      </c>
      <c r="P94" s="191">
        <v>0</v>
      </c>
      <c r="Q94" s="191">
        <v>0</v>
      </c>
      <c r="R94" s="191">
        <v>0</v>
      </c>
      <c r="S94" s="191">
        <v>0</v>
      </c>
      <c r="T94" s="191">
        <v>0</v>
      </c>
      <c r="U94" s="191">
        <v>0</v>
      </c>
    </row>
    <row r="95" spans="1:21" x14ac:dyDescent="0.3">
      <c r="A95" s="195">
        <v>1240000</v>
      </c>
      <c r="B95" s="6">
        <v>3480</v>
      </c>
      <c r="C95" s="7">
        <v>0</v>
      </c>
      <c r="D95" s="8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/>
      <c r="K95" s="9"/>
      <c r="L95" s="9"/>
      <c r="M95" s="191">
        <v>0</v>
      </c>
      <c r="N95" s="191">
        <v>0</v>
      </c>
      <c r="O95" s="191">
        <v>0</v>
      </c>
      <c r="P95" s="191">
        <v>0</v>
      </c>
      <c r="Q95" s="191">
        <v>0</v>
      </c>
      <c r="R95" s="191">
        <v>0</v>
      </c>
      <c r="S95" s="191">
        <v>0</v>
      </c>
      <c r="T95" s="191">
        <v>0</v>
      </c>
      <c r="U95" s="191">
        <v>0</v>
      </c>
    </row>
    <row r="96" spans="1:21" x14ac:dyDescent="0.3">
      <c r="A96" s="195">
        <v>1245000</v>
      </c>
      <c r="B96" s="6">
        <v>3550</v>
      </c>
      <c r="C96" s="7">
        <v>0</v>
      </c>
      <c r="D96" s="8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/>
      <c r="K96" s="9"/>
      <c r="L96" s="9"/>
      <c r="M96" s="191">
        <v>0</v>
      </c>
      <c r="N96" s="191">
        <v>0</v>
      </c>
      <c r="O96" s="191">
        <v>0</v>
      </c>
      <c r="P96" s="191">
        <v>0</v>
      </c>
      <c r="Q96" s="191">
        <v>0</v>
      </c>
      <c r="R96" s="191">
        <v>0</v>
      </c>
      <c r="S96" s="191">
        <v>0</v>
      </c>
      <c r="T96" s="191">
        <v>0</v>
      </c>
      <c r="U96" s="191">
        <v>0</v>
      </c>
    </row>
    <row r="97" spans="1:21" x14ac:dyDescent="0.3">
      <c r="A97" s="195">
        <v>1250000</v>
      </c>
      <c r="B97" s="6">
        <v>3620</v>
      </c>
      <c r="C97" s="7">
        <v>0</v>
      </c>
      <c r="D97" s="8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/>
      <c r="K97" s="9"/>
      <c r="L97" s="9"/>
      <c r="M97" s="191">
        <v>0</v>
      </c>
      <c r="N97" s="191">
        <v>0</v>
      </c>
      <c r="O97" s="191">
        <v>0</v>
      </c>
      <c r="P97" s="191">
        <v>0</v>
      </c>
      <c r="Q97" s="191">
        <v>0</v>
      </c>
      <c r="R97" s="191">
        <v>0</v>
      </c>
      <c r="S97" s="191">
        <v>0</v>
      </c>
      <c r="T97" s="191">
        <v>0</v>
      </c>
      <c r="U97" s="191">
        <v>0</v>
      </c>
    </row>
    <row r="98" spans="1:21" x14ac:dyDescent="0.3">
      <c r="A98" s="195">
        <v>1255000</v>
      </c>
      <c r="B98" s="6">
        <v>3700</v>
      </c>
      <c r="C98" s="7">
        <v>0</v>
      </c>
      <c r="D98" s="8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/>
      <c r="K98" s="9"/>
      <c r="L98" s="9"/>
      <c r="M98" s="191">
        <v>0</v>
      </c>
      <c r="N98" s="191">
        <v>0</v>
      </c>
      <c r="O98" s="191">
        <v>0</v>
      </c>
      <c r="P98" s="191">
        <v>0</v>
      </c>
      <c r="Q98" s="191">
        <v>0</v>
      </c>
      <c r="R98" s="191">
        <v>0</v>
      </c>
      <c r="S98" s="191">
        <v>0</v>
      </c>
      <c r="T98" s="191">
        <v>0</v>
      </c>
      <c r="U98" s="191">
        <v>0</v>
      </c>
    </row>
    <row r="99" spans="1:21" x14ac:dyDescent="0.3">
      <c r="A99" s="195">
        <v>1260000</v>
      </c>
      <c r="B99" s="6">
        <v>3810</v>
      </c>
      <c r="C99" s="7">
        <v>0</v>
      </c>
      <c r="D99" s="8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/>
      <c r="K99" s="9"/>
      <c r="L99" s="9"/>
      <c r="M99" s="191">
        <v>0</v>
      </c>
      <c r="N99" s="191">
        <v>0</v>
      </c>
      <c r="O99" s="191">
        <v>0</v>
      </c>
      <c r="P99" s="191">
        <v>0</v>
      </c>
      <c r="Q99" s="191">
        <v>0</v>
      </c>
      <c r="R99" s="191">
        <v>0</v>
      </c>
      <c r="S99" s="191">
        <v>0</v>
      </c>
      <c r="T99" s="191">
        <v>0</v>
      </c>
      <c r="U99" s="191">
        <v>0</v>
      </c>
    </row>
    <row r="100" spans="1:21" x14ac:dyDescent="0.3">
      <c r="A100" s="195">
        <v>1265000</v>
      </c>
      <c r="B100" s="6">
        <v>3910</v>
      </c>
      <c r="C100" s="7">
        <v>0</v>
      </c>
      <c r="D100" s="8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/>
      <c r="K100" s="9"/>
      <c r="L100" s="9"/>
      <c r="M100" s="191">
        <v>0</v>
      </c>
      <c r="N100" s="191">
        <v>0</v>
      </c>
      <c r="O100" s="191">
        <v>0</v>
      </c>
      <c r="P100" s="191">
        <v>0</v>
      </c>
      <c r="Q100" s="191">
        <v>0</v>
      </c>
      <c r="R100" s="191">
        <v>0</v>
      </c>
      <c r="S100" s="191">
        <v>0</v>
      </c>
      <c r="T100" s="191">
        <v>0</v>
      </c>
      <c r="U100" s="191">
        <v>0</v>
      </c>
    </row>
    <row r="101" spans="1:21" x14ac:dyDescent="0.3">
      <c r="A101" s="195">
        <v>1270000</v>
      </c>
      <c r="B101" s="6">
        <v>4010</v>
      </c>
      <c r="C101" s="7">
        <v>0</v>
      </c>
      <c r="D101" s="8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/>
      <c r="K101" s="9"/>
      <c r="L101" s="9"/>
      <c r="M101" s="191">
        <v>0</v>
      </c>
      <c r="N101" s="191">
        <v>0</v>
      </c>
      <c r="O101" s="191">
        <v>0</v>
      </c>
      <c r="P101" s="191">
        <v>0</v>
      </c>
      <c r="Q101" s="191">
        <v>0</v>
      </c>
      <c r="R101" s="191">
        <v>0</v>
      </c>
      <c r="S101" s="191">
        <v>0</v>
      </c>
      <c r="T101" s="191">
        <v>0</v>
      </c>
      <c r="U101" s="191">
        <v>0</v>
      </c>
    </row>
    <row r="102" spans="1:21" x14ac:dyDescent="0.3">
      <c r="A102" s="195">
        <v>1275000</v>
      </c>
      <c r="B102" s="6">
        <v>4120</v>
      </c>
      <c r="C102" s="7">
        <v>0</v>
      </c>
      <c r="D102" s="8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/>
      <c r="K102" s="9"/>
      <c r="L102" s="9"/>
      <c r="M102" s="191">
        <v>0</v>
      </c>
      <c r="N102" s="191">
        <v>0</v>
      </c>
      <c r="O102" s="191">
        <v>0</v>
      </c>
      <c r="P102" s="191">
        <v>0</v>
      </c>
      <c r="Q102" s="191">
        <v>0</v>
      </c>
      <c r="R102" s="191">
        <v>0</v>
      </c>
      <c r="S102" s="191">
        <v>0</v>
      </c>
      <c r="T102" s="191">
        <v>0</v>
      </c>
      <c r="U102" s="191">
        <v>0</v>
      </c>
    </row>
    <row r="103" spans="1:21" x14ac:dyDescent="0.3">
      <c r="A103" s="195">
        <v>1280000</v>
      </c>
      <c r="B103" s="6">
        <v>4220</v>
      </c>
      <c r="C103" s="7">
        <v>0</v>
      </c>
      <c r="D103" s="8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/>
      <c r="K103" s="9"/>
      <c r="L103" s="9"/>
      <c r="M103" s="191">
        <v>0</v>
      </c>
      <c r="N103" s="191">
        <v>0</v>
      </c>
      <c r="O103" s="191">
        <v>0</v>
      </c>
      <c r="P103" s="191">
        <v>0</v>
      </c>
      <c r="Q103" s="191">
        <v>0</v>
      </c>
      <c r="R103" s="191">
        <v>0</v>
      </c>
      <c r="S103" s="191">
        <v>0</v>
      </c>
      <c r="T103" s="191">
        <v>0</v>
      </c>
      <c r="U103" s="191">
        <v>0</v>
      </c>
    </row>
    <row r="104" spans="1:21" x14ac:dyDescent="0.3">
      <c r="A104" s="195">
        <v>1285000</v>
      </c>
      <c r="B104" s="6">
        <v>4320</v>
      </c>
      <c r="C104" s="7">
        <v>0</v>
      </c>
      <c r="D104" s="8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/>
      <c r="K104" s="9"/>
      <c r="L104" s="9"/>
      <c r="M104" s="191">
        <v>0</v>
      </c>
      <c r="N104" s="191">
        <v>0</v>
      </c>
      <c r="O104" s="191">
        <v>0</v>
      </c>
      <c r="P104" s="191">
        <v>0</v>
      </c>
      <c r="Q104" s="191">
        <v>0</v>
      </c>
      <c r="R104" s="191">
        <v>0</v>
      </c>
      <c r="S104" s="191">
        <v>0</v>
      </c>
      <c r="T104" s="191">
        <v>0</v>
      </c>
      <c r="U104" s="191">
        <v>0</v>
      </c>
    </row>
    <row r="105" spans="1:21" x14ac:dyDescent="0.3">
      <c r="A105" s="195">
        <v>1290000</v>
      </c>
      <c r="B105" s="6">
        <v>4430</v>
      </c>
      <c r="C105" s="7">
        <v>0</v>
      </c>
      <c r="D105" s="8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/>
      <c r="K105" s="9"/>
      <c r="L105" s="9"/>
      <c r="M105" s="191">
        <v>0</v>
      </c>
      <c r="N105" s="191">
        <v>0</v>
      </c>
      <c r="O105" s="191">
        <v>0</v>
      </c>
      <c r="P105" s="191">
        <v>0</v>
      </c>
      <c r="Q105" s="191">
        <v>0</v>
      </c>
      <c r="R105" s="191">
        <v>0</v>
      </c>
      <c r="S105" s="191">
        <v>0</v>
      </c>
      <c r="T105" s="191">
        <v>0</v>
      </c>
      <c r="U105" s="191">
        <v>0</v>
      </c>
    </row>
    <row r="106" spans="1:21" x14ac:dyDescent="0.3">
      <c r="A106" s="195">
        <v>1295000</v>
      </c>
      <c r="B106" s="6">
        <v>4530</v>
      </c>
      <c r="C106" s="7">
        <v>0</v>
      </c>
      <c r="D106" s="8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/>
      <c r="K106" s="9"/>
      <c r="L106" s="9"/>
      <c r="M106" s="191">
        <v>0</v>
      </c>
      <c r="N106" s="191">
        <v>0</v>
      </c>
      <c r="O106" s="191">
        <v>0</v>
      </c>
      <c r="P106" s="191">
        <v>0</v>
      </c>
      <c r="Q106" s="191">
        <v>0</v>
      </c>
      <c r="R106" s="191">
        <v>0</v>
      </c>
      <c r="S106" s="191">
        <v>0</v>
      </c>
      <c r="T106" s="191">
        <v>0</v>
      </c>
      <c r="U106" s="191">
        <v>0</v>
      </c>
    </row>
    <row r="107" spans="1:21" x14ac:dyDescent="0.3">
      <c r="A107" s="195">
        <v>1300000</v>
      </c>
      <c r="B107" s="6">
        <v>4630</v>
      </c>
      <c r="C107" s="7">
        <v>0</v>
      </c>
      <c r="D107" s="8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/>
      <c r="K107" s="9"/>
      <c r="L107" s="9"/>
      <c r="M107" s="191">
        <v>0</v>
      </c>
      <c r="N107" s="191">
        <v>0</v>
      </c>
      <c r="O107" s="191">
        <v>0</v>
      </c>
      <c r="P107" s="191">
        <v>0</v>
      </c>
      <c r="Q107" s="191">
        <v>0</v>
      </c>
      <c r="R107" s="191">
        <v>0</v>
      </c>
      <c r="S107" s="191">
        <v>0</v>
      </c>
      <c r="T107" s="191">
        <v>0</v>
      </c>
      <c r="U107" s="191">
        <v>0</v>
      </c>
    </row>
    <row r="108" spans="1:21" x14ac:dyDescent="0.3">
      <c r="A108" s="195">
        <v>1305000</v>
      </c>
      <c r="B108" s="6">
        <v>4740</v>
      </c>
      <c r="C108" s="7">
        <v>0</v>
      </c>
      <c r="D108" s="8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/>
      <c r="K108" s="9"/>
      <c r="L108" s="9"/>
      <c r="M108" s="191">
        <v>0</v>
      </c>
      <c r="N108" s="191">
        <v>0</v>
      </c>
      <c r="O108" s="191">
        <v>0</v>
      </c>
      <c r="P108" s="191">
        <v>0</v>
      </c>
      <c r="Q108" s="191">
        <v>0</v>
      </c>
      <c r="R108" s="191">
        <v>0</v>
      </c>
      <c r="S108" s="191">
        <v>0</v>
      </c>
      <c r="T108" s="191">
        <v>0</v>
      </c>
      <c r="U108" s="191">
        <v>0</v>
      </c>
    </row>
    <row r="109" spans="1:21" x14ac:dyDescent="0.3">
      <c r="A109" s="195">
        <v>1310000</v>
      </c>
      <c r="B109" s="6">
        <v>4840</v>
      </c>
      <c r="C109" s="7">
        <v>0</v>
      </c>
      <c r="D109" s="8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/>
      <c r="K109" s="9"/>
      <c r="L109" s="9"/>
      <c r="M109" s="191">
        <v>0</v>
      </c>
      <c r="N109" s="191">
        <v>0</v>
      </c>
      <c r="O109" s="191">
        <v>0</v>
      </c>
      <c r="P109" s="191">
        <v>0</v>
      </c>
      <c r="Q109" s="191">
        <v>0</v>
      </c>
      <c r="R109" s="191">
        <v>0</v>
      </c>
      <c r="S109" s="191">
        <v>0</v>
      </c>
      <c r="T109" s="191">
        <v>0</v>
      </c>
      <c r="U109" s="191">
        <v>0</v>
      </c>
    </row>
    <row r="110" spans="1:21" x14ac:dyDescent="0.3">
      <c r="A110" s="195">
        <v>1315000</v>
      </c>
      <c r="B110" s="6">
        <v>4940</v>
      </c>
      <c r="C110" s="7">
        <v>0</v>
      </c>
      <c r="D110" s="8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/>
      <c r="K110" s="9"/>
      <c r="L110" s="9"/>
      <c r="M110" s="191">
        <v>0</v>
      </c>
      <c r="N110" s="191">
        <v>0</v>
      </c>
      <c r="O110" s="191">
        <v>0</v>
      </c>
      <c r="P110" s="191">
        <v>0</v>
      </c>
      <c r="Q110" s="191">
        <v>0</v>
      </c>
      <c r="R110" s="191">
        <v>0</v>
      </c>
      <c r="S110" s="191">
        <v>0</v>
      </c>
      <c r="T110" s="191">
        <v>0</v>
      </c>
      <c r="U110" s="191">
        <v>0</v>
      </c>
    </row>
    <row r="111" spans="1:21" x14ac:dyDescent="0.3">
      <c r="A111" s="195">
        <v>1320000</v>
      </c>
      <c r="B111" s="6">
        <v>5050</v>
      </c>
      <c r="C111" s="7">
        <v>0</v>
      </c>
      <c r="D111" s="8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/>
      <c r="K111" s="9"/>
      <c r="L111" s="9"/>
      <c r="M111" s="191">
        <v>0</v>
      </c>
      <c r="N111" s="191">
        <v>0</v>
      </c>
      <c r="O111" s="191">
        <v>0</v>
      </c>
      <c r="P111" s="191">
        <v>0</v>
      </c>
      <c r="Q111" s="191">
        <v>0</v>
      </c>
      <c r="R111" s="191">
        <v>0</v>
      </c>
      <c r="S111" s="191">
        <v>0</v>
      </c>
      <c r="T111" s="191">
        <v>0</v>
      </c>
      <c r="U111" s="191">
        <v>0</v>
      </c>
    </row>
    <row r="112" spans="1:21" x14ac:dyDescent="0.3">
      <c r="A112" s="195">
        <v>1325000</v>
      </c>
      <c r="B112" s="6">
        <v>5150</v>
      </c>
      <c r="C112" s="7">
        <v>0</v>
      </c>
      <c r="D112" s="8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/>
      <c r="K112" s="9"/>
      <c r="L112" s="9"/>
      <c r="M112" s="191">
        <v>0</v>
      </c>
      <c r="N112" s="191">
        <v>0</v>
      </c>
      <c r="O112" s="191">
        <v>0</v>
      </c>
      <c r="P112" s="191">
        <v>0</v>
      </c>
      <c r="Q112" s="191">
        <v>0</v>
      </c>
      <c r="R112" s="191">
        <v>0</v>
      </c>
      <c r="S112" s="191">
        <v>0</v>
      </c>
      <c r="T112" s="191">
        <v>0</v>
      </c>
      <c r="U112" s="191">
        <v>0</v>
      </c>
    </row>
    <row r="113" spans="1:21" x14ac:dyDescent="0.3">
      <c r="A113" s="195">
        <v>1330000</v>
      </c>
      <c r="B113" s="6">
        <v>5250</v>
      </c>
      <c r="C113" s="7">
        <v>0</v>
      </c>
      <c r="D113" s="8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/>
      <c r="K113" s="9"/>
      <c r="L113" s="9"/>
      <c r="M113" s="191">
        <v>0</v>
      </c>
      <c r="N113" s="191">
        <v>0</v>
      </c>
      <c r="O113" s="191">
        <v>0</v>
      </c>
      <c r="P113" s="191">
        <v>0</v>
      </c>
      <c r="Q113" s="191">
        <v>0</v>
      </c>
      <c r="R113" s="191">
        <v>0</v>
      </c>
      <c r="S113" s="191">
        <v>0</v>
      </c>
      <c r="T113" s="191">
        <v>0</v>
      </c>
      <c r="U113" s="191">
        <v>0</v>
      </c>
    </row>
    <row r="114" spans="1:21" x14ac:dyDescent="0.3">
      <c r="A114" s="195">
        <v>1335000</v>
      </c>
      <c r="B114" s="6">
        <v>5360</v>
      </c>
      <c r="C114" s="7">
        <v>0</v>
      </c>
      <c r="D114" s="8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/>
      <c r="K114" s="9"/>
      <c r="L114" s="9"/>
      <c r="M114" s="191">
        <v>0</v>
      </c>
      <c r="N114" s="191">
        <v>0</v>
      </c>
      <c r="O114" s="191">
        <v>0</v>
      </c>
      <c r="P114" s="191">
        <v>0</v>
      </c>
      <c r="Q114" s="191">
        <v>0</v>
      </c>
      <c r="R114" s="191">
        <v>0</v>
      </c>
      <c r="S114" s="191">
        <v>0</v>
      </c>
      <c r="T114" s="191">
        <v>0</v>
      </c>
      <c r="U114" s="191">
        <v>0</v>
      </c>
    </row>
    <row r="115" spans="1:21" x14ac:dyDescent="0.3">
      <c r="A115" s="195">
        <v>1340000</v>
      </c>
      <c r="B115" s="6">
        <v>5460</v>
      </c>
      <c r="C115" s="10">
        <v>0</v>
      </c>
      <c r="D115" s="8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/>
      <c r="K115" s="9"/>
      <c r="L115" s="9"/>
      <c r="M115" s="191">
        <v>0</v>
      </c>
      <c r="N115" s="191">
        <v>0</v>
      </c>
      <c r="O115" s="191">
        <v>0</v>
      </c>
      <c r="P115" s="191">
        <v>0</v>
      </c>
      <c r="Q115" s="191">
        <v>0</v>
      </c>
      <c r="R115" s="191">
        <v>0</v>
      </c>
      <c r="S115" s="191">
        <v>0</v>
      </c>
      <c r="T115" s="191">
        <v>0</v>
      </c>
      <c r="U115" s="191">
        <v>0</v>
      </c>
    </row>
    <row r="116" spans="1:21" x14ac:dyDescent="0.3">
      <c r="A116" s="195">
        <v>1345000</v>
      </c>
      <c r="B116" s="6">
        <v>5560</v>
      </c>
      <c r="C116" s="10">
        <v>1060</v>
      </c>
      <c r="D116" s="8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/>
      <c r="K116" s="9"/>
      <c r="L116" s="9"/>
      <c r="M116" s="191">
        <v>0</v>
      </c>
      <c r="N116" s="191">
        <v>0</v>
      </c>
      <c r="O116" s="191">
        <v>0</v>
      </c>
      <c r="P116" s="191">
        <v>0</v>
      </c>
      <c r="Q116" s="191">
        <v>0</v>
      </c>
      <c r="R116" s="191">
        <v>0</v>
      </c>
      <c r="S116" s="191">
        <v>0</v>
      </c>
      <c r="T116" s="191">
        <v>0</v>
      </c>
      <c r="U116" s="191">
        <v>0</v>
      </c>
    </row>
    <row r="117" spans="1:21" x14ac:dyDescent="0.3">
      <c r="A117" s="195">
        <v>1350000</v>
      </c>
      <c r="B117" s="6">
        <v>5670</v>
      </c>
      <c r="C117" s="10">
        <v>1170</v>
      </c>
      <c r="D117" s="8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/>
      <c r="K117" s="9"/>
      <c r="L117" s="9"/>
      <c r="M117" s="191">
        <v>0</v>
      </c>
      <c r="N117" s="191">
        <v>0</v>
      </c>
      <c r="O117" s="191">
        <v>0</v>
      </c>
      <c r="P117" s="191">
        <v>0</v>
      </c>
      <c r="Q117" s="191">
        <v>0</v>
      </c>
      <c r="R117" s="191">
        <v>0</v>
      </c>
      <c r="S117" s="191">
        <v>0</v>
      </c>
      <c r="T117" s="191">
        <v>0</v>
      </c>
      <c r="U117" s="191">
        <v>0</v>
      </c>
    </row>
    <row r="118" spans="1:21" x14ac:dyDescent="0.3">
      <c r="A118" s="195">
        <v>1355000</v>
      </c>
      <c r="B118" s="6">
        <v>5770</v>
      </c>
      <c r="C118" s="10">
        <v>1270</v>
      </c>
      <c r="D118" s="8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/>
      <c r="K118" s="9"/>
      <c r="L118" s="9"/>
      <c r="M118" s="191">
        <v>0</v>
      </c>
      <c r="N118" s="191">
        <v>0</v>
      </c>
      <c r="O118" s="191">
        <v>0</v>
      </c>
      <c r="P118" s="191">
        <v>0</v>
      </c>
      <c r="Q118" s="191">
        <v>0</v>
      </c>
      <c r="R118" s="191">
        <v>0</v>
      </c>
      <c r="S118" s="191">
        <v>0</v>
      </c>
      <c r="T118" s="191">
        <v>0</v>
      </c>
      <c r="U118" s="191">
        <v>0</v>
      </c>
    </row>
    <row r="119" spans="1:21" x14ac:dyDescent="0.3">
      <c r="A119" s="195">
        <v>1360000</v>
      </c>
      <c r="B119" s="6">
        <v>5870</v>
      </c>
      <c r="C119" s="10">
        <v>1370</v>
      </c>
      <c r="D119" s="8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/>
      <c r="K119" s="9"/>
      <c r="L119" s="9"/>
      <c r="M119" s="191">
        <v>0</v>
      </c>
      <c r="N119" s="191">
        <v>0</v>
      </c>
      <c r="O119" s="191">
        <v>0</v>
      </c>
      <c r="P119" s="191">
        <v>0</v>
      </c>
      <c r="Q119" s="191">
        <v>0</v>
      </c>
      <c r="R119" s="191">
        <v>0</v>
      </c>
      <c r="S119" s="191">
        <v>0</v>
      </c>
      <c r="T119" s="191">
        <v>0</v>
      </c>
      <c r="U119" s="191">
        <v>0</v>
      </c>
    </row>
    <row r="120" spans="1:21" x14ac:dyDescent="0.3">
      <c r="A120" s="195">
        <v>1365000</v>
      </c>
      <c r="B120" s="6">
        <v>5980</v>
      </c>
      <c r="C120" s="10">
        <v>1480</v>
      </c>
      <c r="D120" s="8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/>
      <c r="K120" s="9"/>
      <c r="L120" s="9"/>
      <c r="M120" s="191">
        <v>0</v>
      </c>
      <c r="N120" s="191">
        <v>0</v>
      </c>
      <c r="O120" s="191">
        <v>0</v>
      </c>
      <c r="P120" s="191">
        <v>0</v>
      </c>
      <c r="Q120" s="191">
        <v>0</v>
      </c>
      <c r="R120" s="191">
        <v>0</v>
      </c>
      <c r="S120" s="191">
        <v>0</v>
      </c>
      <c r="T120" s="191">
        <v>0</v>
      </c>
      <c r="U120" s="191">
        <v>0</v>
      </c>
    </row>
    <row r="121" spans="1:21" x14ac:dyDescent="0.3">
      <c r="A121" s="195">
        <v>1370000</v>
      </c>
      <c r="B121" s="6">
        <v>6080</v>
      </c>
      <c r="C121" s="10">
        <v>1580</v>
      </c>
      <c r="D121" s="8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/>
      <c r="K121" s="9"/>
      <c r="L121" s="9"/>
      <c r="M121" s="191">
        <v>0</v>
      </c>
      <c r="N121" s="191">
        <v>0</v>
      </c>
      <c r="O121" s="191">
        <v>0</v>
      </c>
      <c r="P121" s="191">
        <v>0</v>
      </c>
      <c r="Q121" s="191">
        <v>0</v>
      </c>
      <c r="R121" s="191">
        <v>0</v>
      </c>
      <c r="S121" s="191">
        <v>0</v>
      </c>
      <c r="T121" s="191">
        <v>0</v>
      </c>
      <c r="U121" s="191">
        <v>0</v>
      </c>
    </row>
    <row r="122" spans="1:21" x14ac:dyDescent="0.3">
      <c r="A122" s="195">
        <v>1375000</v>
      </c>
      <c r="B122" s="6">
        <v>6180</v>
      </c>
      <c r="C122" s="10">
        <v>1680</v>
      </c>
      <c r="D122" s="8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/>
      <c r="K122" s="9"/>
      <c r="L122" s="9"/>
      <c r="M122" s="191">
        <v>0</v>
      </c>
      <c r="N122" s="191">
        <v>0</v>
      </c>
      <c r="O122" s="191">
        <v>0</v>
      </c>
      <c r="P122" s="191">
        <v>0</v>
      </c>
      <c r="Q122" s="191">
        <v>0</v>
      </c>
      <c r="R122" s="191">
        <v>0</v>
      </c>
      <c r="S122" s="191">
        <v>0</v>
      </c>
      <c r="T122" s="191">
        <v>0</v>
      </c>
      <c r="U122" s="191">
        <v>0</v>
      </c>
    </row>
    <row r="123" spans="1:21" x14ac:dyDescent="0.3">
      <c r="A123" s="195">
        <v>1380000</v>
      </c>
      <c r="B123" s="6">
        <v>6290</v>
      </c>
      <c r="C123" s="10">
        <v>1790</v>
      </c>
      <c r="D123" s="8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/>
      <c r="K123" s="9"/>
      <c r="L123" s="9"/>
      <c r="M123" s="191">
        <v>0</v>
      </c>
      <c r="N123" s="191">
        <v>0</v>
      </c>
      <c r="O123" s="191">
        <v>0</v>
      </c>
      <c r="P123" s="191">
        <v>0</v>
      </c>
      <c r="Q123" s="191">
        <v>0</v>
      </c>
      <c r="R123" s="191">
        <v>0</v>
      </c>
      <c r="S123" s="191">
        <v>0</v>
      </c>
      <c r="T123" s="191">
        <v>0</v>
      </c>
      <c r="U123" s="191">
        <v>0</v>
      </c>
    </row>
    <row r="124" spans="1:21" x14ac:dyDescent="0.3">
      <c r="A124" s="195">
        <v>1385000</v>
      </c>
      <c r="B124" s="6">
        <v>6390</v>
      </c>
      <c r="C124" s="10">
        <v>1890</v>
      </c>
      <c r="D124" s="8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/>
      <c r="K124" s="9"/>
      <c r="L124" s="9"/>
      <c r="M124" s="191">
        <v>0</v>
      </c>
      <c r="N124" s="191">
        <v>0</v>
      </c>
      <c r="O124" s="191">
        <v>0</v>
      </c>
      <c r="P124" s="191">
        <v>0</v>
      </c>
      <c r="Q124" s="191">
        <v>0</v>
      </c>
      <c r="R124" s="191">
        <v>0</v>
      </c>
      <c r="S124" s="191">
        <v>0</v>
      </c>
      <c r="T124" s="191">
        <v>0</v>
      </c>
      <c r="U124" s="191">
        <v>0</v>
      </c>
    </row>
    <row r="125" spans="1:21" x14ac:dyDescent="0.3">
      <c r="A125" s="195">
        <v>1390000</v>
      </c>
      <c r="B125" s="6">
        <v>6490</v>
      </c>
      <c r="C125" s="10">
        <v>1990</v>
      </c>
      <c r="D125" s="8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/>
      <c r="K125" s="9"/>
      <c r="L125" s="9"/>
      <c r="M125" s="191">
        <v>0</v>
      </c>
      <c r="N125" s="191">
        <v>0</v>
      </c>
      <c r="O125" s="191">
        <v>0</v>
      </c>
      <c r="P125" s="191">
        <v>0</v>
      </c>
      <c r="Q125" s="191">
        <v>0</v>
      </c>
      <c r="R125" s="191">
        <v>0</v>
      </c>
      <c r="S125" s="191">
        <v>0</v>
      </c>
      <c r="T125" s="191">
        <v>0</v>
      </c>
      <c r="U125" s="191">
        <v>0</v>
      </c>
    </row>
    <row r="126" spans="1:21" x14ac:dyDescent="0.3">
      <c r="A126" s="195">
        <v>1395000</v>
      </c>
      <c r="B126" s="6">
        <v>6600</v>
      </c>
      <c r="C126" s="10">
        <v>2100</v>
      </c>
      <c r="D126" s="8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/>
      <c r="K126" s="9"/>
      <c r="L126" s="9"/>
      <c r="M126" s="191">
        <v>0</v>
      </c>
      <c r="N126" s="191">
        <v>0</v>
      </c>
      <c r="O126" s="191">
        <v>0</v>
      </c>
      <c r="P126" s="191">
        <v>0</v>
      </c>
      <c r="Q126" s="191">
        <v>0</v>
      </c>
      <c r="R126" s="191">
        <v>0</v>
      </c>
      <c r="S126" s="191">
        <v>0</v>
      </c>
      <c r="T126" s="191">
        <v>0</v>
      </c>
      <c r="U126" s="191">
        <v>0</v>
      </c>
    </row>
    <row r="127" spans="1:21" x14ac:dyDescent="0.3">
      <c r="A127" s="195">
        <v>1400000</v>
      </c>
      <c r="B127" s="6">
        <v>6700</v>
      </c>
      <c r="C127" s="10">
        <v>2200</v>
      </c>
      <c r="D127" s="8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/>
      <c r="K127" s="9"/>
      <c r="L127" s="9"/>
      <c r="M127" s="191">
        <v>0</v>
      </c>
      <c r="N127" s="191">
        <v>0</v>
      </c>
      <c r="O127" s="191">
        <v>0</v>
      </c>
      <c r="P127" s="191">
        <v>0</v>
      </c>
      <c r="Q127" s="191">
        <v>0</v>
      </c>
      <c r="R127" s="191">
        <v>0</v>
      </c>
      <c r="S127" s="191">
        <v>0</v>
      </c>
      <c r="T127" s="191">
        <v>0</v>
      </c>
      <c r="U127" s="191">
        <v>0</v>
      </c>
    </row>
    <row r="128" spans="1:21" x14ac:dyDescent="0.3">
      <c r="A128" s="195">
        <v>1405000</v>
      </c>
      <c r="B128" s="6">
        <v>6800</v>
      </c>
      <c r="C128" s="10">
        <v>2300</v>
      </c>
      <c r="D128" s="8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/>
      <c r="K128" s="9"/>
      <c r="L128" s="9"/>
      <c r="M128" s="191">
        <v>0</v>
      </c>
      <c r="N128" s="191">
        <v>0</v>
      </c>
      <c r="O128" s="191">
        <v>0</v>
      </c>
      <c r="P128" s="191">
        <v>0</v>
      </c>
      <c r="Q128" s="191">
        <v>0</v>
      </c>
      <c r="R128" s="191">
        <v>0</v>
      </c>
      <c r="S128" s="191">
        <v>0</v>
      </c>
      <c r="T128" s="191">
        <v>0</v>
      </c>
      <c r="U128" s="191">
        <v>0</v>
      </c>
    </row>
    <row r="129" spans="1:21" x14ac:dyDescent="0.3">
      <c r="A129" s="195">
        <v>1410000</v>
      </c>
      <c r="B129" s="6">
        <v>6910</v>
      </c>
      <c r="C129" s="10">
        <v>2410</v>
      </c>
      <c r="D129" s="8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/>
      <c r="K129" s="9"/>
      <c r="L129" s="9"/>
      <c r="M129" s="191">
        <v>0</v>
      </c>
      <c r="N129" s="191">
        <v>0</v>
      </c>
      <c r="O129" s="191">
        <v>0</v>
      </c>
      <c r="P129" s="191">
        <v>0</v>
      </c>
      <c r="Q129" s="191">
        <v>0</v>
      </c>
      <c r="R129" s="191">
        <v>0</v>
      </c>
      <c r="S129" s="191">
        <v>0</v>
      </c>
      <c r="T129" s="191">
        <v>0</v>
      </c>
      <c r="U129" s="191">
        <v>0</v>
      </c>
    </row>
    <row r="130" spans="1:21" x14ac:dyDescent="0.3">
      <c r="A130" s="195">
        <v>1415000</v>
      </c>
      <c r="B130" s="6">
        <v>7010</v>
      </c>
      <c r="C130" s="10">
        <v>2510</v>
      </c>
      <c r="D130" s="8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/>
      <c r="K130" s="9"/>
      <c r="L130" s="9"/>
      <c r="M130" s="191">
        <v>0</v>
      </c>
      <c r="N130" s="191">
        <v>0</v>
      </c>
      <c r="O130" s="191">
        <v>0</v>
      </c>
      <c r="P130" s="191">
        <v>0</v>
      </c>
      <c r="Q130" s="191">
        <v>0</v>
      </c>
      <c r="R130" s="191">
        <v>0</v>
      </c>
      <c r="S130" s="191">
        <v>0</v>
      </c>
      <c r="T130" s="191">
        <v>0</v>
      </c>
      <c r="U130" s="191">
        <v>0</v>
      </c>
    </row>
    <row r="131" spans="1:21" x14ac:dyDescent="0.3">
      <c r="A131" s="195">
        <v>1420000</v>
      </c>
      <c r="B131" s="6">
        <v>7110</v>
      </c>
      <c r="C131" s="10">
        <v>2610</v>
      </c>
      <c r="D131" s="8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/>
      <c r="K131" s="9"/>
      <c r="L131" s="9"/>
      <c r="M131" s="191">
        <v>0</v>
      </c>
      <c r="N131" s="191">
        <v>0</v>
      </c>
      <c r="O131" s="191">
        <v>0</v>
      </c>
      <c r="P131" s="191">
        <v>0</v>
      </c>
      <c r="Q131" s="191">
        <v>0</v>
      </c>
      <c r="R131" s="191">
        <v>0</v>
      </c>
      <c r="S131" s="191">
        <v>0</v>
      </c>
      <c r="T131" s="191">
        <v>0</v>
      </c>
      <c r="U131" s="191">
        <v>0</v>
      </c>
    </row>
    <row r="132" spans="1:21" x14ac:dyDescent="0.3">
      <c r="A132" s="195">
        <v>1425000</v>
      </c>
      <c r="B132" s="6">
        <v>7210</v>
      </c>
      <c r="C132" s="10">
        <v>2710</v>
      </c>
      <c r="D132" s="8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/>
      <c r="K132" s="9"/>
      <c r="L132" s="9"/>
      <c r="M132" s="191">
        <v>0</v>
      </c>
      <c r="N132" s="191">
        <v>0</v>
      </c>
      <c r="O132" s="191">
        <v>0</v>
      </c>
      <c r="P132" s="191">
        <v>0</v>
      </c>
      <c r="Q132" s="191">
        <v>0</v>
      </c>
      <c r="R132" s="191">
        <v>0</v>
      </c>
      <c r="S132" s="191">
        <v>0</v>
      </c>
      <c r="T132" s="191">
        <v>0</v>
      </c>
      <c r="U132" s="191">
        <v>0</v>
      </c>
    </row>
    <row r="133" spans="1:21" x14ac:dyDescent="0.3">
      <c r="A133" s="195">
        <v>1430000</v>
      </c>
      <c r="B133" s="6">
        <v>7320</v>
      </c>
      <c r="C133" s="10">
        <v>2820</v>
      </c>
      <c r="D133" s="8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/>
      <c r="K133" s="9"/>
      <c r="L133" s="9"/>
      <c r="M133" s="191">
        <v>0</v>
      </c>
      <c r="N133" s="191">
        <v>0</v>
      </c>
      <c r="O133" s="191">
        <v>0</v>
      </c>
      <c r="P133" s="191">
        <v>0</v>
      </c>
      <c r="Q133" s="191">
        <v>0</v>
      </c>
      <c r="R133" s="191">
        <v>0</v>
      </c>
      <c r="S133" s="191">
        <v>0</v>
      </c>
      <c r="T133" s="191">
        <v>0</v>
      </c>
      <c r="U133" s="191">
        <v>0</v>
      </c>
    </row>
    <row r="134" spans="1:21" x14ac:dyDescent="0.3">
      <c r="A134" s="195">
        <v>1435000</v>
      </c>
      <c r="B134" s="6">
        <v>7420</v>
      </c>
      <c r="C134" s="10">
        <v>2920</v>
      </c>
      <c r="D134" s="8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/>
      <c r="K134" s="9"/>
      <c r="L134" s="9"/>
      <c r="M134" s="191">
        <v>0</v>
      </c>
      <c r="N134" s="191">
        <v>0</v>
      </c>
      <c r="O134" s="191">
        <v>0</v>
      </c>
      <c r="P134" s="191">
        <v>0</v>
      </c>
      <c r="Q134" s="191">
        <v>0</v>
      </c>
      <c r="R134" s="191">
        <v>0</v>
      </c>
      <c r="S134" s="191">
        <v>0</v>
      </c>
      <c r="T134" s="191">
        <v>0</v>
      </c>
      <c r="U134" s="191">
        <v>0</v>
      </c>
    </row>
    <row r="135" spans="1:21" x14ac:dyDescent="0.3">
      <c r="A135" s="195">
        <v>1440000</v>
      </c>
      <c r="B135" s="6">
        <v>7520</v>
      </c>
      <c r="C135" s="10">
        <v>3020</v>
      </c>
      <c r="D135" s="8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/>
      <c r="K135" s="9"/>
      <c r="L135" s="9"/>
      <c r="M135" s="191">
        <v>0</v>
      </c>
      <c r="N135" s="191">
        <v>0</v>
      </c>
      <c r="O135" s="191">
        <v>0</v>
      </c>
      <c r="P135" s="191">
        <v>0</v>
      </c>
      <c r="Q135" s="191">
        <v>0</v>
      </c>
      <c r="R135" s="191">
        <v>0</v>
      </c>
      <c r="S135" s="191">
        <v>0</v>
      </c>
      <c r="T135" s="191">
        <v>0</v>
      </c>
      <c r="U135" s="191">
        <v>0</v>
      </c>
    </row>
    <row r="136" spans="1:21" x14ac:dyDescent="0.3">
      <c r="A136" s="195">
        <v>1445000</v>
      </c>
      <c r="B136" s="6">
        <v>7630</v>
      </c>
      <c r="C136" s="10">
        <v>3130</v>
      </c>
      <c r="D136" s="8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/>
      <c r="K136" s="9"/>
      <c r="L136" s="9"/>
      <c r="M136" s="191">
        <v>0</v>
      </c>
      <c r="N136" s="191">
        <v>0</v>
      </c>
      <c r="O136" s="191">
        <v>0</v>
      </c>
      <c r="P136" s="191">
        <v>0</v>
      </c>
      <c r="Q136" s="191">
        <v>0</v>
      </c>
      <c r="R136" s="191">
        <v>0</v>
      </c>
      <c r="S136" s="191">
        <v>0</v>
      </c>
      <c r="T136" s="191">
        <v>0</v>
      </c>
      <c r="U136" s="191">
        <v>0</v>
      </c>
    </row>
    <row r="137" spans="1:21" x14ac:dyDescent="0.3">
      <c r="A137" s="195">
        <v>1450000</v>
      </c>
      <c r="B137" s="6">
        <v>7730</v>
      </c>
      <c r="C137" s="10">
        <v>3230</v>
      </c>
      <c r="D137" s="8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/>
      <c r="K137" s="9"/>
      <c r="L137" s="9"/>
      <c r="M137" s="191">
        <v>0</v>
      </c>
      <c r="N137" s="191">
        <v>0</v>
      </c>
      <c r="O137" s="191">
        <v>0</v>
      </c>
      <c r="P137" s="191">
        <v>0</v>
      </c>
      <c r="Q137" s="191">
        <v>0</v>
      </c>
      <c r="R137" s="191">
        <v>0</v>
      </c>
      <c r="S137" s="191">
        <v>0</v>
      </c>
      <c r="T137" s="191">
        <v>0</v>
      </c>
      <c r="U137" s="191">
        <v>0</v>
      </c>
    </row>
    <row r="138" spans="1:21" x14ac:dyDescent="0.3">
      <c r="A138" s="195">
        <v>1455000</v>
      </c>
      <c r="B138" s="6">
        <v>7830</v>
      </c>
      <c r="C138" s="10">
        <v>3330</v>
      </c>
      <c r="D138" s="8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/>
      <c r="K138" s="9"/>
      <c r="L138" s="9"/>
      <c r="M138" s="191">
        <v>0</v>
      </c>
      <c r="N138" s="191">
        <v>0</v>
      </c>
      <c r="O138" s="191">
        <v>0</v>
      </c>
      <c r="P138" s="191">
        <v>0</v>
      </c>
      <c r="Q138" s="191">
        <v>0</v>
      </c>
      <c r="R138" s="191">
        <v>0</v>
      </c>
      <c r="S138" s="191">
        <v>0</v>
      </c>
      <c r="T138" s="191">
        <v>0</v>
      </c>
      <c r="U138" s="191">
        <v>0</v>
      </c>
    </row>
    <row r="139" spans="1:21" x14ac:dyDescent="0.3">
      <c r="A139" s="195">
        <v>1460000</v>
      </c>
      <c r="B139" s="6">
        <v>7940</v>
      </c>
      <c r="C139" s="10">
        <v>3440</v>
      </c>
      <c r="D139" s="8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/>
      <c r="K139" s="9"/>
      <c r="L139" s="9"/>
      <c r="M139" s="191">
        <v>0</v>
      </c>
      <c r="N139" s="191">
        <v>0</v>
      </c>
      <c r="O139" s="191">
        <v>0</v>
      </c>
      <c r="P139" s="191">
        <v>0</v>
      </c>
      <c r="Q139" s="191">
        <v>0</v>
      </c>
      <c r="R139" s="191">
        <v>0</v>
      </c>
      <c r="S139" s="191">
        <v>0</v>
      </c>
      <c r="T139" s="191">
        <v>0</v>
      </c>
      <c r="U139" s="191">
        <v>0</v>
      </c>
    </row>
    <row r="140" spans="1:21" x14ac:dyDescent="0.3">
      <c r="A140" s="195">
        <v>1465000</v>
      </c>
      <c r="B140" s="6">
        <v>8040</v>
      </c>
      <c r="C140" s="10">
        <v>3540</v>
      </c>
      <c r="D140" s="8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/>
      <c r="K140" s="9"/>
      <c r="L140" s="9"/>
      <c r="M140" s="191">
        <v>0</v>
      </c>
      <c r="N140" s="191">
        <v>0</v>
      </c>
      <c r="O140" s="191">
        <v>0</v>
      </c>
      <c r="P140" s="191">
        <v>0</v>
      </c>
      <c r="Q140" s="191">
        <v>0</v>
      </c>
      <c r="R140" s="191">
        <v>0</v>
      </c>
      <c r="S140" s="191">
        <v>0</v>
      </c>
      <c r="T140" s="191">
        <v>0</v>
      </c>
      <c r="U140" s="191">
        <v>0</v>
      </c>
    </row>
    <row r="141" spans="1:21" x14ac:dyDescent="0.3">
      <c r="A141" s="195">
        <v>1470000</v>
      </c>
      <c r="B141" s="6">
        <v>8140</v>
      </c>
      <c r="C141" s="10">
        <v>3640</v>
      </c>
      <c r="D141" s="8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/>
      <c r="K141" s="9"/>
      <c r="L141" s="9"/>
      <c r="M141" s="191">
        <v>0</v>
      </c>
      <c r="N141" s="191">
        <v>0</v>
      </c>
      <c r="O141" s="191">
        <v>0</v>
      </c>
      <c r="P141" s="191">
        <v>0</v>
      </c>
      <c r="Q141" s="191">
        <v>0</v>
      </c>
      <c r="R141" s="191">
        <v>0</v>
      </c>
      <c r="S141" s="191">
        <v>0</v>
      </c>
      <c r="T141" s="191">
        <v>0</v>
      </c>
      <c r="U141" s="191">
        <v>0</v>
      </c>
    </row>
    <row r="142" spans="1:21" x14ac:dyDescent="0.3">
      <c r="A142" s="195">
        <v>1475000</v>
      </c>
      <c r="B142" s="6">
        <v>8250</v>
      </c>
      <c r="C142" s="10">
        <v>3750</v>
      </c>
      <c r="D142" s="8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/>
      <c r="K142" s="9"/>
      <c r="L142" s="9"/>
      <c r="M142" s="191">
        <v>0</v>
      </c>
      <c r="N142" s="191">
        <v>0</v>
      </c>
      <c r="O142" s="191">
        <v>0</v>
      </c>
      <c r="P142" s="191">
        <v>0</v>
      </c>
      <c r="Q142" s="191">
        <v>0</v>
      </c>
      <c r="R142" s="191">
        <v>0</v>
      </c>
      <c r="S142" s="191">
        <v>0</v>
      </c>
      <c r="T142" s="191">
        <v>0</v>
      </c>
      <c r="U142" s="191">
        <v>0</v>
      </c>
    </row>
    <row r="143" spans="1:21" x14ac:dyDescent="0.3">
      <c r="A143" s="195">
        <v>1480000</v>
      </c>
      <c r="B143" s="6">
        <v>8350</v>
      </c>
      <c r="C143" s="10">
        <v>3850</v>
      </c>
      <c r="D143" s="8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/>
      <c r="K143" s="9"/>
      <c r="L143" s="9"/>
      <c r="M143" s="191">
        <v>0</v>
      </c>
      <c r="N143" s="191">
        <v>0</v>
      </c>
      <c r="O143" s="191">
        <v>0</v>
      </c>
      <c r="P143" s="191">
        <v>0</v>
      </c>
      <c r="Q143" s="191">
        <v>0</v>
      </c>
      <c r="R143" s="191">
        <v>0</v>
      </c>
      <c r="S143" s="191">
        <v>0</v>
      </c>
      <c r="T143" s="191">
        <v>0</v>
      </c>
      <c r="U143" s="191">
        <v>0</v>
      </c>
    </row>
    <row r="144" spans="1:21" x14ac:dyDescent="0.3">
      <c r="A144" s="195">
        <v>1485000</v>
      </c>
      <c r="B144" s="6">
        <v>8450</v>
      </c>
      <c r="C144" s="10">
        <v>3950</v>
      </c>
      <c r="D144" s="8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/>
      <c r="K144" s="9"/>
      <c r="L144" s="9"/>
      <c r="M144" s="191">
        <v>0</v>
      </c>
      <c r="N144" s="191">
        <v>0</v>
      </c>
      <c r="O144" s="191">
        <v>0</v>
      </c>
      <c r="P144" s="191">
        <v>0</v>
      </c>
      <c r="Q144" s="191">
        <v>0</v>
      </c>
      <c r="R144" s="191">
        <v>0</v>
      </c>
      <c r="S144" s="191">
        <v>0</v>
      </c>
      <c r="T144" s="191">
        <v>0</v>
      </c>
      <c r="U144" s="191">
        <v>0</v>
      </c>
    </row>
    <row r="145" spans="1:21" x14ac:dyDescent="0.3">
      <c r="A145" s="195">
        <v>1490000</v>
      </c>
      <c r="B145" s="6">
        <v>8560</v>
      </c>
      <c r="C145" s="10">
        <v>4060</v>
      </c>
      <c r="D145" s="8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/>
      <c r="K145" s="9"/>
      <c r="L145" s="9"/>
      <c r="M145" s="191">
        <v>0</v>
      </c>
      <c r="N145" s="191">
        <v>0</v>
      </c>
      <c r="O145" s="191">
        <v>0</v>
      </c>
      <c r="P145" s="191">
        <v>0</v>
      </c>
      <c r="Q145" s="191">
        <v>0</v>
      </c>
      <c r="R145" s="191">
        <v>0</v>
      </c>
      <c r="S145" s="191">
        <v>0</v>
      </c>
      <c r="T145" s="191">
        <v>0</v>
      </c>
      <c r="U145" s="191">
        <v>0</v>
      </c>
    </row>
    <row r="146" spans="1:21" x14ac:dyDescent="0.3">
      <c r="A146" s="195">
        <v>1495000</v>
      </c>
      <c r="B146" s="6">
        <v>8660</v>
      </c>
      <c r="C146" s="10">
        <v>4160</v>
      </c>
      <c r="D146" s="8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/>
      <c r="K146" s="9"/>
      <c r="L146" s="9"/>
      <c r="M146" s="191">
        <v>0</v>
      </c>
      <c r="N146" s="191">
        <v>0</v>
      </c>
      <c r="O146" s="191">
        <v>0</v>
      </c>
      <c r="P146" s="191">
        <v>0</v>
      </c>
      <c r="Q146" s="191">
        <v>0</v>
      </c>
      <c r="R146" s="191">
        <v>0</v>
      </c>
      <c r="S146" s="191">
        <v>0</v>
      </c>
      <c r="T146" s="191">
        <v>0</v>
      </c>
      <c r="U146" s="191">
        <v>0</v>
      </c>
    </row>
    <row r="147" spans="1:21" x14ac:dyDescent="0.3">
      <c r="A147" s="195">
        <v>1500000</v>
      </c>
      <c r="B147" s="6">
        <v>8760</v>
      </c>
      <c r="C147" s="10">
        <v>4260</v>
      </c>
      <c r="D147" s="8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/>
      <c r="K147" s="9"/>
      <c r="L147" s="9"/>
      <c r="M147" s="191">
        <v>0</v>
      </c>
      <c r="N147" s="191">
        <v>0</v>
      </c>
      <c r="O147" s="191">
        <v>0</v>
      </c>
      <c r="P147" s="191">
        <v>0</v>
      </c>
      <c r="Q147" s="191">
        <v>0</v>
      </c>
      <c r="R147" s="191">
        <v>0</v>
      </c>
      <c r="S147" s="191">
        <v>0</v>
      </c>
      <c r="T147" s="191">
        <v>0</v>
      </c>
      <c r="U147" s="191">
        <v>0</v>
      </c>
    </row>
    <row r="148" spans="1:21" x14ac:dyDescent="0.3">
      <c r="A148" s="195">
        <v>1510000</v>
      </c>
      <c r="B148" s="6">
        <v>8920</v>
      </c>
      <c r="C148" s="10">
        <v>4420</v>
      </c>
      <c r="D148" s="8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/>
      <c r="K148" s="9"/>
      <c r="L148" s="9"/>
      <c r="M148" s="191">
        <v>0</v>
      </c>
      <c r="N148" s="191">
        <v>0</v>
      </c>
      <c r="O148" s="191">
        <v>0</v>
      </c>
      <c r="P148" s="191">
        <v>0</v>
      </c>
      <c r="Q148" s="191">
        <v>0</v>
      </c>
      <c r="R148" s="191">
        <v>0</v>
      </c>
      <c r="S148" s="191">
        <v>0</v>
      </c>
      <c r="T148" s="191">
        <v>0</v>
      </c>
      <c r="U148" s="191">
        <v>0</v>
      </c>
    </row>
    <row r="149" spans="1:21" x14ac:dyDescent="0.3">
      <c r="A149" s="195">
        <v>1520000</v>
      </c>
      <c r="B149" s="6">
        <v>9120</v>
      </c>
      <c r="C149" s="10">
        <v>4620</v>
      </c>
      <c r="D149" s="8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/>
      <c r="K149" s="9"/>
      <c r="L149" s="9"/>
      <c r="M149" s="191">
        <v>0</v>
      </c>
      <c r="N149" s="191">
        <v>0</v>
      </c>
      <c r="O149" s="191">
        <v>0</v>
      </c>
      <c r="P149" s="191">
        <v>0</v>
      </c>
      <c r="Q149" s="191">
        <v>0</v>
      </c>
      <c r="R149" s="191">
        <v>0</v>
      </c>
      <c r="S149" s="191">
        <v>0</v>
      </c>
      <c r="T149" s="191">
        <v>0</v>
      </c>
      <c r="U149" s="191">
        <v>0</v>
      </c>
    </row>
    <row r="150" spans="1:21" x14ac:dyDescent="0.3">
      <c r="A150" s="195">
        <v>1530000</v>
      </c>
      <c r="B150" s="6">
        <v>9330</v>
      </c>
      <c r="C150" s="10">
        <v>4830</v>
      </c>
      <c r="D150" s="8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/>
      <c r="K150" s="9"/>
      <c r="L150" s="9"/>
      <c r="M150" s="191">
        <v>0</v>
      </c>
      <c r="N150" s="191">
        <v>0</v>
      </c>
      <c r="O150" s="191">
        <v>0</v>
      </c>
      <c r="P150" s="191">
        <v>0</v>
      </c>
      <c r="Q150" s="191">
        <v>0</v>
      </c>
      <c r="R150" s="191">
        <v>0</v>
      </c>
      <c r="S150" s="191">
        <v>0</v>
      </c>
      <c r="T150" s="191">
        <v>0</v>
      </c>
      <c r="U150" s="191">
        <v>0</v>
      </c>
    </row>
    <row r="151" spans="1:21" x14ac:dyDescent="0.3">
      <c r="A151" s="195">
        <v>1540000</v>
      </c>
      <c r="B151" s="6">
        <v>9540</v>
      </c>
      <c r="C151" s="10">
        <v>5040</v>
      </c>
      <c r="D151" s="8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/>
      <c r="K151" s="9"/>
      <c r="L151" s="9"/>
      <c r="M151" s="191">
        <v>0</v>
      </c>
      <c r="N151" s="191">
        <v>0</v>
      </c>
      <c r="O151" s="191">
        <v>0</v>
      </c>
      <c r="P151" s="191">
        <v>0</v>
      </c>
      <c r="Q151" s="191">
        <v>0</v>
      </c>
      <c r="R151" s="191">
        <v>0</v>
      </c>
      <c r="S151" s="191">
        <v>0</v>
      </c>
      <c r="T151" s="191">
        <v>0</v>
      </c>
      <c r="U151" s="191">
        <v>0</v>
      </c>
    </row>
    <row r="152" spans="1:21" x14ac:dyDescent="0.3">
      <c r="A152" s="195">
        <v>1550000</v>
      </c>
      <c r="B152" s="6">
        <v>9740</v>
      </c>
      <c r="C152" s="10">
        <v>5240</v>
      </c>
      <c r="D152" s="8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/>
      <c r="K152" s="9"/>
      <c r="L152" s="9"/>
      <c r="M152" s="191">
        <v>0</v>
      </c>
      <c r="N152" s="191">
        <v>0</v>
      </c>
      <c r="O152" s="191">
        <v>0</v>
      </c>
      <c r="P152" s="191">
        <v>0</v>
      </c>
      <c r="Q152" s="191">
        <v>0</v>
      </c>
      <c r="R152" s="191">
        <v>0</v>
      </c>
      <c r="S152" s="191">
        <v>0</v>
      </c>
      <c r="T152" s="191">
        <v>0</v>
      </c>
      <c r="U152" s="191">
        <v>0</v>
      </c>
    </row>
    <row r="153" spans="1:21" x14ac:dyDescent="0.3">
      <c r="A153" s="195">
        <v>1560000</v>
      </c>
      <c r="B153" s="6">
        <v>9950</v>
      </c>
      <c r="C153" s="10">
        <v>5450</v>
      </c>
      <c r="D153" s="8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/>
      <c r="K153" s="9"/>
      <c r="L153" s="9"/>
      <c r="M153" s="191">
        <v>0</v>
      </c>
      <c r="N153" s="191">
        <v>0</v>
      </c>
      <c r="O153" s="191">
        <v>0</v>
      </c>
      <c r="P153" s="191">
        <v>0</v>
      </c>
      <c r="Q153" s="191">
        <v>0</v>
      </c>
      <c r="R153" s="191">
        <v>0</v>
      </c>
      <c r="S153" s="191">
        <v>0</v>
      </c>
      <c r="T153" s="191">
        <v>0</v>
      </c>
      <c r="U153" s="191">
        <v>0</v>
      </c>
    </row>
    <row r="154" spans="1:21" x14ac:dyDescent="0.3">
      <c r="A154" s="195">
        <v>1570000</v>
      </c>
      <c r="B154" s="6">
        <v>10160</v>
      </c>
      <c r="C154" s="10">
        <v>5660</v>
      </c>
      <c r="D154" s="8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/>
      <c r="K154" s="9"/>
      <c r="L154" s="9"/>
      <c r="M154" s="191">
        <v>0</v>
      </c>
      <c r="N154" s="191">
        <v>0</v>
      </c>
      <c r="O154" s="191">
        <v>0</v>
      </c>
      <c r="P154" s="191">
        <v>0</v>
      </c>
      <c r="Q154" s="191">
        <v>0</v>
      </c>
      <c r="R154" s="191">
        <v>0</v>
      </c>
      <c r="S154" s="191">
        <v>0</v>
      </c>
      <c r="T154" s="191">
        <v>0</v>
      </c>
      <c r="U154" s="191">
        <v>0</v>
      </c>
    </row>
    <row r="155" spans="1:21" x14ac:dyDescent="0.3">
      <c r="A155" s="195">
        <v>1580000</v>
      </c>
      <c r="B155" s="6">
        <v>10360</v>
      </c>
      <c r="C155" s="10">
        <v>5860</v>
      </c>
      <c r="D155" s="8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/>
      <c r="K155" s="9"/>
      <c r="L155" s="9"/>
      <c r="M155" s="191">
        <v>0</v>
      </c>
      <c r="N155" s="191">
        <v>0</v>
      </c>
      <c r="O155" s="191">
        <v>0</v>
      </c>
      <c r="P155" s="191">
        <v>0</v>
      </c>
      <c r="Q155" s="191">
        <v>0</v>
      </c>
      <c r="R155" s="191">
        <v>0</v>
      </c>
      <c r="S155" s="191">
        <v>0</v>
      </c>
      <c r="T155" s="191">
        <v>0</v>
      </c>
      <c r="U155" s="191">
        <v>0</v>
      </c>
    </row>
    <row r="156" spans="1:21" x14ac:dyDescent="0.3">
      <c r="A156" s="195">
        <v>1590000</v>
      </c>
      <c r="B156" s="6">
        <v>10570</v>
      </c>
      <c r="C156" s="10">
        <v>6070</v>
      </c>
      <c r="D156" s="8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/>
      <c r="K156" s="9"/>
      <c r="L156" s="9"/>
      <c r="M156" s="191">
        <v>0</v>
      </c>
      <c r="N156" s="191">
        <v>0</v>
      </c>
      <c r="O156" s="191">
        <v>0</v>
      </c>
      <c r="P156" s="191">
        <v>0</v>
      </c>
      <c r="Q156" s="191">
        <v>0</v>
      </c>
      <c r="R156" s="191">
        <v>0</v>
      </c>
      <c r="S156" s="191">
        <v>0</v>
      </c>
      <c r="T156" s="191">
        <v>0</v>
      </c>
      <c r="U156" s="191">
        <v>0</v>
      </c>
    </row>
    <row r="157" spans="1:21" x14ac:dyDescent="0.3">
      <c r="A157" s="195">
        <v>1600000</v>
      </c>
      <c r="B157" s="6">
        <v>10780</v>
      </c>
      <c r="C157" s="10">
        <v>6280</v>
      </c>
      <c r="D157" s="8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/>
      <c r="K157" s="9"/>
      <c r="L157" s="9"/>
      <c r="M157" s="191">
        <v>0</v>
      </c>
      <c r="N157" s="191">
        <v>0</v>
      </c>
      <c r="O157" s="191">
        <v>0</v>
      </c>
      <c r="P157" s="191">
        <v>0</v>
      </c>
      <c r="Q157" s="191">
        <v>0</v>
      </c>
      <c r="R157" s="191">
        <v>0</v>
      </c>
      <c r="S157" s="191">
        <v>0</v>
      </c>
      <c r="T157" s="191">
        <v>0</v>
      </c>
      <c r="U157" s="191">
        <v>0</v>
      </c>
    </row>
    <row r="158" spans="1:21" x14ac:dyDescent="0.3">
      <c r="A158" s="195">
        <v>1610000</v>
      </c>
      <c r="B158" s="6">
        <v>10980</v>
      </c>
      <c r="C158" s="10">
        <v>6480</v>
      </c>
      <c r="D158" s="8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/>
      <c r="K158" s="9"/>
      <c r="L158" s="9"/>
      <c r="M158" s="191">
        <v>0</v>
      </c>
      <c r="N158" s="191">
        <v>0</v>
      </c>
      <c r="O158" s="191">
        <v>0</v>
      </c>
      <c r="P158" s="191">
        <v>0</v>
      </c>
      <c r="Q158" s="191">
        <v>0</v>
      </c>
      <c r="R158" s="191">
        <v>0</v>
      </c>
      <c r="S158" s="191">
        <v>0</v>
      </c>
      <c r="T158" s="191">
        <v>0</v>
      </c>
      <c r="U158" s="191">
        <v>0</v>
      </c>
    </row>
    <row r="159" spans="1:21" x14ac:dyDescent="0.3">
      <c r="A159" s="195">
        <v>1620000</v>
      </c>
      <c r="B159" s="6">
        <v>11190</v>
      </c>
      <c r="C159" s="10">
        <v>6690</v>
      </c>
      <c r="D159" s="8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/>
      <c r="K159" s="9"/>
      <c r="L159" s="9"/>
      <c r="M159" s="191">
        <v>0</v>
      </c>
      <c r="N159" s="191">
        <v>0</v>
      </c>
      <c r="O159" s="191">
        <v>0</v>
      </c>
      <c r="P159" s="191">
        <v>0</v>
      </c>
      <c r="Q159" s="191">
        <v>0</v>
      </c>
      <c r="R159" s="191">
        <v>0</v>
      </c>
      <c r="S159" s="191">
        <v>0</v>
      </c>
      <c r="T159" s="191">
        <v>0</v>
      </c>
      <c r="U159" s="191">
        <v>0</v>
      </c>
    </row>
    <row r="160" spans="1:21" x14ac:dyDescent="0.3">
      <c r="A160" s="195">
        <v>1630000</v>
      </c>
      <c r="B160" s="6">
        <v>11400</v>
      </c>
      <c r="C160" s="10">
        <v>6900</v>
      </c>
      <c r="D160" s="8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/>
      <c r="K160" s="9"/>
      <c r="L160" s="9"/>
      <c r="M160" s="191">
        <v>0</v>
      </c>
      <c r="N160" s="191">
        <v>0</v>
      </c>
      <c r="O160" s="191">
        <v>0</v>
      </c>
      <c r="P160" s="191">
        <v>0</v>
      </c>
      <c r="Q160" s="191">
        <v>0</v>
      </c>
      <c r="R160" s="191">
        <v>0</v>
      </c>
      <c r="S160" s="191">
        <v>0</v>
      </c>
      <c r="T160" s="191">
        <v>0</v>
      </c>
      <c r="U160" s="191">
        <v>0</v>
      </c>
    </row>
    <row r="161" spans="1:21" x14ac:dyDescent="0.3">
      <c r="A161" s="195">
        <v>1640000</v>
      </c>
      <c r="B161" s="6">
        <v>11600</v>
      </c>
      <c r="C161" s="10">
        <v>7100</v>
      </c>
      <c r="D161" s="8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/>
      <c r="K161" s="9"/>
      <c r="L161" s="9"/>
      <c r="M161" s="191">
        <v>0</v>
      </c>
      <c r="N161" s="191">
        <v>0</v>
      </c>
      <c r="O161" s="191">
        <v>0</v>
      </c>
      <c r="P161" s="191">
        <v>0</v>
      </c>
      <c r="Q161" s="191">
        <v>0</v>
      </c>
      <c r="R161" s="191">
        <v>0</v>
      </c>
      <c r="S161" s="191">
        <v>0</v>
      </c>
      <c r="T161" s="191">
        <v>0</v>
      </c>
      <c r="U161" s="191">
        <v>0</v>
      </c>
    </row>
    <row r="162" spans="1:21" x14ac:dyDescent="0.3">
      <c r="A162" s="195">
        <v>1650000</v>
      </c>
      <c r="B162" s="6">
        <v>11810</v>
      </c>
      <c r="C162" s="10">
        <v>7310</v>
      </c>
      <c r="D162" s="8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/>
      <c r="K162" s="9"/>
      <c r="L162" s="9"/>
      <c r="M162" s="191">
        <v>0</v>
      </c>
      <c r="N162" s="191">
        <v>0</v>
      </c>
      <c r="O162" s="191">
        <v>0</v>
      </c>
      <c r="P162" s="191">
        <v>0</v>
      </c>
      <c r="Q162" s="191">
        <v>0</v>
      </c>
      <c r="R162" s="191">
        <v>0</v>
      </c>
      <c r="S162" s="191">
        <v>0</v>
      </c>
      <c r="T162" s="191">
        <v>0</v>
      </c>
      <c r="U162" s="191">
        <v>0</v>
      </c>
    </row>
    <row r="163" spans="1:21" x14ac:dyDescent="0.3">
      <c r="A163" s="195">
        <v>1660000</v>
      </c>
      <c r="B163" s="6">
        <v>12020</v>
      </c>
      <c r="C163" s="10">
        <v>7520</v>
      </c>
      <c r="D163" s="8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/>
      <c r="K163" s="9"/>
      <c r="L163" s="9"/>
      <c r="M163" s="191">
        <v>0</v>
      </c>
      <c r="N163" s="191">
        <v>0</v>
      </c>
      <c r="O163" s="191">
        <v>0</v>
      </c>
      <c r="P163" s="191">
        <v>0</v>
      </c>
      <c r="Q163" s="191">
        <v>0</v>
      </c>
      <c r="R163" s="191">
        <v>0</v>
      </c>
      <c r="S163" s="191">
        <v>0</v>
      </c>
      <c r="T163" s="191">
        <v>0</v>
      </c>
      <c r="U163" s="191">
        <v>0</v>
      </c>
    </row>
    <row r="164" spans="1:21" x14ac:dyDescent="0.3">
      <c r="A164" s="195">
        <v>1670000</v>
      </c>
      <c r="B164" s="6">
        <v>12220</v>
      </c>
      <c r="C164" s="10">
        <v>7720</v>
      </c>
      <c r="D164" s="8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/>
      <c r="K164" s="9"/>
      <c r="L164" s="9"/>
      <c r="M164" s="191">
        <v>0</v>
      </c>
      <c r="N164" s="191">
        <v>0</v>
      </c>
      <c r="O164" s="191">
        <v>0</v>
      </c>
      <c r="P164" s="191">
        <v>0</v>
      </c>
      <c r="Q164" s="191">
        <v>0</v>
      </c>
      <c r="R164" s="191">
        <v>0</v>
      </c>
      <c r="S164" s="191">
        <v>0</v>
      </c>
      <c r="T164" s="191">
        <v>0</v>
      </c>
      <c r="U164" s="191">
        <v>0</v>
      </c>
    </row>
    <row r="165" spans="1:21" x14ac:dyDescent="0.3">
      <c r="A165" s="195">
        <v>1680000</v>
      </c>
      <c r="B165" s="6">
        <v>12430</v>
      </c>
      <c r="C165" s="10">
        <v>7930</v>
      </c>
      <c r="D165" s="8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/>
      <c r="K165" s="9"/>
      <c r="L165" s="9"/>
      <c r="M165" s="191">
        <v>0</v>
      </c>
      <c r="N165" s="191">
        <v>0</v>
      </c>
      <c r="O165" s="191">
        <v>0</v>
      </c>
      <c r="P165" s="191">
        <v>0</v>
      </c>
      <c r="Q165" s="191">
        <v>0</v>
      </c>
      <c r="R165" s="191">
        <v>0</v>
      </c>
      <c r="S165" s="191">
        <v>0</v>
      </c>
      <c r="T165" s="191">
        <v>0</v>
      </c>
      <c r="U165" s="191">
        <v>0</v>
      </c>
    </row>
    <row r="166" spans="1:21" x14ac:dyDescent="0.3">
      <c r="A166" s="195">
        <v>1690000</v>
      </c>
      <c r="B166" s="6">
        <v>12640</v>
      </c>
      <c r="C166" s="10">
        <v>8140</v>
      </c>
      <c r="D166" s="8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/>
      <c r="K166" s="9"/>
      <c r="L166" s="9"/>
      <c r="M166" s="191">
        <v>0</v>
      </c>
      <c r="N166" s="191">
        <v>0</v>
      </c>
      <c r="O166" s="191">
        <v>0</v>
      </c>
      <c r="P166" s="191">
        <v>0</v>
      </c>
      <c r="Q166" s="191">
        <v>0</v>
      </c>
      <c r="R166" s="191">
        <v>0</v>
      </c>
      <c r="S166" s="191">
        <v>0</v>
      </c>
      <c r="T166" s="191">
        <v>0</v>
      </c>
      <c r="U166" s="191">
        <v>0</v>
      </c>
    </row>
    <row r="167" spans="1:21" x14ac:dyDescent="0.3">
      <c r="A167" s="195">
        <v>1700000</v>
      </c>
      <c r="B167" s="6">
        <v>12840</v>
      </c>
      <c r="C167" s="10">
        <v>8340</v>
      </c>
      <c r="D167" s="8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/>
      <c r="K167" s="9"/>
      <c r="L167" s="9"/>
      <c r="M167" s="191">
        <v>0</v>
      </c>
      <c r="N167" s="191">
        <v>0</v>
      </c>
      <c r="O167" s="191">
        <v>0</v>
      </c>
      <c r="P167" s="191">
        <v>0</v>
      </c>
      <c r="Q167" s="191">
        <v>0</v>
      </c>
      <c r="R167" s="191">
        <v>0</v>
      </c>
      <c r="S167" s="191">
        <v>0</v>
      </c>
      <c r="T167" s="191">
        <v>0</v>
      </c>
      <c r="U167" s="191">
        <v>0</v>
      </c>
    </row>
    <row r="168" spans="1:21" x14ac:dyDescent="0.3">
      <c r="A168" s="195">
        <v>1710000</v>
      </c>
      <c r="B168" s="6">
        <v>13050</v>
      </c>
      <c r="C168" s="10">
        <v>8550</v>
      </c>
      <c r="D168" s="8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/>
      <c r="K168" s="9"/>
      <c r="L168" s="9"/>
      <c r="M168" s="191">
        <v>0</v>
      </c>
      <c r="N168" s="191">
        <v>0</v>
      </c>
      <c r="O168" s="191">
        <v>0</v>
      </c>
      <c r="P168" s="191">
        <v>0</v>
      </c>
      <c r="Q168" s="191">
        <v>0</v>
      </c>
      <c r="R168" s="191">
        <v>0</v>
      </c>
      <c r="S168" s="191">
        <v>0</v>
      </c>
      <c r="T168" s="191">
        <v>0</v>
      </c>
      <c r="U168" s="191">
        <v>0</v>
      </c>
    </row>
    <row r="169" spans="1:21" x14ac:dyDescent="0.3">
      <c r="A169" s="195">
        <v>1720000</v>
      </c>
      <c r="B169" s="6">
        <v>13260</v>
      </c>
      <c r="C169" s="10">
        <v>8760</v>
      </c>
      <c r="D169" s="11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/>
      <c r="K169" s="9"/>
      <c r="L169" s="9"/>
      <c r="M169" s="191">
        <v>0</v>
      </c>
      <c r="N169" s="191">
        <v>0</v>
      </c>
      <c r="O169" s="191">
        <v>0</v>
      </c>
      <c r="P169" s="191">
        <v>0</v>
      </c>
      <c r="Q169" s="191">
        <v>0</v>
      </c>
      <c r="R169" s="191">
        <v>0</v>
      </c>
      <c r="S169" s="191">
        <v>0</v>
      </c>
      <c r="T169" s="191">
        <v>0</v>
      </c>
      <c r="U169" s="191">
        <v>0</v>
      </c>
    </row>
    <row r="170" spans="1:21" x14ac:dyDescent="0.3">
      <c r="A170" s="195">
        <v>1730000</v>
      </c>
      <c r="B170" s="6">
        <v>13460</v>
      </c>
      <c r="C170" s="10">
        <v>8960</v>
      </c>
      <c r="D170" s="11">
        <v>1040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/>
      <c r="K170" s="9"/>
      <c r="L170" s="9"/>
      <c r="M170" s="191">
        <v>0</v>
      </c>
      <c r="N170" s="191">
        <v>0</v>
      </c>
      <c r="O170" s="191">
        <v>0</v>
      </c>
      <c r="P170" s="191">
        <v>0</v>
      </c>
      <c r="Q170" s="191">
        <v>0</v>
      </c>
      <c r="R170" s="191">
        <v>0</v>
      </c>
      <c r="S170" s="191">
        <v>0</v>
      </c>
      <c r="T170" s="191">
        <v>0</v>
      </c>
      <c r="U170" s="191">
        <v>0</v>
      </c>
    </row>
    <row r="171" spans="1:21" x14ac:dyDescent="0.3">
      <c r="A171" s="195">
        <v>1740000</v>
      </c>
      <c r="B171" s="6">
        <v>13670</v>
      </c>
      <c r="C171" s="10">
        <v>9170</v>
      </c>
      <c r="D171" s="11">
        <v>1240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/>
      <c r="K171" s="9"/>
      <c r="L171" s="9"/>
      <c r="M171" s="191">
        <v>0</v>
      </c>
      <c r="N171" s="191">
        <v>0</v>
      </c>
      <c r="O171" s="191">
        <v>0</v>
      </c>
      <c r="P171" s="191">
        <v>0</v>
      </c>
      <c r="Q171" s="191">
        <v>0</v>
      </c>
      <c r="R171" s="191">
        <v>0</v>
      </c>
      <c r="S171" s="191">
        <v>0</v>
      </c>
      <c r="T171" s="191">
        <v>0</v>
      </c>
      <c r="U171" s="191">
        <v>0</v>
      </c>
    </row>
    <row r="172" spans="1:21" x14ac:dyDescent="0.3">
      <c r="A172" s="195">
        <v>1750000</v>
      </c>
      <c r="B172" s="6">
        <v>13880</v>
      </c>
      <c r="C172" s="10">
        <v>9380</v>
      </c>
      <c r="D172" s="11">
        <v>1440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/>
      <c r="K172" s="9"/>
      <c r="L172" s="9"/>
      <c r="M172" s="191">
        <v>0</v>
      </c>
      <c r="N172" s="191">
        <v>0</v>
      </c>
      <c r="O172" s="191">
        <v>0</v>
      </c>
      <c r="P172" s="191">
        <v>0</v>
      </c>
      <c r="Q172" s="191">
        <v>0</v>
      </c>
      <c r="R172" s="191">
        <v>0</v>
      </c>
      <c r="S172" s="191">
        <v>0</v>
      </c>
      <c r="T172" s="191">
        <v>0</v>
      </c>
      <c r="U172" s="191">
        <v>0</v>
      </c>
    </row>
    <row r="173" spans="1:21" x14ac:dyDescent="0.3">
      <c r="A173" s="195">
        <v>1760000</v>
      </c>
      <c r="B173" s="6">
        <v>14080</v>
      </c>
      <c r="C173" s="10">
        <v>9580</v>
      </c>
      <c r="D173" s="11">
        <v>1640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/>
      <c r="K173" s="9"/>
      <c r="L173" s="9"/>
      <c r="M173" s="191">
        <v>0</v>
      </c>
      <c r="N173" s="191">
        <v>0</v>
      </c>
      <c r="O173" s="191">
        <v>0</v>
      </c>
      <c r="P173" s="191">
        <v>0</v>
      </c>
      <c r="Q173" s="191">
        <v>0</v>
      </c>
      <c r="R173" s="191">
        <v>0</v>
      </c>
      <c r="S173" s="191">
        <v>0</v>
      </c>
      <c r="T173" s="191">
        <v>0</v>
      </c>
      <c r="U173" s="191">
        <v>0</v>
      </c>
    </row>
    <row r="174" spans="1:21" x14ac:dyDescent="0.3">
      <c r="A174" s="195">
        <v>1770000</v>
      </c>
      <c r="B174" s="6">
        <v>14290</v>
      </c>
      <c r="C174" s="10">
        <v>9790</v>
      </c>
      <c r="D174" s="11">
        <v>1830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/>
      <c r="K174" s="9"/>
      <c r="L174" s="9"/>
      <c r="M174" s="191">
        <v>0</v>
      </c>
      <c r="N174" s="191">
        <v>0</v>
      </c>
      <c r="O174" s="191">
        <v>0</v>
      </c>
      <c r="P174" s="191">
        <v>0</v>
      </c>
      <c r="Q174" s="191">
        <v>0</v>
      </c>
      <c r="R174" s="191">
        <v>0</v>
      </c>
      <c r="S174" s="191">
        <v>0</v>
      </c>
      <c r="T174" s="191">
        <v>0</v>
      </c>
      <c r="U174" s="191">
        <v>0</v>
      </c>
    </row>
    <row r="175" spans="1:21" x14ac:dyDescent="0.3">
      <c r="A175" s="195">
        <v>1780000</v>
      </c>
      <c r="B175" s="6">
        <v>14500</v>
      </c>
      <c r="C175" s="10">
        <v>10000</v>
      </c>
      <c r="D175" s="11">
        <v>2030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/>
      <c r="K175" s="9"/>
      <c r="L175" s="9"/>
      <c r="M175" s="191">
        <v>0</v>
      </c>
      <c r="N175" s="191">
        <v>0</v>
      </c>
      <c r="O175" s="191">
        <v>0</v>
      </c>
      <c r="P175" s="191">
        <v>0</v>
      </c>
      <c r="Q175" s="191">
        <v>0</v>
      </c>
      <c r="R175" s="191">
        <v>0</v>
      </c>
      <c r="S175" s="191">
        <v>0</v>
      </c>
      <c r="T175" s="191">
        <v>0</v>
      </c>
      <c r="U175" s="191">
        <v>0</v>
      </c>
    </row>
    <row r="176" spans="1:21" x14ac:dyDescent="0.3">
      <c r="A176" s="195">
        <v>1790000</v>
      </c>
      <c r="B176" s="6">
        <v>14700</v>
      </c>
      <c r="C176" s="10">
        <v>10200</v>
      </c>
      <c r="D176" s="11">
        <v>2230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/>
      <c r="K176" s="9"/>
      <c r="L176" s="9"/>
      <c r="M176" s="191">
        <v>0</v>
      </c>
      <c r="N176" s="191">
        <v>0</v>
      </c>
      <c r="O176" s="191">
        <v>0</v>
      </c>
      <c r="P176" s="191">
        <v>0</v>
      </c>
      <c r="Q176" s="191">
        <v>0</v>
      </c>
      <c r="R176" s="191">
        <v>0</v>
      </c>
      <c r="S176" s="191">
        <v>0</v>
      </c>
      <c r="T176" s="191">
        <v>0</v>
      </c>
      <c r="U176" s="191">
        <v>0</v>
      </c>
    </row>
    <row r="177" spans="1:21" x14ac:dyDescent="0.3">
      <c r="A177" s="195">
        <v>1800000</v>
      </c>
      <c r="B177" s="6">
        <v>14910</v>
      </c>
      <c r="C177" s="10">
        <v>10410</v>
      </c>
      <c r="D177" s="11">
        <v>2430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/>
      <c r="K177" s="9"/>
      <c r="L177" s="9"/>
      <c r="M177" s="191">
        <v>0</v>
      </c>
      <c r="N177" s="191">
        <v>0</v>
      </c>
      <c r="O177" s="191">
        <v>0</v>
      </c>
      <c r="P177" s="191">
        <v>0</v>
      </c>
      <c r="Q177" s="191">
        <v>0</v>
      </c>
      <c r="R177" s="191">
        <v>0</v>
      </c>
      <c r="S177" s="191">
        <v>0</v>
      </c>
      <c r="T177" s="191">
        <v>0</v>
      </c>
      <c r="U177" s="191">
        <v>0</v>
      </c>
    </row>
    <row r="178" spans="1:21" x14ac:dyDescent="0.3">
      <c r="A178" s="195">
        <v>1810000</v>
      </c>
      <c r="B178" s="6">
        <v>15110</v>
      </c>
      <c r="C178" s="10">
        <v>10610</v>
      </c>
      <c r="D178" s="11">
        <v>2630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/>
      <c r="K178" s="9"/>
      <c r="L178" s="9"/>
      <c r="M178" s="191">
        <v>0</v>
      </c>
      <c r="N178" s="191">
        <v>0</v>
      </c>
      <c r="O178" s="191">
        <v>0</v>
      </c>
      <c r="P178" s="191">
        <v>0</v>
      </c>
      <c r="Q178" s="191">
        <v>0</v>
      </c>
      <c r="R178" s="191">
        <v>0</v>
      </c>
      <c r="S178" s="191">
        <v>0</v>
      </c>
      <c r="T178" s="191">
        <v>0</v>
      </c>
      <c r="U178" s="191">
        <v>0</v>
      </c>
    </row>
    <row r="179" spans="1:21" x14ac:dyDescent="0.3">
      <c r="A179" s="195">
        <v>1820000</v>
      </c>
      <c r="B179" s="6">
        <v>15320</v>
      </c>
      <c r="C179" s="10">
        <v>10820</v>
      </c>
      <c r="D179" s="11">
        <v>2830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/>
      <c r="K179" s="9"/>
      <c r="L179" s="9"/>
      <c r="M179" s="191">
        <v>0</v>
      </c>
      <c r="N179" s="191">
        <v>0</v>
      </c>
      <c r="O179" s="191">
        <v>0</v>
      </c>
      <c r="P179" s="191">
        <v>0</v>
      </c>
      <c r="Q179" s="191">
        <v>0</v>
      </c>
      <c r="R179" s="191">
        <v>0</v>
      </c>
      <c r="S179" s="191">
        <v>0</v>
      </c>
      <c r="T179" s="191">
        <v>0</v>
      </c>
      <c r="U179" s="191">
        <v>0</v>
      </c>
    </row>
    <row r="180" spans="1:21" x14ac:dyDescent="0.3">
      <c r="A180" s="195">
        <v>1830000</v>
      </c>
      <c r="B180" s="6">
        <v>15530</v>
      </c>
      <c r="C180" s="10">
        <v>11030</v>
      </c>
      <c r="D180" s="11">
        <v>3020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/>
      <c r="K180" s="9"/>
      <c r="L180" s="9"/>
      <c r="M180" s="191">
        <v>0</v>
      </c>
      <c r="N180" s="191">
        <v>0</v>
      </c>
      <c r="O180" s="191">
        <v>0</v>
      </c>
      <c r="P180" s="191">
        <v>0</v>
      </c>
      <c r="Q180" s="191">
        <v>0</v>
      </c>
      <c r="R180" s="191">
        <v>0</v>
      </c>
      <c r="S180" s="191">
        <v>0</v>
      </c>
      <c r="T180" s="191">
        <v>0</v>
      </c>
      <c r="U180" s="191">
        <v>0</v>
      </c>
    </row>
    <row r="181" spans="1:21" x14ac:dyDescent="0.3">
      <c r="A181" s="195">
        <v>1840000</v>
      </c>
      <c r="B181" s="6">
        <v>15730</v>
      </c>
      <c r="C181" s="10">
        <v>11230</v>
      </c>
      <c r="D181" s="11">
        <v>3220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/>
      <c r="K181" s="9"/>
      <c r="L181" s="9"/>
      <c r="M181" s="191">
        <v>0</v>
      </c>
      <c r="N181" s="191">
        <v>0</v>
      </c>
      <c r="O181" s="191">
        <v>0</v>
      </c>
      <c r="P181" s="191">
        <v>0</v>
      </c>
      <c r="Q181" s="191">
        <v>0</v>
      </c>
      <c r="R181" s="191">
        <v>0</v>
      </c>
      <c r="S181" s="191">
        <v>0</v>
      </c>
      <c r="T181" s="191">
        <v>0</v>
      </c>
      <c r="U181" s="191">
        <v>0</v>
      </c>
    </row>
    <row r="182" spans="1:21" x14ac:dyDescent="0.3">
      <c r="A182" s="195">
        <v>1850000</v>
      </c>
      <c r="B182" s="6">
        <v>15940</v>
      </c>
      <c r="C182" s="10">
        <v>11440</v>
      </c>
      <c r="D182" s="11">
        <v>3420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/>
      <c r="K182" s="9"/>
      <c r="L182" s="9"/>
      <c r="M182" s="191">
        <v>0</v>
      </c>
      <c r="N182" s="191">
        <v>0</v>
      </c>
      <c r="O182" s="191">
        <v>0</v>
      </c>
      <c r="P182" s="191">
        <v>0</v>
      </c>
      <c r="Q182" s="191">
        <v>0</v>
      </c>
      <c r="R182" s="191">
        <v>0</v>
      </c>
      <c r="S182" s="191">
        <v>0</v>
      </c>
      <c r="T182" s="191">
        <v>0</v>
      </c>
      <c r="U182" s="191">
        <v>0</v>
      </c>
    </row>
    <row r="183" spans="1:21" x14ac:dyDescent="0.3">
      <c r="A183" s="195">
        <v>1860000</v>
      </c>
      <c r="B183" s="6">
        <v>16150</v>
      </c>
      <c r="C183" s="10">
        <v>11650</v>
      </c>
      <c r="D183" s="11">
        <v>3620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/>
      <c r="K183" s="9"/>
      <c r="L183" s="9"/>
      <c r="M183" s="191">
        <v>0</v>
      </c>
      <c r="N183" s="191">
        <v>0</v>
      </c>
      <c r="O183" s="191">
        <v>0</v>
      </c>
      <c r="P183" s="191">
        <v>0</v>
      </c>
      <c r="Q183" s="191">
        <v>0</v>
      </c>
      <c r="R183" s="191">
        <v>0</v>
      </c>
      <c r="S183" s="191">
        <v>0</v>
      </c>
      <c r="T183" s="191">
        <v>0</v>
      </c>
      <c r="U183" s="191">
        <v>0</v>
      </c>
    </row>
    <row r="184" spans="1:21" x14ac:dyDescent="0.3">
      <c r="A184" s="195">
        <v>1870000</v>
      </c>
      <c r="B184" s="6">
        <v>16350</v>
      </c>
      <c r="C184" s="10">
        <v>11850</v>
      </c>
      <c r="D184" s="11">
        <v>3820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/>
      <c r="K184" s="9"/>
      <c r="L184" s="9"/>
      <c r="M184" s="191">
        <v>0</v>
      </c>
      <c r="N184" s="191">
        <v>0</v>
      </c>
      <c r="O184" s="191">
        <v>0</v>
      </c>
      <c r="P184" s="191">
        <v>0</v>
      </c>
      <c r="Q184" s="191">
        <v>0</v>
      </c>
      <c r="R184" s="191">
        <v>0</v>
      </c>
      <c r="S184" s="191">
        <v>0</v>
      </c>
      <c r="T184" s="191">
        <v>0</v>
      </c>
      <c r="U184" s="191">
        <v>0</v>
      </c>
    </row>
    <row r="185" spans="1:21" x14ac:dyDescent="0.3">
      <c r="A185" s="195">
        <v>1880000</v>
      </c>
      <c r="B185" s="6">
        <v>16560</v>
      </c>
      <c r="C185" s="12">
        <v>12060</v>
      </c>
      <c r="D185" s="11">
        <v>4020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/>
      <c r="K185" s="9"/>
      <c r="L185" s="9"/>
      <c r="M185" s="191">
        <v>0</v>
      </c>
      <c r="N185" s="191">
        <v>0</v>
      </c>
      <c r="O185" s="191">
        <v>0</v>
      </c>
      <c r="P185" s="191">
        <v>0</v>
      </c>
      <c r="Q185" s="191">
        <v>0</v>
      </c>
      <c r="R185" s="191">
        <v>0</v>
      </c>
      <c r="S185" s="191">
        <v>0</v>
      </c>
      <c r="T185" s="191">
        <v>0</v>
      </c>
      <c r="U185" s="191">
        <v>0</v>
      </c>
    </row>
    <row r="186" spans="1:21" x14ac:dyDescent="0.3">
      <c r="A186" s="195">
        <v>1890000</v>
      </c>
      <c r="B186" s="6">
        <v>16770</v>
      </c>
      <c r="C186" s="10">
        <v>12270</v>
      </c>
      <c r="D186" s="11">
        <v>4220</v>
      </c>
      <c r="E186" s="6">
        <v>0</v>
      </c>
      <c r="F186" s="9">
        <v>0</v>
      </c>
      <c r="G186" s="9">
        <v>0</v>
      </c>
      <c r="H186" s="9">
        <v>0</v>
      </c>
      <c r="I186" s="9">
        <v>0</v>
      </c>
      <c r="J186" s="9"/>
      <c r="K186" s="9"/>
      <c r="L186" s="9"/>
      <c r="M186" s="191">
        <v>0</v>
      </c>
      <c r="N186" s="191">
        <v>0</v>
      </c>
      <c r="O186" s="191">
        <v>0</v>
      </c>
      <c r="P186" s="191">
        <v>0</v>
      </c>
      <c r="Q186" s="191">
        <v>0</v>
      </c>
      <c r="R186" s="191">
        <v>0</v>
      </c>
      <c r="S186" s="191">
        <v>0</v>
      </c>
      <c r="T186" s="191">
        <v>0</v>
      </c>
      <c r="U186" s="191">
        <v>0</v>
      </c>
    </row>
    <row r="187" spans="1:21" x14ac:dyDescent="0.3">
      <c r="A187" s="195">
        <v>1900000</v>
      </c>
      <c r="B187" s="6">
        <v>16970</v>
      </c>
      <c r="C187" s="10">
        <v>12470</v>
      </c>
      <c r="D187" s="11">
        <v>4410</v>
      </c>
      <c r="E187" s="6">
        <v>1040</v>
      </c>
      <c r="F187" s="9">
        <v>0</v>
      </c>
      <c r="G187" s="9">
        <v>0</v>
      </c>
      <c r="H187" s="9">
        <v>0</v>
      </c>
      <c r="I187" s="9">
        <v>0</v>
      </c>
      <c r="J187" s="9"/>
      <c r="K187" s="9"/>
      <c r="L187" s="9"/>
      <c r="M187" s="191">
        <v>0</v>
      </c>
      <c r="N187" s="191">
        <v>0</v>
      </c>
      <c r="O187" s="191">
        <v>0</v>
      </c>
      <c r="P187" s="191">
        <v>0</v>
      </c>
      <c r="Q187" s="191">
        <v>0</v>
      </c>
      <c r="R187" s="191">
        <v>0</v>
      </c>
      <c r="S187" s="191">
        <v>0</v>
      </c>
      <c r="T187" s="191">
        <v>0</v>
      </c>
      <c r="U187" s="191">
        <v>0</v>
      </c>
    </row>
    <row r="188" spans="1:21" x14ac:dyDescent="0.3">
      <c r="A188" s="195">
        <v>1910000</v>
      </c>
      <c r="B188" s="6">
        <v>17180</v>
      </c>
      <c r="C188" s="10">
        <v>12680</v>
      </c>
      <c r="D188" s="11">
        <v>4610</v>
      </c>
      <c r="E188" s="6">
        <v>1240</v>
      </c>
      <c r="F188" s="9">
        <v>0</v>
      </c>
      <c r="G188" s="9">
        <v>0</v>
      </c>
      <c r="H188" s="9">
        <v>0</v>
      </c>
      <c r="I188" s="9">
        <v>0</v>
      </c>
      <c r="J188" s="9"/>
      <c r="K188" s="9"/>
      <c r="L188" s="9"/>
      <c r="M188" s="191">
        <v>0</v>
      </c>
      <c r="N188" s="191">
        <v>0</v>
      </c>
      <c r="O188" s="191">
        <v>0</v>
      </c>
      <c r="P188" s="191">
        <v>0</v>
      </c>
      <c r="Q188" s="191">
        <v>0</v>
      </c>
      <c r="R188" s="191">
        <v>0</v>
      </c>
      <c r="S188" s="191">
        <v>0</v>
      </c>
      <c r="T188" s="191">
        <v>0</v>
      </c>
      <c r="U188" s="191">
        <v>0</v>
      </c>
    </row>
    <row r="189" spans="1:21" x14ac:dyDescent="0.3">
      <c r="A189" s="195">
        <v>1920000</v>
      </c>
      <c r="B189" s="6">
        <v>17390</v>
      </c>
      <c r="C189" s="10">
        <v>12890</v>
      </c>
      <c r="D189" s="11">
        <v>4810</v>
      </c>
      <c r="E189" s="6">
        <v>1440</v>
      </c>
      <c r="F189" s="9">
        <v>0</v>
      </c>
      <c r="G189" s="9">
        <v>0</v>
      </c>
      <c r="H189" s="9">
        <v>0</v>
      </c>
      <c r="I189" s="9">
        <v>0</v>
      </c>
      <c r="J189" s="9"/>
      <c r="K189" s="9"/>
      <c r="L189" s="9"/>
      <c r="M189" s="191">
        <v>0</v>
      </c>
      <c r="N189" s="191">
        <v>0</v>
      </c>
      <c r="O189" s="191">
        <v>0</v>
      </c>
      <c r="P189" s="191">
        <v>0</v>
      </c>
      <c r="Q189" s="191">
        <v>0</v>
      </c>
      <c r="R189" s="191">
        <v>0</v>
      </c>
      <c r="S189" s="191">
        <v>0</v>
      </c>
      <c r="T189" s="191">
        <v>0</v>
      </c>
      <c r="U189" s="191">
        <v>0</v>
      </c>
    </row>
    <row r="190" spans="1:21" x14ac:dyDescent="0.3">
      <c r="A190" s="195">
        <v>1930000</v>
      </c>
      <c r="B190" s="6">
        <v>17590</v>
      </c>
      <c r="C190" s="10">
        <v>13090</v>
      </c>
      <c r="D190" s="11">
        <v>5010</v>
      </c>
      <c r="E190" s="6">
        <v>1630</v>
      </c>
      <c r="F190" s="9">
        <v>0</v>
      </c>
      <c r="G190" s="9">
        <v>0</v>
      </c>
      <c r="H190" s="9">
        <v>0</v>
      </c>
      <c r="I190" s="9">
        <v>0</v>
      </c>
      <c r="J190" s="9"/>
      <c r="K190" s="9"/>
      <c r="L190" s="9"/>
      <c r="M190" s="191">
        <v>0</v>
      </c>
      <c r="N190" s="191">
        <v>0</v>
      </c>
      <c r="O190" s="191">
        <v>0</v>
      </c>
      <c r="P190" s="191">
        <v>0</v>
      </c>
      <c r="Q190" s="191">
        <v>0</v>
      </c>
      <c r="R190" s="191">
        <v>0</v>
      </c>
      <c r="S190" s="191">
        <v>0</v>
      </c>
      <c r="T190" s="191">
        <v>0</v>
      </c>
      <c r="U190" s="191">
        <v>0</v>
      </c>
    </row>
    <row r="191" spans="1:21" x14ac:dyDescent="0.3">
      <c r="A191" s="195">
        <v>1940000</v>
      </c>
      <c r="B191" s="6">
        <v>17800</v>
      </c>
      <c r="C191" s="10">
        <v>13300</v>
      </c>
      <c r="D191" s="11">
        <v>5210</v>
      </c>
      <c r="E191" s="6">
        <v>1830</v>
      </c>
      <c r="F191" s="9">
        <v>0</v>
      </c>
      <c r="G191" s="9">
        <v>0</v>
      </c>
      <c r="H191" s="9">
        <v>0</v>
      </c>
      <c r="I191" s="9">
        <v>0</v>
      </c>
      <c r="J191" s="9"/>
      <c r="K191" s="9"/>
      <c r="L191" s="9"/>
      <c r="M191" s="191">
        <v>0</v>
      </c>
      <c r="N191" s="191">
        <v>0</v>
      </c>
      <c r="O191" s="191">
        <v>0</v>
      </c>
      <c r="P191" s="191">
        <v>0</v>
      </c>
      <c r="Q191" s="191">
        <v>0</v>
      </c>
      <c r="R191" s="191">
        <v>0</v>
      </c>
      <c r="S191" s="191">
        <v>0</v>
      </c>
      <c r="T191" s="191">
        <v>0</v>
      </c>
      <c r="U191" s="191">
        <v>0</v>
      </c>
    </row>
    <row r="192" spans="1:21" x14ac:dyDescent="0.3">
      <c r="A192" s="195">
        <v>1950000</v>
      </c>
      <c r="B192" s="6">
        <v>18010</v>
      </c>
      <c r="C192" s="10">
        <v>13510</v>
      </c>
      <c r="D192" s="11">
        <v>5410</v>
      </c>
      <c r="E192" s="6">
        <v>2030</v>
      </c>
      <c r="F192" s="9">
        <v>0</v>
      </c>
      <c r="G192" s="9">
        <v>0</v>
      </c>
      <c r="H192" s="9">
        <v>0</v>
      </c>
      <c r="I192" s="9">
        <v>0</v>
      </c>
      <c r="J192" s="9"/>
      <c r="K192" s="9"/>
      <c r="L192" s="9"/>
      <c r="M192" s="191">
        <v>0</v>
      </c>
      <c r="N192" s="191">
        <v>0</v>
      </c>
      <c r="O192" s="191">
        <v>0</v>
      </c>
      <c r="P192" s="191">
        <v>0</v>
      </c>
      <c r="Q192" s="191">
        <v>0</v>
      </c>
      <c r="R192" s="191">
        <v>0</v>
      </c>
      <c r="S192" s="191">
        <v>0</v>
      </c>
      <c r="T192" s="191">
        <v>0</v>
      </c>
      <c r="U192" s="191">
        <v>0</v>
      </c>
    </row>
    <row r="193" spans="1:21" x14ac:dyDescent="0.3">
      <c r="A193" s="195">
        <v>1960000</v>
      </c>
      <c r="B193" s="6">
        <v>18210</v>
      </c>
      <c r="C193" s="10">
        <v>13710</v>
      </c>
      <c r="D193" s="11">
        <v>5600</v>
      </c>
      <c r="E193" s="6">
        <v>2230</v>
      </c>
      <c r="F193" s="9">
        <v>0</v>
      </c>
      <c r="G193" s="9">
        <v>0</v>
      </c>
      <c r="H193" s="9">
        <v>0</v>
      </c>
      <c r="I193" s="9">
        <v>0</v>
      </c>
      <c r="J193" s="9"/>
      <c r="K193" s="9"/>
      <c r="L193" s="9"/>
      <c r="M193" s="191">
        <v>0</v>
      </c>
      <c r="N193" s="191">
        <v>0</v>
      </c>
      <c r="O193" s="191">
        <v>0</v>
      </c>
      <c r="P193" s="191">
        <v>0</v>
      </c>
      <c r="Q193" s="191">
        <v>0</v>
      </c>
      <c r="R193" s="191">
        <v>0</v>
      </c>
      <c r="S193" s="191">
        <v>0</v>
      </c>
      <c r="T193" s="191">
        <v>0</v>
      </c>
      <c r="U193" s="191">
        <v>0</v>
      </c>
    </row>
    <row r="194" spans="1:21" x14ac:dyDescent="0.3">
      <c r="A194" s="195">
        <v>1970000</v>
      </c>
      <c r="B194" s="6">
        <v>18420</v>
      </c>
      <c r="C194" s="10">
        <v>13920</v>
      </c>
      <c r="D194" s="11">
        <v>5800</v>
      </c>
      <c r="E194" s="6">
        <v>2430</v>
      </c>
      <c r="F194" s="9">
        <v>0</v>
      </c>
      <c r="G194" s="9">
        <v>0</v>
      </c>
      <c r="H194" s="9">
        <v>0</v>
      </c>
      <c r="I194" s="9">
        <v>0</v>
      </c>
      <c r="J194" s="9"/>
      <c r="K194" s="9"/>
      <c r="L194" s="9"/>
      <c r="M194" s="191">
        <v>0</v>
      </c>
      <c r="N194" s="191">
        <v>0</v>
      </c>
      <c r="O194" s="191">
        <v>0</v>
      </c>
      <c r="P194" s="191">
        <v>0</v>
      </c>
      <c r="Q194" s="191">
        <v>0</v>
      </c>
      <c r="R194" s="191">
        <v>0</v>
      </c>
      <c r="S194" s="191">
        <v>0</v>
      </c>
      <c r="T194" s="191">
        <v>0</v>
      </c>
      <c r="U194" s="191">
        <v>0</v>
      </c>
    </row>
    <row r="195" spans="1:21" x14ac:dyDescent="0.3">
      <c r="A195" s="195">
        <v>1980000</v>
      </c>
      <c r="B195" s="6">
        <v>18630</v>
      </c>
      <c r="C195" s="10">
        <v>14130</v>
      </c>
      <c r="D195" s="11">
        <v>6000</v>
      </c>
      <c r="E195" s="6">
        <v>2630</v>
      </c>
      <c r="F195" s="9">
        <v>0</v>
      </c>
      <c r="G195" s="9">
        <v>0</v>
      </c>
      <c r="H195" s="9">
        <v>0</v>
      </c>
      <c r="I195" s="9">
        <v>0</v>
      </c>
      <c r="J195" s="9"/>
      <c r="K195" s="9"/>
      <c r="L195" s="9"/>
      <c r="M195" s="191">
        <v>0</v>
      </c>
      <c r="N195" s="191">
        <v>0</v>
      </c>
      <c r="O195" s="191">
        <v>0</v>
      </c>
      <c r="P195" s="191">
        <v>0</v>
      </c>
      <c r="Q195" s="191">
        <v>0</v>
      </c>
      <c r="R195" s="191">
        <v>0</v>
      </c>
      <c r="S195" s="191">
        <v>0</v>
      </c>
      <c r="T195" s="191">
        <v>0</v>
      </c>
      <c r="U195" s="191">
        <v>0</v>
      </c>
    </row>
    <row r="196" spans="1:21" x14ac:dyDescent="0.3">
      <c r="A196" s="195">
        <v>1990000</v>
      </c>
      <c r="B196" s="6">
        <v>18880</v>
      </c>
      <c r="C196" s="10">
        <v>14330</v>
      </c>
      <c r="D196" s="11">
        <v>6200</v>
      </c>
      <c r="E196" s="6">
        <v>2820</v>
      </c>
      <c r="F196" s="9">
        <v>0</v>
      </c>
      <c r="G196" s="9">
        <v>0</v>
      </c>
      <c r="H196" s="9">
        <v>0</v>
      </c>
      <c r="I196" s="9">
        <v>0</v>
      </c>
      <c r="J196" s="9"/>
      <c r="K196" s="9"/>
      <c r="L196" s="9"/>
      <c r="M196" s="191">
        <v>0</v>
      </c>
      <c r="N196" s="191">
        <v>0</v>
      </c>
      <c r="O196" s="191">
        <v>0</v>
      </c>
      <c r="P196" s="191">
        <v>0</v>
      </c>
      <c r="Q196" s="191">
        <v>0</v>
      </c>
      <c r="R196" s="191">
        <v>0</v>
      </c>
      <c r="S196" s="191">
        <v>0</v>
      </c>
      <c r="T196" s="191">
        <v>0</v>
      </c>
      <c r="U196" s="191">
        <v>0</v>
      </c>
    </row>
    <row r="197" spans="1:21" x14ac:dyDescent="0.3">
      <c r="A197" s="195">
        <v>2000000</v>
      </c>
      <c r="B197" s="6">
        <v>19200</v>
      </c>
      <c r="C197" s="10">
        <v>14540</v>
      </c>
      <c r="D197" s="11">
        <v>6400</v>
      </c>
      <c r="E197" s="6">
        <v>3020</v>
      </c>
      <c r="F197" s="9">
        <v>0</v>
      </c>
      <c r="G197" s="9">
        <v>0</v>
      </c>
      <c r="H197" s="9">
        <v>0</v>
      </c>
      <c r="I197" s="9">
        <v>0</v>
      </c>
      <c r="J197" s="9"/>
      <c r="K197" s="9"/>
      <c r="L197" s="9"/>
      <c r="M197" s="191">
        <v>0</v>
      </c>
      <c r="N197" s="191">
        <v>0</v>
      </c>
      <c r="O197" s="191">
        <v>0</v>
      </c>
      <c r="P197" s="191">
        <v>0</v>
      </c>
      <c r="Q197" s="191">
        <v>0</v>
      </c>
      <c r="R197" s="191">
        <v>0</v>
      </c>
      <c r="S197" s="191">
        <v>0</v>
      </c>
      <c r="T197" s="191">
        <v>0</v>
      </c>
      <c r="U197" s="191">
        <v>0</v>
      </c>
    </row>
    <row r="198" spans="1:21" x14ac:dyDescent="0.3">
      <c r="A198" s="195">
        <v>2010000</v>
      </c>
      <c r="B198" s="6">
        <v>19520</v>
      </c>
      <c r="C198" s="10">
        <v>14750</v>
      </c>
      <c r="D198" s="11">
        <v>6600</v>
      </c>
      <c r="E198" s="6">
        <v>3220</v>
      </c>
      <c r="F198" s="9">
        <v>0</v>
      </c>
      <c r="G198" s="9">
        <v>0</v>
      </c>
      <c r="H198" s="9">
        <v>0</v>
      </c>
      <c r="I198" s="9">
        <v>0</v>
      </c>
      <c r="J198" s="9"/>
      <c r="K198" s="9"/>
      <c r="L198" s="9"/>
      <c r="M198" s="191">
        <v>0</v>
      </c>
      <c r="N198" s="191">
        <v>0</v>
      </c>
      <c r="O198" s="191">
        <v>0</v>
      </c>
      <c r="P198" s="191">
        <v>0</v>
      </c>
      <c r="Q198" s="191">
        <v>0</v>
      </c>
      <c r="R198" s="191">
        <v>0</v>
      </c>
      <c r="S198" s="191">
        <v>0</v>
      </c>
      <c r="T198" s="191">
        <v>0</v>
      </c>
      <c r="U198" s="191">
        <v>0</v>
      </c>
    </row>
    <row r="199" spans="1:21" x14ac:dyDescent="0.3">
      <c r="A199" s="195">
        <v>2020000</v>
      </c>
      <c r="B199" s="6">
        <v>19850</v>
      </c>
      <c r="C199" s="10">
        <v>14950</v>
      </c>
      <c r="D199" s="11">
        <v>6800</v>
      </c>
      <c r="E199" s="6">
        <v>3420</v>
      </c>
      <c r="F199" s="9">
        <v>0</v>
      </c>
      <c r="G199" s="9">
        <v>0</v>
      </c>
      <c r="H199" s="9">
        <v>0</v>
      </c>
      <c r="I199" s="9">
        <v>0</v>
      </c>
      <c r="J199" s="9"/>
      <c r="K199" s="9"/>
      <c r="L199" s="9"/>
      <c r="M199" s="191">
        <v>0</v>
      </c>
      <c r="N199" s="191">
        <v>0</v>
      </c>
      <c r="O199" s="191">
        <v>0</v>
      </c>
      <c r="P199" s="191">
        <v>0</v>
      </c>
      <c r="Q199" s="191">
        <v>0</v>
      </c>
      <c r="R199" s="191">
        <v>0</v>
      </c>
      <c r="S199" s="191">
        <v>0</v>
      </c>
      <c r="T199" s="191">
        <v>0</v>
      </c>
      <c r="U199" s="191">
        <v>0</v>
      </c>
    </row>
    <row r="200" spans="1:21" x14ac:dyDescent="0.3">
      <c r="A200" s="195">
        <v>2030000</v>
      </c>
      <c r="B200" s="6">
        <v>20170</v>
      </c>
      <c r="C200" s="10">
        <v>15160</v>
      </c>
      <c r="D200" s="11">
        <v>6990</v>
      </c>
      <c r="E200" s="6">
        <v>3620</v>
      </c>
      <c r="F200" s="9">
        <v>0</v>
      </c>
      <c r="G200" s="9">
        <v>0</v>
      </c>
      <c r="H200" s="9">
        <v>0</v>
      </c>
      <c r="I200" s="9">
        <v>0</v>
      </c>
      <c r="J200" s="9"/>
      <c r="K200" s="9"/>
      <c r="L200" s="9"/>
      <c r="M200" s="191">
        <v>0</v>
      </c>
      <c r="N200" s="191">
        <v>0</v>
      </c>
      <c r="O200" s="191">
        <v>0</v>
      </c>
      <c r="P200" s="191">
        <v>0</v>
      </c>
      <c r="Q200" s="191">
        <v>0</v>
      </c>
      <c r="R200" s="191">
        <v>0</v>
      </c>
      <c r="S200" s="191">
        <v>0</v>
      </c>
      <c r="T200" s="191">
        <v>0</v>
      </c>
      <c r="U200" s="191">
        <v>0</v>
      </c>
    </row>
    <row r="201" spans="1:21" x14ac:dyDescent="0.3">
      <c r="A201" s="195">
        <v>2040000</v>
      </c>
      <c r="B201" s="6">
        <v>20490</v>
      </c>
      <c r="C201" s="10">
        <v>15370</v>
      </c>
      <c r="D201" s="11">
        <v>7190</v>
      </c>
      <c r="E201" s="6">
        <v>3820</v>
      </c>
      <c r="F201" s="9">
        <v>0</v>
      </c>
      <c r="G201" s="9">
        <v>0</v>
      </c>
      <c r="H201" s="9">
        <v>0</v>
      </c>
      <c r="I201" s="9">
        <v>0</v>
      </c>
      <c r="J201" s="9"/>
      <c r="K201" s="9"/>
      <c r="L201" s="9"/>
      <c r="M201" s="191">
        <v>0</v>
      </c>
      <c r="N201" s="191">
        <v>0</v>
      </c>
      <c r="O201" s="191">
        <v>0</v>
      </c>
      <c r="P201" s="191">
        <v>0</v>
      </c>
      <c r="Q201" s="191">
        <v>0</v>
      </c>
      <c r="R201" s="191">
        <v>0</v>
      </c>
      <c r="S201" s="191">
        <v>0</v>
      </c>
      <c r="T201" s="191">
        <v>0</v>
      </c>
      <c r="U201" s="191">
        <v>0</v>
      </c>
    </row>
    <row r="202" spans="1:21" x14ac:dyDescent="0.3">
      <c r="A202" s="195">
        <v>2050000</v>
      </c>
      <c r="B202" s="6">
        <v>20810</v>
      </c>
      <c r="C202" s="10">
        <v>15570</v>
      </c>
      <c r="D202" s="11">
        <v>7390</v>
      </c>
      <c r="E202" s="6">
        <v>4020</v>
      </c>
      <c r="F202" s="9">
        <v>0</v>
      </c>
      <c r="G202" s="9">
        <v>0</v>
      </c>
      <c r="H202" s="9">
        <v>0</v>
      </c>
      <c r="I202" s="9">
        <v>0</v>
      </c>
      <c r="J202" s="9"/>
      <c r="K202" s="9"/>
      <c r="L202" s="9"/>
      <c r="M202" s="191">
        <v>0</v>
      </c>
      <c r="N202" s="191">
        <v>0</v>
      </c>
      <c r="O202" s="191">
        <v>0</v>
      </c>
      <c r="P202" s="191">
        <v>0</v>
      </c>
      <c r="Q202" s="191">
        <v>0</v>
      </c>
      <c r="R202" s="191">
        <v>0</v>
      </c>
      <c r="S202" s="191">
        <v>0</v>
      </c>
      <c r="T202" s="191">
        <v>0</v>
      </c>
      <c r="U202" s="191">
        <v>0</v>
      </c>
    </row>
    <row r="203" spans="1:21" x14ac:dyDescent="0.3">
      <c r="A203" s="195">
        <v>2060000</v>
      </c>
      <c r="B203" s="6">
        <v>21130</v>
      </c>
      <c r="C203" s="10">
        <v>15780</v>
      </c>
      <c r="D203" s="11">
        <v>7590</v>
      </c>
      <c r="E203" s="6">
        <v>4210</v>
      </c>
      <c r="F203" s="6">
        <v>0</v>
      </c>
      <c r="G203" s="9">
        <v>0</v>
      </c>
      <c r="H203" s="9">
        <v>0</v>
      </c>
      <c r="I203" s="9">
        <v>0</v>
      </c>
      <c r="J203" s="9"/>
      <c r="K203" s="9"/>
      <c r="L203" s="9"/>
      <c r="M203" s="191">
        <v>0</v>
      </c>
      <c r="N203" s="191">
        <v>0</v>
      </c>
      <c r="O203" s="191">
        <v>0</v>
      </c>
      <c r="P203" s="191">
        <v>0</v>
      </c>
      <c r="Q203" s="191">
        <v>0</v>
      </c>
      <c r="R203" s="191">
        <v>0</v>
      </c>
      <c r="S203" s="191">
        <v>0</v>
      </c>
      <c r="T203" s="191">
        <v>0</v>
      </c>
      <c r="U203" s="191">
        <v>0</v>
      </c>
    </row>
    <row r="204" spans="1:21" x14ac:dyDescent="0.3">
      <c r="A204" s="195">
        <v>2070000</v>
      </c>
      <c r="B204" s="6">
        <v>21450</v>
      </c>
      <c r="C204" s="10">
        <v>15990</v>
      </c>
      <c r="D204" s="11">
        <v>7790</v>
      </c>
      <c r="E204" s="6">
        <v>4410</v>
      </c>
      <c r="F204" s="6">
        <v>1040</v>
      </c>
      <c r="G204" s="9">
        <v>0</v>
      </c>
      <c r="H204" s="9">
        <v>0</v>
      </c>
      <c r="I204" s="9">
        <v>0</v>
      </c>
      <c r="J204" s="9"/>
      <c r="K204" s="9"/>
      <c r="L204" s="9"/>
      <c r="M204" s="191">
        <v>0</v>
      </c>
      <c r="N204" s="191">
        <v>0</v>
      </c>
      <c r="O204" s="191">
        <v>0</v>
      </c>
      <c r="P204" s="191">
        <v>0</v>
      </c>
      <c r="Q204" s="191">
        <v>0</v>
      </c>
      <c r="R204" s="191">
        <v>0</v>
      </c>
      <c r="S204" s="191">
        <v>0</v>
      </c>
      <c r="T204" s="191">
        <v>0</v>
      </c>
      <c r="U204" s="191">
        <v>0</v>
      </c>
    </row>
    <row r="205" spans="1:21" x14ac:dyDescent="0.3">
      <c r="A205" s="195">
        <v>2080000</v>
      </c>
      <c r="B205" s="6">
        <v>21770</v>
      </c>
      <c r="C205" s="10">
        <v>16190</v>
      </c>
      <c r="D205" s="11">
        <v>7990</v>
      </c>
      <c r="E205" s="6">
        <v>4610</v>
      </c>
      <c r="F205" s="6">
        <v>1240</v>
      </c>
      <c r="G205" s="9">
        <v>0</v>
      </c>
      <c r="H205" s="9">
        <v>0</v>
      </c>
      <c r="I205" s="9">
        <v>0</v>
      </c>
      <c r="J205" s="9"/>
      <c r="K205" s="9"/>
      <c r="L205" s="9"/>
      <c r="M205" s="191">
        <v>0</v>
      </c>
      <c r="N205" s="191">
        <v>0</v>
      </c>
      <c r="O205" s="191">
        <v>0</v>
      </c>
      <c r="P205" s="191">
        <v>0</v>
      </c>
      <c r="Q205" s="191">
        <v>0</v>
      </c>
      <c r="R205" s="191">
        <v>0</v>
      </c>
      <c r="S205" s="191">
        <v>0</v>
      </c>
      <c r="T205" s="191">
        <v>0</v>
      </c>
      <c r="U205" s="191">
        <v>0</v>
      </c>
    </row>
    <row r="206" spans="1:21" x14ac:dyDescent="0.3">
      <c r="A206" s="195">
        <v>2090000</v>
      </c>
      <c r="B206" s="6">
        <v>22090</v>
      </c>
      <c r="C206" s="10">
        <v>16400</v>
      </c>
      <c r="D206" s="11">
        <v>8180</v>
      </c>
      <c r="E206" s="6">
        <v>4810</v>
      </c>
      <c r="F206" s="6">
        <v>1430</v>
      </c>
      <c r="G206" s="9">
        <v>0</v>
      </c>
      <c r="H206" s="9">
        <v>0</v>
      </c>
      <c r="I206" s="9">
        <v>0</v>
      </c>
      <c r="J206" s="9"/>
      <c r="K206" s="9"/>
      <c r="L206" s="9"/>
      <c r="M206" s="191">
        <v>0</v>
      </c>
      <c r="N206" s="191">
        <v>0</v>
      </c>
      <c r="O206" s="191">
        <v>0</v>
      </c>
      <c r="P206" s="191">
        <v>0</v>
      </c>
      <c r="Q206" s="191">
        <v>0</v>
      </c>
      <c r="R206" s="191">
        <v>0</v>
      </c>
      <c r="S206" s="191">
        <v>0</v>
      </c>
      <c r="T206" s="191">
        <v>0</v>
      </c>
      <c r="U206" s="191">
        <v>0</v>
      </c>
    </row>
    <row r="207" spans="1:21" x14ac:dyDescent="0.3">
      <c r="A207" s="195">
        <v>2100000</v>
      </c>
      <c r="B207" s="6">
        <v>22420</v>
      </c>
      <c r="C207" s="10">
        <v>16600</v>
      </c>
      <c r="D207" s="11">
        <v>8380</v>
      </c>
      <c r="E207" s="6">
        <v>5010</v>
      </c>
      <c r="F207" s="6">
        <v>1630</v>
      </c>
      <c r="G207" s="9">
        <v>0</v>
      </c>
      <c r="H207" s="9">
        <v>0</v>
      </c>
      <c r="I207" s="9">
        <v>0</v>
      </c>
      <c r="J207" s="9"/>
      <c r="K207" s="9"/>
      <c r="L207" s="9"/>
      <c r="M207" s="191">
        <v>0</v>
      </c>
      <c r="N207" s="191">
        <v>0</v>
      </c>
      <c r="O207" s="191">
        <v>0</v>
      </c>
      <c r="P207" s="191">
        <v>0</v>
      </c>
      <c r="Q207" s="191">
        <v>0</v>
      </c>
      <c r="R207" s="191">
        <v>0</v>
      </c>
      <c r="S207" s="191">
        <v>0</v>
      </c>
      <c r="T207" s="191">
        <v>0</v>
      </c>
      <c r="U207" s="191">
        <v>0</v>
      </c>
    </row>
    <row r="208" spans="1:21" x14ac:dyDescent="0.3">
      <c r="A208" s="195">
        <v>2110000</v>
      </c>
      <c r="B208" s="6">
        <v>22740</v>
      </c>
      <c r="C208" s="10">
        <v>16810</v>
      </c>
      <c r="D208" s="11">
        <v>8580</v>
      </c>
      <c r="E208" s="6">
        <v>5210</v>
      </c>
      <c r="F208" s="6">
        <v>1830</v>
      </c>
      <c r="G208" s="9">
        <v>0</v>
      </c>
      <c r="H208" s="9">
        <v>0</v>
      </c>
      <c r="I208" s="9">
        <v>0</v>
      </c>
      <c r="J208" s="9"/>
      <c r="K208" s="9"/>
      <c r="L208" s="9"/>
      <c r="M208" s="191">
        <v>0</v>
      </c>
      <c r="N208" s="191">
        <v>0</v>
      </c>
      <c r="O208" s="191">
        <v>0</v>
      </c>
      <c r="P208" s="191">
        <v>0</v>
      </c>
      <c r="Q208" s="191">
        <v>0</v>
      </c>
      <c r="R208" s="191">
        <v>0</v>
      </c>
      <c r="S208" s="191">
        <v>0</v>
      </c>
      <c r="T208" s="191">
        <v>0</v>
      </c>
      <c r="U208" s="191">
        <v>0</v>
      </c>
    </row>
    <row r="209" spans="1:21" x14ac:dyDescent="0.3">
      <c r="A209" s="195">
        <v>2120000</v>
      </c>
      <c r="B209" s="6">
        <v>23060</v>
      </c>
      <c r="C209" s="10">
        <v>17020</v>
      </c>
      <c r="D209" s="11">
        <v>8780</v>
      </c>
      <c r="E209" s="6">
        <v>5400</v>
      </c>
      <c r="F209" s="6">
        <v>2030</v>
      </c>
      <c r="G209" s="9">
        <v>0</v>
      </c>
      <c r="H209" s="9">
        <v>0</v>
      </c>
      <c r="I209" s="9">
        <v>0</v>
      </c>
      <c r="J209" s="9"/>
      <c r="K209" s="9"/>
      <c r="L209" s="9"/>
      <c r="M209" s="191">
        <v>0</v>
      </c>
      <c r="N209" s="191">
        <v>0</v>
      </c>
      <c r="O209" s="191">
        <v>0</v>
      </c>
      <c r="P209" s="191">
        <v>0</v>
      </c>
      <c r="Q209" s="191">
        <v>0</v>
      </c>
      <c r="R209" s="191">
        <v>0</v>
      </c>
      <c r="S209" s="191">
        <v>0</v>
      </c>
      <c r="T209" s="191">
        <v>0</v>
      </c>
      <c r="U209" s="191">
        <v>0</v>
      </c>
    </row>
    <row r="210" spans="1:21" x14ac:dyDescent="0.3">
      <c r="A210" s="195">
        <v>2130000</v>
      </c>
      <c r="B210" s="6">
        <v>23380</v>
      </c>
      <c r="C210" s="10">
        <v>17220</v>
      </c>
      <c r="D210" s="11">
        <v>8980</v>
      </c>
      <c r="E210" s="6">
        <v>5600</v>
      </c>
      <c r="F210" s="6">
        <v>2230</v>
      </c>
      <c r="G210" s="9">
        <v>0</v>
      </c>
      <c r="H210" s="9">
        <v>0</v>
      </c>
      <c r="I210" s="9">
        <v>0</v>
      </c>
      <c r="J210" s="9"/>
      <c r="K210" s="9"/>
      <c r="L210" s="9"/>
      <c r="M210" s="191">
        <v>0</v>
      </c>
      <c r="N210" s="191">
        <v>0</v>
      </c>
      <c r="O210" s="191">
        <v>0</v>
      </c>
      <c r="P210" s="191">
        <v>0</v>
      </c>
      <c r="Q210" s="191">
        <v>0</v>
      </c>
      <c r="R210" s="191">
        <v>0</v>
      </c>
      <c r="S210" s="191">
        <v>0</v>
      </c>
      <c r="T210" s="191">
        <v>0</v>
      </c>
      <c r="U210" s="191">
        <v>0</v>
      </c>
    </row>
    <row r="211" spans="1:21" x14ac:dyDescent="0.3">
      <c r="A211" s="195">
        <v>2140000</v>
      </c>
      <c r="B211" s="12">
        <v>23700</v>
      </c>
      <c r="C211" s="10">
        <v>17430</v>
      </c>
      <c r="D211" s="11">
        <v>9180</v>
      </c>
      <c r="E211" s="6">
        <v>5800</v>
      </c>
      <c r="F211" s="6">
        <v>2430</v>
      </c>
      <c r="G211" s="9">
        <v>0</v>
      </c>
      <c r="H211" s="9">
        <v>0</v>
      </c>
      <c r="I211" s="9">
        <v>0</v>
      </c>
      <c r="J211" s="9"/>
      <c r="K211" s="9"/>
      <c r="L211" s="9"/>
      <c r="M211" s="191">
        <v>0</v>
      </c>
      <c r="N211" s="191">
        <v>0</v>
      </c>
      <c r="O211" s="191">
        <v>0</v>
      </c>
      <c r="P211" s="191">
        <v>0</v>
      </c>
      <c r="Q211" s="191">
        <v>0</v>
      </c>
      <c r="R211" s="191">
        <v>0</v>
      </c>
      <c r="S211" s="191">
        <v>0</v>
      </c>
      <c r="T211" s="191">
        <v>0</v>
      </c>
      <c r="U211" s="191">
        <v>0</v>
      </c>
    </row>
    <row r="212" spans="1:21" x14ac:dyDescent="0.3">
      <c r="A212" s="195">
        <v>2150000</v>
      </c>
      <c r="B212" s="6">
        <v>24020</v>
      </c>
      <c r="C212" s="10">
        <v>17640</v>
      </c>
      <c r="D212" s="11">
        <v>9380</v>
      </c>
      <c r="E212" s="6">
        <v>6000</v>
      </c>
      <c r="F212" s="6">
        <v>2630</v>
      </c>
      <c r="G212" s="9">
        <v>0</v>
      </c>
      <c r="H212" s="9">
        <v>0</v>
      </c>
      <c r="I212" s="9">
        <v>0</v>
      </c>
      <c r="J212" s="9"/>
      <c r="K212" s="9"/>
      <c r="L212" s="9"/>
      <c r="M212" s="191">
        <v>0</v>
      </c>
      <c r="N212" s="191">
        <v>0</v>
      </c>
      <c r="O212" s="191">
        <v>0</v>
      </c>
      <c r="P212" s="191">
        <v>0</v>
      </c>
      <c r="Q212" s="191">
        <v>0</v>
      </c>
      <c r="R212" s="191">
        <v>0</v>
      </c>
      <c r="S212" s="191">
        <v>0</v>
      </c>
      <c r="T212" s="191">
        <v>0</v>
      </c>
      <c r="U212" s="191">
        <v>0</v>
      </c>
    </row>
    <row r="213" spans="1:21" x14ac:dyDescent="0.3">
      <c r="A213" s="195">
        <v>2160000</v>
      </c>
      <c r="B213" s="6">
        <v>24340</v>
      </c>
      <c r="C213" s="10">
        <v>17840</v>
      </c>
      <c r="D213" s="11">
        <v>9570</v>
      </c>
      <c r="E213" s="6">
        <v>6200</v>
      </c>
      <c r="F213" s="6">
        <v>2820</v>
      </c>
      <c r="G213" s="9">
        <v>0</v>
      </c>
      <c r="H213" s="9">
        <v>0</v>
      </c>
      <c r="I213" s="9">
        <v>0</v>
      </c>
      <c r="J213" s="9"/>
      <c r="K213" s="9"/>
      <c r="L213" s="9"/>
      <c r="M213" s="191">
        <v>0</v>
      </c>
      <c r="N213" s="191">
        <v>0</v>
      </c>
      <c r="O213" s="191">
        <v>0</v>
      </c>
      <c r="P213" s="191">
        <v>0</v>
      </c>
      <c r="Q213" s="191">
        <v>0</v>
      </c>
      <c r="R213" s="191">
        <v>0</v>
      </c>
      <c r="S213" s="191">
        <v>0</v>
      </c>
      <c r="T213" s="191">
        <v>0</v>
      </c>
      <c r="U213" s="191">
        <v>0</v>
      </c>
    </row>
    <row r="214" spans="1:21" x14ac:dyDescent="0.3">
      <c r="A214" s="195">
        <v>2170000</v>
      </c>
      <c r="B214" s="6">
        <v>24660</v>
      </c>
      <c r="C214" s="10">
        <v>18050</v>
      </c>
      <c r="D214" s="11">
        <v>9770</v>
      </c>
      <c r="E214" s="6">
        <v>6400</v>
      </c>
      <c r="F214" s="6">
        <v>3020</v>
      </c>
      <c r="G214" s="9">
        <v>0</v>
      </c>
      <c r="H214" s="9">
        <v>0</v>
      </c>
      <c r="I214" s="9">
        <v>0</v>
      </c>
      <c r="J214" s="9"/>
      <c r="K214" s="9"/>
      <c r="L214" s="9"/>
      <c r="M214" s="191">
        <v>0</v>
      </c>
      <c r="N214" s="191">
        <v>0</v>
      </c>
      <c r="O214" s="191">
        <v>0</v>
      </c>
      <c r="P214" s="191">
        <v>0</v>
      </c>
      <c r="Q214" s="191">
        <v>0</v>
      </c>
      <c r="R214" s="191">
        <v>0</v>
      </c>
      <c r="S214" s="191">
        <v>0</v>
      </c>
      <c r="T214" s="191">
        <v>0</v>
      </c>
      <c r="U214" s="191">
        <v>0</v>
      </c>
    </row>
    <row r="215" spans="1:21" x14ac:dyDescent="0.3">
      <c r="A215" s="195">
        <v>2180000</v>
      </c>
      <c r="B215" s="6">
        <v>24990</v>
      </c>
      <c r="C215" s="10">
        <v>18260</v>
      </c>
      <c r="D215" s="11">
        <v>9970</v>
      </c>
      <c r="E215" s="6">
        <v>6600</v>
      </c>
      <c r="F215" s="6">
        <v>3220</v>
      </c>
      <c r="G215" s="9">
        <v>0</v>
      </c>
      <c r="H215" s="9">
        <v>0</v>
      </c>
      <c r="I215" s="9">
        <v>0</v>
      </c>
      <c r="J215" s="9"/>
      <c r="K215" s="9"/>
      <c r="L215" s="9"/>
      <c r="M215" s="191">
        <v>0</v>
      </c>
      <c r="N215" s="191">
        <v>0</v>
      </c>
      <c r="O215" s="191">
        <v>0</v>
      </c>
      <c r="P215" s="191">
        <v>0</v>
      </c>
      <c r="Q215" s="191">
        <v>0</v>
      </c>
      <c r="R215" s="191">
        <v>0</v>
      </c>
      <c r="S215" s="191">
        <v>0</v>
      </c>
      <c r="T215" s="191">
        <v>0</v>
      </c>
      <c r="U215" s="191">
        <v>0</v>
      </c>
    </row>
    <row r="216" spans="1:21" x14ac:dyDescent="0.3">
      <c r="A216" s="195">
        <v>2190000</v>
      </c>
      <c r="B216" s="12">
        <v>25310</v>
      </c>
      <c r="C216" s="10">
        <v>18460</v>
      </c>
      <c r="D216" s="11">
        <v>10170</v>
      </c>
      <c r="E216" s="6">
        <v>6790</v>
      </c>
      <c r="F216" s="6">
        <v>3420</v>
      </c>
      <c r="G216" s="9">
        <v>0</v>
      </c>
      <c r="H216" s="9">
        <v>0</v>
      </c>
      <c r="I216" s="9">
        <v>0</v>
      </c>
      <c r="J216" s="9"/>
      <c r="K216" s="9"/>
      <c r="L216" s="9"/>
      <c r="M216" s="191">
        <v>0</v>
      </c>
      <c r="N216" s="191">
        <v>0</v>
      </c>
      <c r="O216" s="191">
        <v>0</v>
      </c>
      <c r="P216" s="191">
        <v>0</v>
      </c>
      <c r="Q216" s="191">
        <v>0</v>
      </c>
      <c r="R216" s="191">
        <v>0</v>
      </c>
      <c r="S216" s="191">
        <v>0</v>
      </c>
      <c r="T216" s="191">
        <v>0</v>
      </c>
      <c r="U216" s="191">
        <v>0</v>
      </c>
    </row>
    <row r="217" spans="1:21" x14ac:dyDescent="0.3">
      <c r="A217" s="195">
        <v>2200000</v>
      </c>
      <c r="B217" s="6">
        <v>25630</v>
      </c>
      <c r="C217" s="10">
        <v>18670</v>
      </c>
      <c r="D217" s="11">
        <v>10370</v>
      </c>
      <c r="E217" s="6">
        <v>6990</v>
      </c>
      <c r="F217" s="6">
        <v>3620</v>
      </c>
      <c r="G217" s="9">
        <v>0</v>
      </c>
      <c r="H217" s="9">
        <v>0</v>
      </c>
      <c r="I217" s="9">
        <v>0</v>
      </c>
      <c r="J217" s="9"/>
      <c r="K217" s="9"/>
      <c r="L217" s="9"/>
      <c r="M217" s="191">
        <v>0</v>
      </c>
      <c r="N217" s="191">
        <v>0</v>
      </c>
      <c r="O217" s="191">
        <v>0</v>
      </c>
      <c r="P217" s="191">
        <v>0</v>
      </c>
      <c r="Q217" s="191">
        <v>0</v>
      </c>
      <c r="R217" s="191">
        <v>0</v>
      </c>
      <c r="S217" s="191">
        <v>0</v>
      </c>
      <c r="T217" s="191">
        <v>0</v>
      </c>
      <c r="U217" s="191">
        <v>0</v>
      </c>
    </row>
    <row r="218" spans="1:21" x14ac:dyDescent="0.3">
      <c r="A218" s="195">
        <v>2210000</v>
      </c>
      <c r="B218" s="6">
        <v>25950</v>
      </c>
      <c r="C218" s="10">
        <v>18950</v>
      </c>
      <c r="D218" s="11">
        <v>10570</v>
      </c>
      <c r="E218" s="6">
        <v>7190</v>
      </c>
      <c r="F218" s="6">
        <v>3820</v>
      </c>
      <c r="G218" s="9">
        <v>0</v>
      </c>
      <c r="H218" s="9">
        <v>0</v>
      </c>
      <c r="I218" s="9">
        <v>0</v>
      </c>
      <c r="J218" s="9"/>
      <c r="K218" s="9"/>
      <c r="L218" s="9"/>
      <c r="M218" s="191">
        <v>0</v>
      </c>
      <c r="N218" s="191">
        <v>0</v>
      </c>
      <c r="O218" s="191">
        <v>0</v>
      </c>
      <c r="P218" s="191">
        <v>0</v>
      </c>
      <c r="Q218" s="191">
        <v>0</v>
      </c>
      <c r="R218" s="191">
        <v>0</v>
      </c>
      <c r="S218" s="191">
        <v>0</v>
      </c>
      <c r="T218" s="191">
        <v>0</v>
      </c>
      <c r="U218" s="191">
        <v>0</v>
      </c>
    </row>
    <row r="219" spans="1:21" x14ac:dyDescent="0.3">
      <c r="A219" s="195">
        <v>2220000</v>
      </c>
      <c r="B219" s="6">
        <v>26270</v>
      </c>
      <c r="C219" s="10">
        <v>19270</v>
      </c>
      <c r="D219" s="11">
        <v>10760</v>
      </c>
      <c r="E219" s="6">
        <v>7390</v>
      </c>
      <c r="F219" s="6">
        <v>4010</v>
      </c>
      <c r="G219" s="9">
        <v>0</v>
      </c>
      <c r="H219" s="9">
        <v>0</v>
      </c>
      <c r="I219" s="9">
        <v>0</v>
      </c>
      <c r="J219" s="9"/>
      <c r="K219" s="9"/>
      <c r="L219" s="9"/>
      <c r="M219" s="191">
        <v>0</v>
      </c>
      <c r="N219" s="191">
        <v>0</v>
      </c>
      <c r="O219" s="191">
        <v>0</v>
      </c>
      <c r="P219" s="191">
        <v>0</v>
      </c>
      <c r="Q219" s="191">
        <v>0</v>
      </c>
      <c r="R219" s="191">
        <v>0</v>
      </c>
      <c r="S219" s="191">
        <v>0</v>
      </c>
      <c r="T219" s="191">
        <v>0</v>
      </c>
      <c r="U219" s="191">
        <v>0</v>
      </c>
    </row>
    <row r="220" spans="1:21" x14ac:dyDescent="0.3">
      <c r="A220" s="195">
        <v>2230000</v>
      </c>
      <c r="B220" s="6">
        <v>26590</v>
      </c>
      <c r="C220" s="10">
        <v>19590</v>
      </c>
      <c r="D220" s="11">
        <v>10960</v>
      </c>
      <c r="E220" s="6">
        <v>7590</v>
      </c>
      <c r="F220" s="6">
        <v>4210</v>
      </c>
      <c r="G220" s="6">
        <v>0</v>
      </c>
      <c r="H220" s="9">
        <v>0</v>
      </c>
      <c r="I220" s="9">
        <v>0</v>
      </c>
      <c r="J220" s="9"/>
      <c r="K220" s="9"/>
      <c r="L220" s="9"/>
      <c r="M220" s="191">
        <v>0</v>
      </c>
      <c r="N220" s="191">
        <v>0</v>
      </c>
      <c r="O220" s="191">
        <v>0</v>
      </c>
      <c r="P220" s="191">
        <v>0</v>
      </c>
      <c r="Q220" s="191">
        <v>0</v>
      </c>
      <c r="R220" s="191">
        <v>0</v>
      </c>
      <c r="S220" s="191">
        <v>0</v>
      </c>
      <c r="T220" s="191">
        <v>0</v>
      </c>
      <c r="U220" s="191">
        <v>0</v>
      </c>
    </row>
    <row r="221" spans="1:21" x14ac:dyDescent="0.3">
      <c r="A221" s="195">
        <v>2240000</v>
      </c>
      <c r="B221" s="6">
        <v>26910</v>
      </c>
      <c r="C221" s="10">
        <v>19910</v>
      </c>
      <c r="D221" s="11">
        <v>11160</v>
      </c>
      <c r="E221" s="6">
        <v>7790</v>
      </c>
      <c r="F221" s="6">
        <v>4410</v>
      </c>
      <c r="G221" s="6">
        <v>1040</v>
      </c>
      <c r="H221" s="9">
        <v>0</v>
      </c>
      <c r="I221" s="9">
        <v>0</v>
      </c>
      <c r="J221" s="9"/>
      <c r="K221" s="9"/>
      <c r="L221" s="9"/>
      <c r="M221" s="191">
        <v>0</v>
      </c>
      <c r="N221" s="191">
        <v>0</v>
      </c>
      <c r="O221" s="191">
        <v>0</v>
      </c>
      <c r="P221" s="191">
        <v>0</v>
      </c>
      <c r="Q221" s="191">
        <v>0</v>
      </c>
      <c r="R221" s="191">
        <v>0</v>
      </c>
      <c r="S221" s="191">
        <v>0</v>
      </c>
      <c r="T221" s="191">
        <v>0</v>
      </c>
      <c r="U221" s="191">
        <v>0</v>
      </c>
    </row>
    <row r="222" spans="1:21" x14ac:dyDescent="0.3">
      <c r="A222" s="195">
        <v>2250000</v>
      </c>
      <c r="B222" s="6">
        <v>27240</v>
      </c>
      <c r="C222" s="10">
        <v>20240</v>
      </c>
      <c r="D222" s="11">
        <v>11360</v>
      </c>
      <c r="E222" s="6">
        <v>7980</v>
      </c>
      <c r="F222" s="6">
        <v>4610</v>
      </c>
      <c r="G222" s="6">
        <v>1230</v>
      </c>
      <c r="H222" s="9">
        <v>0</v>
      </c>
      <c r="I222" s="9">
        <v>0</v>
      </c>
      <c r="J222" s="9"/>
      <c r="K222" s="9"/>
      <c r="L222" s="9"/>
      <c r="M222" s="191">
        <v>0</v>
      </c>
      <c r="N222" s="191">
        <v>0</v>
      </c>
      <c r="O222" s="191">
        <v>0</v>
      </c>
      <c r="P222" s="191">
        <v>0</v>
      </c>
      <c r="Q222" s="191">
        <v>0</v>
      </c>
      <c r="R222" s="191">
        <v>0</v>
      </c>
      <c r="S222" s="191">
        <v>0</v>
      </c>
      <c r="T222" s="191">
        <v>0</v>
      </c>
      <c r="U222" s="191">
        <v>0</v>
      </c>
    </row>
    <row r="223" spans="1:21" x14ac:dyDescent="0.3">
      <c r="A223" s="195">
        <v>2260000</v>
      </c>
      <c r="B223" s="6">
        <v>27560</v>
      </c>
      <c r="C223" s="10">
        <v>20560</v>
      </c>
      <c r="D223" s="11">
        <v>11560</v>
      </c>
      <c r="E223" s="6">
        <v>8180</v>
      </c>
      <c r="F223" s="6">
        <v>4810</v>
      </c>
      <c r="G223" s="6">
        <v>1430</v>
      </c>
      <c r="H223" s="9">
        <v>0</v>
      </c>
      <c r="I223" s="9">
        <v>0</v>
      </c>
      <c r="J223" s="9"/>
      <c r="K223" s="9"/>
      <c r="L223" s="9"/>
      <c r="M223" s="191">
        <v>0</v>
      </c>
      <c r="N223" s="191">
        <v>0</v>
      </c>
      <c r="O223" s="191">
        <v>0</v>
      </c>
      <c r="P223" s="191">
        <v>0</v>
      </c>
      <c r="Q223" s="191">
        <v>0</v>
      </c>
      <c r="R223" s="191">
        <v>0</v>
      </c>
      <c r="S223" s="191">
        <v>0</v>
      </c>
      <c r="T223" s="191">
        <v>0</v>
      </c>
      <c r="U223" s="191">
        <v>0</v>
      </c>
    </row>
    <row r="224" spans="1:21" x14ac:dyDescent="0.3">
      <c r="A224" s="195">
        <v>2270000</v>
      </c>
      <c r="B224" s="6">
        <v>27880</v>
      </c>
      <c r="C224" s="10">
        <v>20880</v>
      </c>
      <c r="D224" s="11">
        <v>11760</v>
      </c>
      <c r="E224" s="6">
        <v>8380</v>
      </c>
      <c r="F224" s="6">
        <v>5010</v>
      </c>
      <c r="G224" s="6">
        <v>1630</v>
      </c>
      <c r="H224" s="9">
        <v>0</v>
      </c>
      <c r="I224" s="9">
        <v>0</v>
      </c>
      <c r="J224" s="9"/>
      <c r="K224" s="9"/>
      <c r="L224" s="9"/>
      <c r="M224" s="191">
        <v>0</v>
      </c>
      <c r="N224" s="191">
        <v>0</v>
      </c>
      <c r="O224" s="191">
        <v>0</v>
      </c>
      <c r="P224" s="191">
        <v>0</v>
      </c>
      <c r="Q224" s="191">
        <v>0</v>
      </c>
      <c r="R224" s="191">
        <v>0</v>
      </c>
      <c r="S224" s="191">
        <v>0</v>
      </c>
      <c r="T224" s="191">
        <v>0</v>
      </c>
      <c r="U224" s="191">
        <v>0</v>
      </c>
    </row>
    <row r="225" spans="1:21" x14ac:dyDescent="0.3">
      <c r="A225" s="195">
        <v>2280000</v>
      </c>
      <c r="B225" s="6">
        <v>28200</v>
      </c>
      <c r="C225" s="10">
        <v>21200</v>
      </c>
      <c r="D225" s="11">
        <v>11960</v>
      </c>
      <c r="E225" s="6">
        <v>8580</v>
      </c>
      <c r="F225" s="6">
        <v>5210</v>
      </c>
      <c r="G225" s="6">
        <v>1830</v>
      </c>
      <c r="H225" s="9">
        <v>0</v>
      </c>
      <c r="I225" s="9">
        <v>0</v>
      </c>
      <c r="J225" s="9"/>
      <c r="K225" s="9"/>
      <c r="L225" s="9"/>
      <c r="M225" s="191">
        <v>0</v>
      </c>
      <c r="N225" s="191">
        <v>0</v>
      </c>
      <c r="O225" s="191">
        <v>0</v>
      </c>
      <c r="P225" s="191">
        <v>0</v>
      </c>
      <c r="Q225" s="191">
        <v>0</v>
      </c>
      <c r="R225" s="191">
        <v>0</v>
      </c>
      <c r="S225" s="191">
        <v>0</v>
      </c>
      <c r="T225" s="191">
        <v>0</v>
      </c>
      <c r="U225" s="191">
        <v>0</v>
      </c>
    </row>
    <row r="226" spans="1:21" x14ac:dyDescent="0.3">
      <c r="A226" s="195">
        <v>2290000</v>
      </c>
      <c r="B226" s="12">
        <v>28520</v>
      </c>
      <c r="C226" s="10">
        <v>21520</v>
      </c>
      <c r="D226" s="11">
        <v>12150</v>
      </c>
      <c r="E226" s="6">
        <v>8780</v>
      </c>
      <c r="F226" s="6">
        <v>5400</v>
      </c>
      <c r="G226" s="6">
        <v>2030</v>
      </c>
      <c r="H226" s="9">
        <v>0</v>
      </c>
      <c r="I226" s="9">
        <v>0</v>
      </c>
      <c r="J226" s="9"/>
      <c r="K226" s="9"/>
      <c r="L226" s="9"/>
      <c r="M226" s="191"/>
      <c r="N226" s="191"/>
      <c r="O226" s="191"/>
      <c r="P226" s="191"/>
      <c r="Q226" s="191"/>
      <c r="R226" s="191"/>
      <c r="S226" s="191"/>
      <c r="T226" s="191"/>
      <c r="U226" s="191"/>
    </row>
    <row r="227" spans="1:21" x14ac:dyDescent="0.3">
      <c r="A227" s="195">
        <v>2300000</v>
      </c>
      <c r="B227" s="6">
        <v>28840</v>
      </c>
      <c r="C227" s="10">
        <v>21840</v>
      </c>
      <c r="D227" s="11">
        <v>12350</v>
      </c>
      <c r="E227" s="6">
        <v>8980</v>
      </c>
      <c r="F227" s="12">
        <v>5600</v>
      </c>
      <c r="G227" s="6">
        <v>2230</v>
      </c>
      <c r="H227" s="9">
        <v>0</v>
      </c>
      <c r="I227" s="9">
        <v>0</v>
      </c>
      <c r="J227" s="9"/>
      <c r="K227" s="9"/>
      <c r="L227" s="9"/>
      <c r="M227" s="191"/>
      <c r="N227" s="191"/>
      <c r="O227" s="191"/>
      <c r="P227" s="191"/>
      <c r="Q227" s="191"/>
      <c r="R227" s="191"/>
      <c r="S227" s="191"/>
      <c r="T227" s="191"/>
      <c r="U227" s="191"/>
    </row>
    <row r="228" spans="1:21" x14ac:dyDescent="0.3">
      <c r="A228" s="195">
        <v>2310000</v>
      </c>
      <c r="B228" s="6">
        <v>29160</v>
      </c>
      <c r="C228" s="10">
        <v>22160</v>
      </c>
      <c r="D228" s="11">
        <v>12550</v>
      </c>
      <c r="E228" s="6">
        <v>9180</v>
      </c>
      <c r="F228" s="6">
        <v>5800</v>
      </c>
      <c r="G228" s="6">
        <v>2430</v>
      </c>
      <c r="H228" s="9">
        <v>0</v>
      </c>
      <c r="I228" s="9">
        <v>0</v>
      </c>
      <c r="J228" s="9"/>
      <c r="K228" s="9"/>
      <c r="L228" s="9"/>
      <c r="M228" s="191"/>
      <c r="N228" s="191"/>
      <c r="O228" s="191"/>
      <c r="P228" s="191"/>
      <c r="Q228" s="191"/>
      <c r="R228" s="191"/>
      <c r="S228" s="191"/>
      <c r="T228" s="191"/>
      <c r="U228" s="191"/>
    </row>
    <row r="229" spans="1:21" x14ac:dyDescent="0.3">
      <c r="A229" s="195">
        <v>2320000</v>
      </c>
      <c r="B229" s="6">
        <v>29480</v>
      </c>
      <c r="C229" s="10">
        <v>22480</v>
      </c>
      <c r="D229" s="11">
        <v>12750</v>
      </c>
      <c r="E229" s="6">
        <v>9370</v>
      </c>
      <c r="F229" s="6">
        <v>6000</v>
      </c>
      <c r="G229" s="6">
        <v>2620</v>
      </c>
      <c r="H229" s="9">
        <v>0</v>
      </c>
      <c r="I229" s="9">
        <v>0</v>
      </c>
      <c r="J229" s="9"/>
      <c r="K229" s="9"/>
      <c r="L229" s="9"/>
      <c r="M229" s="191"/>
      <c r="N229" s="191"/>
      <c r="O229" s="191"/>
      <c r="P229" s="191"/>
      <c r="Q229" s="191"/>
      <c r="R229" s="191"/>
      <c r="S229" s="191"/>
      <c r="T229" s="191"/>
      <c r="U229" s="191"/>
    </row>
    <row r="230" spans="1:21" x14ac:dyDescent="0.3">
      <c r="A230" s="195">
        <v>2330000</v>
      </c>
      <c r="B230" s="6">
        <v>29810</v>
      </c>
      <c r="C230" s="10">
        <v>22810</v>
      </c>
      <c r="D230" s="11">
        <v>12950</v>
      </c>
      <c r="E230" s="6">
        <v>9570</v>
      </c>
      <c r="F230" s="6">
        <v>6200</v>
      </c>
      <c r="G230" s="6">
        <v>2820</v>
      </c>
      <c r="H230" s="9">
        <v>0</v>
      </c>
      <c r="I230" s="9">
        <v>0</v>
      </c>
      <c r="J230" s="9"/>
      <c r="K230" s="9"/>
      <c r="L230" s="9"/>
      <c r="M230" s="191"/>
      <c r="N230" s="191"/>
      <c r="O230" s="191"/>
      <c r="P230" s="191"/>
      <c r="Q230" s="191"/>
      <c r="R230" s="191"/>
      <c r="S230" s="191"/>
      <c r="T230" s="191"/>
      <c r="U230" s="191"/>
    </row>
    <row r="231" spans="1:21" x14ac:dyDescent="0.3">
      <c r="A231" s="195">
        <v>2340000</v>
      </c>
      <c r="B231" s="6">
        <v>30130</v>
      </c>
      <c r="C231" s="10">
        <v>23130</v>
      </c>
      <c r="D231" s="11">
        <v>13150</v>
      </c>
      <c r="E231" s="6">
        <v>9770</v>
      </c>
      <c r="F231" s="6">
        <v>6400</v>
      </c>
      <c r="G231" s="6">
        <v>3020</v>
      </c>
      <c r="H231" s="9">
        <v>0</v>
      </c>
      <c r="I231" s="9">
        <v>0</v>
      </c>
      <c r="J231" s="9"/>
      <c r="K231" s="9"/>
      <c r="L231" s="9"/>
      <c r="M231" s="191"/>
      <c r="N231" s="191"/>
      <c r="O231" s="191"/>
      <c r="P231" s="191"/>
      <c r="Q231" s="191"/>
      <c r="R231" s="191"/>
      <c r="S231" s="191"/>
      <c r="T231" s="191"/>
      <c r="U231" s="191"/>
    </row>
    <row r="232" spans="1:21" x14ac:dyDescent="0.3">
      <c r="A232" s="195">
        <v>2350000</v>
      </c>
      <c r="B232" s="6">
        <v>30450</v>
      </c>
      <c r="C232" s="10">
        <v>23450</v>
      </c>
      <c r="D232" s="11">
        <v>13340</v>
      </c>
      <c r="E232" s="6">
        <v>9970</v>
      </c>
      <c r="F232" s="6">
        <v>6590</v>
      </c>
      <c r="G232" s="6">
        <v>3220</v>
      </c>
      <c r="H232" s="9">
        <v>0</v>
      </c>
      <c r="I232" s="9">
        <v>0</v>
      </c>
      <c r="J232" s="9"/>
      <c r="K232" s="9"/>
      <c r="L232" s="9"/>
      <c r="M232" s="191"/>
      <c r="N232" s="191"/>
      <c r="O232" s="191"/>
      <c r="P232" s="191"/>
      <c r="Q232" s="191"/>
      <c r="R232" s="191"/>
      <c r="S232" s="191"/>
      <c r="T232" s="191"/>
      <c r="U232" s="191"/>
    </row>
    <row r="233" spans="1:21" x14ac:dyDescent="0.3">
      <c r="A233" s="195">
        <v>2360000</v>
      </c>
      <c r="B233" s="6">
        <v>30770</v>
      </c>
      <c r="C233" s="10">
        <v>23770</v>
      </c>
      <c r="D233" s="11">
        <v>13540</v>
      </c>
      <c r="E233" s="6">
        <v>10170</v>
      </c>
      <c r="F233" s="6">
        <v>6790</v>
      </c>
      <c r="G233" s="6">
        <v>3420</v>
      </c>
      <c r="H233" s="9">
        <v>0</v>
      </c>
      <c r="I233" s="9">
        <v>0</v>
      </c>
      <c r="J233" s="9"/>
      <c r="K233" s="9"/>
      <c r="L233" s="9"/>
      <c r="M233" s="191"/>
      <c r="N233" s="191"/>
      <c r="O233" s="191"/>
      <c r="P233" s="191"/>
      <c r="Q233" s="191"/>
      <c r="R233" s="191"/>
      <c r="S233" s="191"/>
      <c r="T233" s="191"/>
      <c r="U233" s="191"/>
    </row>
    <row r="234" spans="1:21" x14ac:dyDescent="0.3">
      <c r="A234" s="195">
        <v>2370000</v>
      </c>
      <c r="B234" s="6">
        <v>31090</v>
      </c>
      <c r="C234" s="10">
        <v>24090</v>
      </c>
      <c r="D234" s="11">
        <v>13740</v>
      </c>
      <c r="E234" s="6">
        <v>10370</v>
      </c>
      <c r="F234" s="6">
        <v>6990</v>
      </c>
      <c r="G234" s="6">
        <v>3620</v>
      </c>
      <c r="H234" s="9">
        <v>0</v>
      </c>
      <c r="I234" s="9">
        <v>0</v>
      </c>
      <c r="J234" s="9"/>
      <c r="K234" s="9"/>
      <c r="L234" s="9"/>
      <c r="M234" s="191"/>
      <c r="N234" s="191"/>
      <c r="O234" s="191"/>
      <c r="P234" s="191"/>
      <c r="Q234" s="191"/>
      <c r="R234" s="191"/>
      <c r="S234" s="191"/>
      <c r="T234" s="191"/>
      <c r="U234" s="191"/>
    </row>
    <row r="235" spans="1:21" x14ac:dyDescent="0.3">
      <c r="A235" s="195">
        <v>2380000</v>
      </c>
      <c r="B235" s="6">
        <v>31410</v>
      </c>
      <c r="C235" s="10">
        <v>24410</v>
      </c>
      <c r="D235" s="11">
        <v>13940</v>
      </c>
      <c r="E235" s="6">
        <v>10560</v>
      </c>
      <c r="F235" s="6">
        <v>7190</v>
      </c>
      <c r="G235" s="6">
        <v>3810</v>
      </c>
      <c r="H235" s="9">
        <v>0</v>
      </c>
      <c r="I235" s="9">
        <v>0</v>
      </c>
      <c r="J235" s="9"/>
      <c r="K235" s="9"/>
      <c r="L235" s="9"/>
      <c r="M235" s="191"/>
      <c r="N235" s="191"/>
      <c r="O235" s="191"/>
      <c r="P235" s="191"/>
      <c r="Q235" s="191"/>
      <c r="R235" s="191"/>
      <c r="S235" s="191"/>
      <c r="T235" s="191"/>
      <c r="U235" s="191"/>
    </row>
    <row r="236" spans="1:21" x14ac:dyDescent="0.3">
      <c r="A236" s="195">
        <v>2390000</v>
      </c>
      <c r="B236" s="6">
        <v>31730</v>
      </c>
      <c r="C236" s="10">
        <v>24730</v>
      </c>
      <c r="D236" s="11">
        <v>14140</v>
      </c>
      <c r="E236" s="6">
        <v>10760</v>
      </c>
      <c r="F236" s="6">
        <v>7390</v>
      </c>
      <c r="G236" s="6">
        <v>4010</v>
      </c>
      <c r="H236" s="9">
        <v>0</v>
      </c>
      <c r="I236" s="9">
        <v>0</v>
      </c>
      <c r="J236" s="9"/>
      <c r="K236" s="9"/>
      <c r="L236" s="9"/>
      <c r="M236" s="191"/>
      <c r="N236" s="191"/>
      <c r="O236" s="191"/>
      <c r="P236" s="191"/>
      <c r="Q236" s="191"/>
      <c r="R236" s="191"/>
      <c r="S236" s="191"/>
      <c r="T236" s="191"/>
      <c r="U236" s="191"/>
    </row>
    <row r="237" spans="1:21" x14ac:dyDescent="0.3">
      <c r="A237" s="195">
        <v>2400000</v>
      </c>
      <c r="B237" s="6">
        <v>32050</v>
      </c>
      <c r="C237" s="10">
        <v>25050</v>
      </c>
      <c r="D237" s="11">
        <v>14340</v>
      </c>
      <c r="E237" s="6">
        <v>10960</v>
      </c>
      <c r="F237" s="6">
        <v>7590</v>
      </c>
      <c r="G237" s="6">
        <v>4210</v>
      </c>
      <c r="H237" s="6">
        <v>0</v>
      </c>
      <c r="I237" s="9">
        <v>0</v>
      </c>
      <c r="J237" s="9"/>
      <c r="K237" s="9"/>
      <c r="L237" s="9"/>
      <c r="M237" s="191"/>
      <c r="N237" s="191"/>
      <c r="O237" s="191"/>
      <c r="P237" s="191"/>
      <c r="Q237" s="191"/>
      <c r="R237" s="191"/>
      <c r="S237" s="191"/>
      <c r="T237" s="191"/>
      <c r="U237" s="191"/>
    </row>
    <row r="238" spans="1:21" x14ac:dyDescent="0.3">
      <c r="A238" s="195">
        <v>2410000</v>
      </c>
      <c r="B238" s="6">
        <v>32380</v>
      </c>
      <c r="C238" s="10">
        <v>25380</v>
      </c>
      <c r="D238" s="11">
        <v>14530</v>
      </c>
      <c r="E238" s="6">
        <v>11160</v>
      </c>
      <c r="F238" s="6">
        <v>7780</v>
      </c>
      <c r="G238" s="6">
        <v>4410</v>
      </c>
      <c r="H238" s="6">
        <v>1030</v>
      </c>
      <c r="I238" s="9">
        <v>0</v>
      </c>
      <c r="J238" s="9"/>
      <c r="K238" s="9"/>
      <c r="L238" s="9"/>
      <c r="M238" s="191"/>
      <c r="N238" s="191"/>
      <c r="O238" s="191"/>
      <c r="P238" s="191"/>
      <c r="Q238" s="191"/>
      <c r="R238" s="191"/>
      <c r="S238" s="191"/>
      <c r="T238" s="191"/>
      <c r="U238" s="191"/>
    </row>
    <row r="239" spans="1:21" x14ac:dyDescent="0.3">
      <c r="A239" s="195">
        <v>2420000</v>
      </c>
      <c r="B239" s="6">
        <v>32700</v>
      </c>
      <c r="C239" s="10">
        <v>25700</v>
      </c>
      <c r="D239" s="11">
        <v>14730</v>
      </c>
      <c r="E239" s="6">
        <v>11360</v>
      </c>
      <c r="F239" s="6">
        <v>7980</v>
      </c>
      <c r="G239" s="6">
        <v>4610</v>
      </c>
      <c r="H239" s="6">
        <v>1230</v>
      </c>
      <c r="I239" s="9">
        <v>0</v>
      </c>
      <c r="J239" s="9"/>
      <c r="K239" s="9"/>
      <c r="L239" s="9"/>
      <c r="M239" s="191"/>
      <c r="N239" s="191"/>
      <c r="O239" s="191"/>
      <c r="P239" s="191"/>
      <c r="Q239" s="191"/>
      <c r="R239" s="191"/>
      <c r="S239" s="191"/>
      <c r="T239" s="191"/>
      <c r="U239" s="191"/>
    </row>
    <row r="240" spans="1:21" x14ac:dyDescent="0.3">
      <c r="A240" s="195">
        <v>2430000</v>
      </c>
      <c r="B240" s="6">
        <v>33020</v>
      </c>
      <c r="C240" s="10">
        <v>26020</v>
      </c>
      <c r="D240" s="11">
        <v>14930</v>
      </c>
      <c r="E240" s="6">
        <v>11560</v>
      </c>
      <c r="F240" s="6">
        <v>8180</v>
      </c>
      <c r="G240" s="6">
        <v>4810</v>
      </c>
      <c r="H240" s="6">
        <v>1430</v>
      </c>
      <c r="I240" s="9">
        <v>0</v>
      </c>
      <c r="J240" s="9"/>
      <c r="K240" s="9"/>
      <c r="L240" s="9"/>
      <c r="M240" s="191"/>
      <c r="N240" s="191"/>
      <c r="O240" s="191"/>
      <c r="P240" s="191"/>
      <c r="Q240" s="191"/>
      <c r="R240" s="191"/>
      <c r="S240" s="191"/>
      <c r="T240" s="191"/>
      <c r="U240" s="191"/>
    </row>
    <row r="241" spans="1:21" x14ac:dyDescent="0.3">
      <c r="A241" s="195">
        <v>2440000</v>
      </c>
      <c r="B241" s="6">
        <v>33340</v>
      </c>
      <c r="C241" s="10">
        <v>26340</v>
      </c>
      <c r="D241" s="11">
        <v>15130</v>
      </c>
      <c r="E241" s="6">
        <v>11760</v>
      </c>
      <c r="F241" s="6">
        <v>8380</v>
      </c>
      <c r="G241" s="6">
        <v>5010</v>
      </c>
      <c r="H241" s="6">
        <v>1630</v>
      </c>
      <c r="I241" s="9">
        <v>0</v>
      </c>
      <c r="J241" s="9"/>
      <c r="K241" s="9"/>
      <c r="L241" s="9"/>
      <c r="M241" s="191"/>
      <c r="N241" s="191"/>
      <c r="O241" s="191"/>
      <c r="P241" s="191"/>
      <c r="Q241" s="191"/>
      <c r="R241" s="191"/>
      <c r="S241" s="191"/>
      <c r="T241" s="191"/>
      <c r="U241" s="191"/>
    </row>
    <row r="242" spans="1:21" x14ac:dyDescent="0.3">
      <c r="A242" s="195">
        <v>2450000</v>
      </c>
      <c r="B242" s="6">
        <v>33660</v>
      </c>
      <c r="C242" s="10">
        <v>26660</v>
      </c>
      <c r="D242" s="11">
        <v>15330</v>
      </c>
      <c r="E242" s="6">
        <v>11950</v>
      </c>
      <c r="F242" s="6">
        <v>8580</v>
      </c>
      <c r="G242" s="6">
        <v>5200</v>
      </c>
      <c r="H242" s="6">
        <v>1830</v>
      </c>
      <c r="I242" s="9">
        <v>0</v>
      </c>
      <c r="J242" s="9"/>
      <c r="K242" s="9"/>
      <c r="L242" s="9"/>
      <c r="M242" s="191"/>
      <c r="N242" s="191"/>
      <c r="O242" s="191"/>
      <c r="P242" s="191"/>
      <c r="Q242" s="191"/>
      <c r="R242" s="191"/>
      <c r="S242" s="191"/>
      <c r="T242" s="191"/>
      <c r="U242" s="191"/>
    </row>
    <row r="243" spans="1:21" x14ac:dyDescent="0.3">
      <c r="A243" s="195">
        <v>2460000</v>
      </c>
      <c r="B243" s="6">
        <v>33980</v>
      </c>
      <c r="C243" s="10">
        <v>26980</v>
      </c>
      <c r="D243" s="11">
        <v>15530</v>
      </c>
      <c r="E243" s="6">
        <v>12150</v>
      </c>
      <c r="F243" s="6">
        <v>8780</v>
      </c>
      <c r="G243" s="6">
        <v>5400</v>
      </c>
      <c r="H243" s="6">
        <v>2030</v>
      </c>
      <c r="I243" s="9">
        <v>0</v>
      </c>
      <c r="J243" s="9"/>
      <c r="K243" s="9"/>
      <c r="L243" s="9"/>
      <c r="M243" s="191"/>
      <c r="N243" s="191"/>
      <c r="O243" s="191"/>
      <c r="P243" s="191"/>
      <c r="Q243" s="191"/>
      <c r="R243" s="191"/>
      <c r="S243" s="191"/>
      <c r="T243" s="191"/>
      <c r="U243" s="191"/>
    </row>
    <row r="244" spans="1:21" x14ac:dyDescent="0.3">
      <c r="A244" s="195">
        <v>2470000</v>
      </c>
      <c r="B244" s="6">
        <v>34300</v>
      </c>
      <c r="C244" s="10">
        <v>27300</v>
      </c>
      <c r="D244" s="11">
        <v>15730</v>
      </c>
      <c r="E244" s="6">
        <v>12350</v>
      </c>
      <c r="F244" s="6">
        <v>8980</v>
      </c>
      <c r="G244" s="6">
        <v>5600</v>
      </c>
      <c r="H244" s="6">
        <v>2230</v>
      </c>
      <c r="I244" s="9">
        <v>0</v>
      </c>
      <c r="J244" s="9"/>
      <c r="K244" s="9"/>
      <c r="L244" s="9"/>
      <c r="M244" s="191"/>
      <c r="N244" s="191"/>
      <c r="O244" s="191"/>
      <c r="P244" s="191"/>
      <c r="Q244" s="191"/>
      <c r="R244" s="191"/>
      <c r="S244" s="191"/>
      <c r="T244" s="191"/>
      <c r="U244" s="191"/>
    </row>
    <row r="245" spans="1:21" x14ac:dyDescent="0.3">
      <c r="A245" s="195">
        <v>2480000</v>
      </c>
      <c r="B245" s="6">
        <v>34630</v>
      </c>
      <c r="C245" s="10">
        <v>27630</v>
      </c>
      <c r="D245" s="11">
        <v>15920</v>
      </c>
      <c r="E245" s="6">
        <v>12550</v>
      </c>
      <c r="F245" s="6">
        <v>9170</v>
      </c>
      <c r="G245" s="6">
        <v>5800</v>
      </c>
      <c r="H245" s="6">
        <v>2420</v>
      </c>
      <c r="I245" s="9">
        <v>0</v>
      </c>
      <c r="J245" s="9"/>
      <c r="K245" s="9"/>
      <c r="L245" s="9"/>
      <c r="M245" s="191"/>
      <c r="N245" s="191"/>
      <c r="O245" s="191"/>
      <c r="P245" s="191"/>
      <c r="Q245" s="191"/>
      <c r="R245" s="191"/>
      <c r="S245" s="191"/>
      <c r="T245" s="191"/>
      <c r="U245" s="191"/>
    </row>
    <row r="246" spans="1:21" x14ac:dyDescent="0.3">
      <c r="A246" s="195">
        <v>2490000</v>
      </c>
      <c r="B246" s="6">
        <v>34950</v>
      </c>
      <c r="C246" s="10">
        <v>27950</v>
      </c>
      <c r="D246" s="11">
        <v>16120</v>
      </c>
      <c r="E246" s="6">
        <v>12750</v>
      </c>
      <c r="F246" s="6">
        <v>9370</v>
      </c>
      <c r="G246" s="6">
        <v>6000</v>
      </c>
      <c r="H246" s="6">
        <v>2620</v>
      </c>
      <c r="I246" s="9">
        <v>0</v>
      </c>
      <c r="J246" s="9"/>
      <c r="K246" s="9"/>
      <c r="L246" s="9"/>
      <c r="M246" s="191"/>
      <c r="N246" s="191"/>
      <c r="O246" s="191"/>
      <c r="P246" s="191"/>
      <c r="Q246" s="191"/>
      <c r="R246" s="191"/>
      <c r="S246" s="191"/>
      <c r="T246" s="191"/>
      <c r="U246" s="191"/>
    </row>
    <row r="247" spans="1:21" x14ac:dyDescent="0.3">
      <c r="A247" s="195">
        <v>2500000</v>
      </c>
      <c r="B247" s="6">
        <v>35270</v>
      </c>
      <c r="C247" s="10">
        <v>28270</v>
      </c>
      <c r="D247" s="11">
        <v>16320</v>
      </c>
      <c r="E247" s="6">
        <v>12950</v>
      </c>
      <c r="F247" s="6">
        <v>9570</v>
      </c>
      <c r="G247" s="6">
        <v>6200</v>
      </c>
      <c r="H247" s="6">
        <v>2820</v>
      </c>
      <c r="I247" s="9">
        <v>0</v>
      </c>
      <c r="J247" s="9"/>
      <c r="K247" s="9"/>
      <c r="L247" s="9"/>
      <c r="M247" s="191"/>
      <c r="N247" s="191"/>
      <c r="O247" s="191"/>
      <c r="P247" s="191"/>
      <c r="Q247" s="191"/>
      <c r="R247" s="191"/>
      <c r="S247" s="191"/>
      <c r="T247" s="191"/>
      <c r="U247" s="191"/>
    </row>
    <row r="248" spans="1:21" x14ac:dyDescent="0.3">
      <c r="A248" s="195">
        <v>2510000</v>
      </c>
      <c r="B248" s="6">
        <v>35600</v>
      </c>
      <c r="C248" s="10">
        <v>28600</v>
      </c>
      <c r="D248" s="11">
        <v>16530</v>
      </c>
      <c r="E248" s="6">
        <v>13150</v>
      </c>
      <c r="F248" s="6">
        <v>9780</v>
      </c>
      <c r="G248" s="6">
        <v>6400</v>
      </c>
      <c r="H248" s="6">
        <v>3030</v>
      </c>
      <c r="I248" s="9">
        <v>0</v>
      </c>
      <c r="J248" s="9"/>
      <c r="K248" s="9"/>
      <c r="L248" s="9"/>
      <c r="M248" s="191"/>
      <c r="N248" s="191"/>
      <c r="O248" s="191"/>
      <c r="P248" s="191"/>
      <c r="Q248" s="191"/>
      <c r="R248" s="191"/>
      <c r="S248" s="191"/>
      <c r="T248" s="191"/>
      <c r="U248" s="191"/>
    </row>
    <row r="249" spans="1:21" x14ac:dyDescent="0.3">
      <c r="A249" s="195">
        <v>2520000</v>
      </c>
      <c r="B249" s="6">
        <v>35940</v>
      </c>
      <c r="C249" s="10">
        <v>28940</v>
      </c>
      <c r="D249" s="11">
        <v>16740</v>
      </c>
      <c r="E249" s="6">
        <v>13360</v>
      </c>
      <c r="F249" s="6">
        <v>9990</v>
      </c>
      <c r="G249" s="6">
        <v>6610</v>
      </c>
      <c r="H249" s="6">
        <v>3240</v>
      </c>
      <c r="I249" s="9">
        <v>0</v>
      </c>
      <c r="J249" s="9"/>
      <c r="K249" s="9"/>
      <c r="L249" s="9"/>
      <c r="M249" s="191"/>
      <c r="N249" s="191"/>
      <c r="O249" s="191"/>
      <c r="P249" s="191"/>
      <c r="Q249" s="191"/>
      <c r="R249" s="191"/>
      <c r="S249" s="191"/>
      <c r="T249" s="191"/>
      <c r="U249" s="191"/>
    </row>
    <row r="250" spans="1:21" x14ac:dyDescent="0.3">
      <c r="A250" s="195">
        <v>2530000</v>
      </c>
      <c r="B250" s="6">
        <v>36280</v>
      </c>
      <c r="C250" s="10">
        <v>29280</v>
      </c>
      <c r="D250" s="11">
        <v>16950</v>
      </c>
      <c r="E250" s="6">
        <v>13580</v>
      </c>
      <c r="F250" s="6">
        <v>10200</v>
      </c>
      <c r="G250" s="6">
        <v>6830</v>
      </c>
      <c r="H250" s="6">
        <v>3450</v>
      </c>
      <c r="I250" s="9">
        <v>0</v>
      </c>
      <c r="J250" s="9"/>
      <c r="K250" s="9"/>
      <c r="L250" s="9"/>
      <c r="M250" s="191"/>
      <c r="N250" s="191"/>
      <c r="O250" s="191"/>
      <c r="P250" s="191"/>
      <c r="Q250" s="191"/>
      <c r="R250" s="191"/>
      <c r="S250" s="191"/>
      <c r="T250" s="191"/>
      <c r="U250" s="191"/>
    </row>
    <row r="251" spans="1:21" x14ac:dyDescent="0.3">
      <c r="A251" s="195">
        <v>2540000</v>
      </c>
      <c r="B251" s="6">
        <v>36630</v>
      </c>
      <c r="C251" s="10">
        <v>29630</v>
      </c>
      <c r="D251" s="11">
        <v>17160</v>
      </c>
      <c r="E251" s="6">
        <v>13790</v>
      </c>
      <c r="F251" s="6">
        <v>10410</v>
      </c>
      <c r="G251" s="6">
        <v>7040</v>
      </c>
      <c r="H251" s="6">
        <v>3660</v>
      </c>
      <c r="I251" s="9">
        <v>0</v>
      </c>
      <c r="J251" s="9"/>
      <c r="K251" s="9"/>
      <c r="L251" s="9"/>
      <c r="M251" s="191"/>
      <c r="N251" s="191"/>
      <c r="O251" s="191"/>
      <c r="P251" s="191"/>
      <c r="Q251" s="191"/>
      <c r="R251" s="191"/>
      <c r="S251" s="191"/>
      <c r="T251" s="191"/>
      <c r="U251" s="191"/>
    </row>
    <row r="252" spans="1:21" x14ac:dyDescent="0.3">
      <c r="A252" s="195">
        <v>2550000</v>
      </c>
      <c r="B252" s="6">
        <v>36970</v>
      </c>
      <c r="C252" s="10">
        <v>29970</v>
      </c>
      <c r="D252" s="11">
        <v>17370</v>
      </c>
      <c r="E252" s="6">
        <v>14000</v>
      </c>
      <c r="F252" s="6">
        <v>10620</v>
      </c>
      <c r="G252" s="6">
        <v>7250</v>
      </c>
      <c r="H252" s="6">
        <v>3870</v>
      </c>
      <c r="I252" s="9">
        <v>0</v>
      </c>
      <c r="J252" s="9"/>
      <c r="K252" s="9"/>
      <c r="L252" s="9"/>
      <c r="M252" s="191"/>
      <c r="N252" s="191"/>
      <c r="O252" s="191"/>
      <c r="P252" s="191"/>
      <c r="Q252" s="191"/>
      <c r="R252" s="191"/>
      <c r="S252" s="191"/>
      <c r="T252" s="191"/>
      <c r="U252" s="191"/>
    </row>
    <row r="253" spans="1:21" x14ac:dyDescent="0.3">
      <c r="A253" s="195">
        <v>2560000</v>
      </c>
      <c r="B253" s="6">
        <v>37310</v>
      </c>
      <c r="C253" s="10">
        <v>30310</v>
      </c>
      <c r="D253" s="11">
        <v>17590</v>
      </c>
      <c r="E253" s="6">
        <v>14210</v>
      </c>
      <c r="F253" s="6">
        <v>10840</v>
      </c>
      <c r="G253" s="6">
        <v>7460</v>
      </c>
      <c r="H253" s="6">
        <v>4090</v>
      </c>
      <c r="I253" s="9">
        <v>0</v>
      </c>
      <c r="J253" s="9"/>
      <c r="K253" s="9"/>
      <c r="L253" s="9"/>
      <c r="M253" s="191"/>
      <c r="N253" s="191"/>
      <c r="O253" s="191"/>
      <c r="P253" s="191"/>
      <c r="Q253" s="191"/>
      <c r="R253" s="191"/>
      <c r="S253" s="191"/>
      <c r="T253" s="191"/>
      <c r="U253" s="191"/>
    </row>
    <row r="254" spans="1:21" x14ac:dyDescent="0.3">
      <c r="A254" s="195">
        <v>2570000</v>
      </c>
      <c r="B254" s="6">
        <v>37650</v>
      </c>
      <c r="C254" s="10">
        <v>30650</v>
      </c>
      <c r="D254" s="11">
        <v>17800</v>
      </c>
      <c r="E254" s="6">
        <v>14420</v>
      </c>
      <c r="F254" s="6">
        <v>11050</v>
      </c>
      <c r="G254" s="6">
        <v>7670</v>
      </c>
      <c r="H254" s="6">
        <v>4300</v>
      </c>
      <c r="I254" s="6">
        <v>0</v>
      </c>
      <c r="J254" s="9"/>
      <c r="K254" s="9"/>
      <c r="L254" s="9"/>
      <c r="M254" s="191"/>
      <c r="N254" s="191"/>
      <c r="O254" s="191"/>
      <c r="P254" s="191"/>
      <c r="Q254" s="191"/>
      <c r="R254" s="191"/>
      <c r="S254" s="191"/>
      <c r="T254" s="191"/>
      <c r="U254" s="191"/>
    </row>
    <row r="255" spans="1:21" x14ac:dyDescent="0.3">
      <c r="A255" s="195">
        <v>2580000</v>
      </c>
      <c r="B255" s="6">
        <v>38000</v>
      </c>
      <c r="C255" s="10">
        <v>31000</v>
      </c>
      <c r="D255" s="11">
        <v>18010</v>
      </c>
      <c r="E255" s="6">
        <v>14630</v>
      </c>
      <c r="F255" s="6">
        <v>11260</v>
      </c>
      <c r="G255" s="6">
        <v>7880</v>
      </c>
      <c r="H255" s="6">
        <v>4510</v>
      </c>
      <c r="I255" s="6">
        <v>1130</v>
      </c>
      <c r="J255" s="9"/>
      <c r="K255" s="9"/>
      <c r="L255" s="9"/>
      <c r="M255" s="191"/>
      <c r="N255" s="191"/>
      <c r="O255" s="191"/>
      <c r="P255" s="191"/>
      <c r="Q255" s="191"/>
      <c r="R255" s="191"/>
      <c r="S255" s="191"/>
      <c r="T255" s="191"/>
      <c r="U255" s="191"/>
    </row>
    <row r="256" spans="1:21" x14ac:dyDescent="0.3">
      <c r="A256" s="195">
        <v>2590000</v>
      </c>
      <c r="B256" s="6">
        <v>38340</v>
      </c>
      <c r="C256" s="10">
        <v>31340</v>
      </c>
      <c r="D256" s="11">
        <v>18220</v>
      </c>
      <c r="E256" s="6">
        <v>14850</v>
      </c>
      <c r="F256" s="6">
        <v>11470</v>
      </c>
      <c r="G256" s="6">
        <v>8100</v>
      </c>
      <c r="H256" s="6">
        <v>4720</v>
      </c>
      <c r="I256" s="6">
        <v>1350</v>
      </c>
      <c r="J256" s="9"/>
      <c r="K256" s="9"/>
      <c r="L256" s="9"/>
      <c r="M256" s="191"/>
      <c r="N256" s="191"/>
      <c r="O256" s="191"/>
      <c r="P256" s="191"/>
      <c r="Q256" s="191"/>
      <c r="R256" s="191"/>
      <c r="S256" s="191"/>
      <c r="T256" s="191"/>
      <c r="U256" s="191"/>
    </row>
    <row r="257" spans="1:21" x14ac:dyDescent="0.3">
      <c r="A257" s="195">
        <v>2600000</v>
      </c>
      <c r="B257" s="12">
        <v>38830</v>
      </c>
      <c r="C257" s="10">
        <v>31680</v>
      </c>
      <c r="D257" s="11">
        <v>18430</v>
      </c>
      <c r="E257" s="6">
        <v>15060</v>
      </c>
      <c r="F257" s="6">
        <v>11680</v>
      </c>
      <c r="G257" s="6">
        <v>8310</v>
      </c>
      <c r="H257" s="6">
        <v>4930</v>
      </c>
      <c r="I257" s="6">
        <v>1560</v>
      </c>
      <c r="J257" s="9"/>
      <c r="K257" s="9"/>
      <c r="L257" s="9"/>
      <c r="M257" s="191"/>
      <c r="N257" s="191"/>
      <c r="O257" s="191"/>
      <c r="P257" s="191"/>
      <c r="Q257" s="191"/>
      <c r="R257" s="191"/>
      <c r="S257" s="191"/>
      <c r="T257" s="191"/>
      <c r="U257" s="191"/>
    </row>
    <row r="258" spans="1:21" x14ac:dyDescent="0.3">
      <c r="A258" s="195">
        <v>2610000</v>
      </c>
      <c r="B258" s="6">
        <v>39690</v>
      </c>
      <c r="C258" s="10">
        <v>32020</v>
      </c>
      <c r="D258" s="11">
        <v>18650</v>
      </c>
      <c r="E258" s="6">
        <v>15270</v>
      </c>
      <c r="F258" s="6">
        <v>11900</v>
      </c>
      <c r="G258" s="6">
        <v>8520</v>
      </c>
      <c r="H258" s="6">
        <v>5150</v>
      </c>
      <c r="I258" s="6">
        <v>1770</v>
      </c>
      <c r="J258" s="9"/>
      <c r="K258" s="9"/>
      <c r="L258" s="9"/>
      <c r="M258" s="191"/>
      <c r="N258" s="191"/>
      <c r="O258" s="191"/>
      <c r="P258" s="191"/>
      <c r="Q258" s="191"/>
      <c r="R258" s="191"/>
      <c r="S258" s="191"/>
      <c r="T258" s="191"/>
      <c r="U258" s="191"/>
    </row>
    <row r="259" spans="1:21" x14ac:dyDescent="0.3">
      <c r="A259" s="195">
        <v>2620000</v>
      </c>
      <c r="B259" s="6">
        <v>40540</v>
      </c>
      <c r="C259" s="10">
        <v>32360</v>
      </c>
      <c r="D259" s="11">
        <v>18920</v>
      </c>
      <c r="E259" s="6">
        <v>15480</v>
      </c>
      <c r="F259" s="6">
        <v>12110</v>
      </c>
      <c r="G259" s="6">
        <v>8730</v>
      </c>
      <c r="H259" s="6">
        <v>5360</v>
      </c>
      <c r="I259" s="6">
        <v>1980</v>
      </c>
      <c r="J259" s="9"/>
      <c r="K259" s="9"/>
      <c r="L259" s="9"/>
      <c r="M259" s="191"/>
      <c r="N259" s="191"/>
      <c r="O259" s="191"/>
      <c r="P259" s="191"/>
      <c r="Q259" s="191"/>
      <c r="R259" s="191"/>
      <c r="S259" s="191"/>
      <c r="T259" s="191"/>
      <c r="U259" s="191"/>
    </row>
    <row r="260" spans="1:21" x14ac:dyDescent="0.3">
      <c r="A260" s="195">
        <v>2630000</v>
      </c>
      <c r="B260" s="6">
        <v>41400</v>
      </c>
      <c r="C260" s="10">
        <v>32710</v>
      </c>
      <c r="D260" s="11">
        <v>19250</v>
      </c>
      <c r="E260" s="6">
        <v>15690</v>
      </c>
      <c r="F260" s="6">
        <v>12320</v>
      </c>
      <c r="G260" s="6">
        <v>8940</v>
      </c>
      <c r="H260" s="6">
        <v>5570</v>
      </c>
      <c r="I260" s="6">
        <v>2190</v>
      </c>
      <c r="J260" s="9"/>
      <c r="K260" s="9"/>
      <c r="L260" s="9"/>
      <c r="M260" s="191"/>
      <c r="N260" s="191"/>
      <c r="O260" s="191"/>
      <c r="P260" s="191"/>
      <c r="Q260" s="191"/>
      <c r="R260" s="191"/>
      <c r="S260" s="191"/>
      <c r="T260" s="191"/>
      <c r="U260" s="191"/>
    </row>
    <row r="261" spans="1:21" x14ac:dyDescent="0.3">
      <c r="A261" s="195">
        <v>2640000</v>
      </c>
      <c r="B261" s="6">
        <v>42260</v>
      </c>
      <c r="C261" s="10">
        <v>33050</v>
      </c>
      <c r="D261" s="11">
        <v>19580</v>
      </c>
      <c r="E261" s="6">
        <v>15910</v>
      </c>
      <c r="F261" s="6">
        <v>12530</v>
      </c>
      <c r="G261" s="6">
        <v>9160</v>
      </c>
      <c r="H261" s="6">
        <v>5780</v>
      </c>
      <c r="I261" s="6">
        <v>2410</v>
      </c>
      <c r="J261" s="9"/>
      <c r="K261" s="9"/>
      <c r="L261" s="9"/>
      <c r="M261" s="191"/>
      <c r="N261" s="191"/>
      <c r="O261" s="191"/>
      <c r="P261" s="191"/>
      <c r="Q261" s="191"/>
      <c r="R261" s="191"/>
      <c r="S261" s="191"/>
      <c r="T261" s="191"/>
      <c r="U261" s="191"/>
    </row>
    <row r="262" spans="1:21" x14ac:dyDescent="0.3">
      <c r="A262" s="195">
        <v>2650000</v>
      </c>
      <c r="B262" s="6">
        <v>43110</v>
      </c>
      <c r="C262" s="10">
        <v>33390</v>
      </c>
      <c r="D262" s="11">
        <v>19910</v>
      </c>
      <c r="E262" s="6">
        <v>16120</v>
      </c>
      <c r="F262" s="6">
        <v>12740</v>
      </c>
      <c r="G262" s="6">
        <v>9370</v>
      </c>
      <c r="H262" s="6">
        <v>5990</v>
      </c>
      <c r="I262" s="6">
        <v>2620</v>
      </c>
      <c r="J262" s="9"/>
      <c r="K262" s="9"/>
      <c r="L262" s="9"/>
      <c r="M262" s="191"/>
      <c r="N262" s="191"/>
      <c r="O262" s="191"/>
      <c r="P262" s="191"/>
      <c r="Q262" s="191"/>
      <c r="R262" s="191"/>
      <c r="S262" s="191"/>
      <c r="T262" s="191"/>
      <c r="U262" s="191"/>
    </row>
    <row r="263" spans="1:21" x14ac:dyDescent="0.3">
      <c r="A263" s="195">
        <v>2660000</v>
      </c>
      <c r="B263" s="6">
        <v>43970</v>
      </c>
      <c r="C263" s="10">
        <v>33730</v>
      </c>
      <c r="D263" s="11">
        <v>20240</v>
      </c>
      <c r="E263" s="6">
        <v>16330</v>
      </c>
      <c r="F263" s="6">
        <v>12960</v>
      </c>
      <c r="G263" s="6">
        <v>9580</v>
      </c>
      <c r="H263" s="6">
        <v>6210</v>
      </c>
      <c r="I263" s="6">
        <v>2830</v>
      </c>
      <c r="J263" s="9"/>
      <c r="K263" s="9"/>
      <c r="L263" s="9"/>
      <c r="M263" s="191"/>
      <c r="N263" s="191"/>
      <c r="O263" s="191"/>
      <c r="P263" s="191"/>
      <c r="Q263" s="191"/>
      <c r="R263" s="191"/>
      <c r="S263" s="191"/>
      <c r="T263" s="191"/>
      <c r="U263" s="191"/>
    </row>
    <row r="264" spans="1:21" x14ac:dyDescent="0.3">
      <c r="A264" s="195">
        <v>2670000</v>
      </c>
      <c r="B264" s="6">
        <v>44820</v>
      </c>
      <c r="C264" s="10">
        <v>34080</v>
      </c>
      <c r="D264" s="11">
        <v>20570</v>
      </c>
      <c r="E264" s="6">
        <v>16540</v>
      </c>
      <c r="F264" s="6">
        <v>13170</v>
      </c>
      <c r="G264" s="6">
        <v>9790</v>
      </c>
      <c r="H264" s="6">
        <v>6420</v>
      </c>
      <c r="I264" s="6">
        <v>3040</v>
      </c>
      <c r="J264" s="9"/>
      <c r="K264" s="9"/>
      <c r="L264" s="9"/>
      <c r="M264" s="191"/>
      <c r="N264" s="191"/>
      <c r="O264" s="191"/>
      <c r="P264" s="191"/>
      <c r="Q264" s="191"/>
      <c r="R264" s="191"/>
      <c r="S264" s="191"/>
      <c r="T264" s="191"/>
      <c r="U264" s="191"/>
    </row>
    <row r="265" spans="1:21" x14ac:dyDescent="0.3">
      <c r="A265" s="195">
        <v>2680000</v>
      </c>
      <c r="B265" s="6">
        <v>45680</v>
      </c>
      <c r="C265" s="10">
        <v>34420</v>
      </c>
      <c r="D265" s="11">
        <v>20900</v>
      </c>
      <c r="E265" s="6">
        <v>16750</v>
      </c>
      <c r="F265" s="6">
        <v>13380</v>
      </c>
      <c r="G265" s="6">
        <v>10000</v>
      </c>
      <c r="H265" s="6">
        <v>6630</v>
      </c>
      <c r="I265" s="6">
        <v>3250</v>
      </c>
      <c r="J265" s="9"/>
      <c r="K265" s="9"/>
      <c r="L265" s="9"/>
      <c r="M265" s="191"/>
      <c r="N265" s="191"/>
      <c r="O265" s="191"/>
      <c r="P265" s="191"/>
      <c r="Q265" s="191"/>
      <c r="R265" s="191"/>
      <c r="S265" s="191"/>
      <c r="T265" s="191"/>
      <c r="U265" s="191"/>
    </row>
    <row r="266" spans="1:21" x14ac:dyDescent="0.3">
      <c r="A266" s="195">
        <v>2690000</v>
      </c>
      <c r="B266" s="6">
        <v>46540</v>
      </c>
      <c r="C266" s="10">
        <v>34760</v>
      </c>
      <c r="D266" s="11">
        <v>21230</v>
      </c>
      <c r="E266" s="6">
        <v>16970</v>
      </c>
      <c r="F266" s="6">
        <v>13590</v>
      </c>
      <c r="G266" s="6">
        <v>10220</v>
      </c>
      <c r="H266" s="6">
        <v>6840</v>
      </c>
      <c r="I266" s="6">
        <v>3470</v>
      </c>
      <c r="J266" s="9"/>
      <c r="K266" s="9"/>
      <c r="L266" s="9"/>
      <c r="M266" s="191"/>
      <c r="N266" s="191"/>
      <c r="O266" s="191"/>
      <c r="P266" s="191"/>
      <c r="Q266" s="191"/>
      <c r="R266" s="191"/>
      <c r="S266" s="191"/>
      <c r="T266" s="191"/>
      <c r="U266" s="191"/>
    </row>
    <row r="267" spans="1:21" x14ac:dyDescent="0.3">
      <c r="A267" s="195">
        <v>2700000</v>
      </c>
      <c r="B267" s="6">
        <v>47390</v>
      </c>
      <c r="C267" s="10">
        <v>35100</v>
      </c>
      <c r="D267" s="11">
        <v>21560</v>
      </c>
      <c r="E267" s="6">
        <v>17180</v>
      </c>
      <c r="F267" s="6">
        <v>13800</v>
      </c>
      <c r="G267" s="6">
        <v>10430</v>
      </c>
      <c r="H267" s="6">
        <v>7050</v>
      </c>
      <c r="I267" s="6">
        <v>3680</v>
      </c>
      <c r="J267" s="9"/>
      <c r="K267" s="9"/>
      <c r="L267" s="9"/>
      <c r="M267" s="191"/>
      <c r="N267" s="191"/>
      <c r="O267" s="191"/>
      <c r="P267" s="191"/>
      <c r="Q267" s="191"/>
      <c r="R267" s="191"/>
      <c r="S267" s="191"/>
      <c r="T267" s="191"/>
      <c r="U267" s="191"/>
    </row>
    <row r="268" spans="1:21" x14ac:dyDescent="0.3">
      <c r="A268" s="195">
        <v>2710000</v>
      </c>
      <c r="B268" s="6">
        <v>48250</v>
      </c>
      <c r="C268" s="10">
        <v>35450</v>
      </c>
      <c r="D268" s="11">
        <v>21890</v>
      </c>
      <c r="E268" s="6">
        <v>17390</v>
      </c>
      <c r="F268" s="6">
        <v>14020</v>
      </c>
      <c r="G268" s="6">
        <v>10640</v>
      </c>
      <c r="H268" s="6">
        <v>7270</v>
      </c>
      <c r="I268" s="6">
        <v>3890</v>
      </c>
      <c r="J268" s="9"/>
      <c r="K268" s="9"/>
      <c r="L268" s="9"/>
      <c r="M268" s="191"/>
      <c r="N268" s="191"/>
      <c r="O268" s="191"/>
      <c r="P268" s="191"/>
      <c r="Q268" s="191"/>
      <c r="R268" s="191"/>
      <c r="S268" s="191"/>
      <c r="T268" s="191"/>
      <c r="U268" s="191"/>
    </row>
    <row r="269" spans="1:21" x14ac:dyDescent="0.3">
      <c r="A269" s="195">
        <v>2720000</v>
      </c>
      <c r="B269" s="6">
        <v>49100</v>
      </c>
      <c r="C269" s="10">
        <v>35790</v>
      </c>
      <c r="D269" s="11">
        <v>22220</v>
      </c>
      <c r="E269" s="6">
        <v>17600</v>
      </c>
      <c r="F269" s="6">
        <v>14230</v>
      </c>
      <c r="G269" s="6">
        <v>10850</v>
      </c>
      <c r="H269" s="6">
        <v>7480</v>
      </c>
      <c r="I269" s="6">
        <v>4100</v>
      </c>
      <c r="J269" s="9"/>
      <c r="K269" s="9"/>
      <c r="L269" s="9"/>
      <c r="M269" s="191"/>
      <c r="N269" s="191"/>
      <c r="O269" s="191"/>
      <c r="P269" s="191"/>
      <c r="Q269" s="191"/>
      <c r="R269" s="191"/>
      <c r="S269" s="191"/>
      <c r="T269" s="191"/>
      <c r="U269" s="191"/>
    </row>
    <row r="270" spans="1:21" x14ac:dyDescent="0.3">
      <c r="A270" s="195">
        <v>2730000</v>
      </c>
      <c r="B270" s="6">
        <v>49960</v>
      </c>
      <c r="C270" s="10">
        <v>36130</v>
      </c>
      <c r="D270" s="11">
        <v>22550</v>
      </c>
      <c r="E270" s="6">
        <v>17810</v>
      </c>
      <c r="F270" s="6">
        <v>14440</v>
      </c>
      <c r="G270" s="6">
        <v>11060</v>
      </c>
      <c r="H270" s="6">
        <v>7690</v>
      </c>
      <c r="I270" s="6">
        <v>4310</v>
      </c>
      <c r="J270" s="6">
        <v>1150</v>
      </c>
      <c r="K270" s="9"/>
      <c r="L270" s="9"/>
      <c r="M270" s="191"/>
      <c r="N270" s="191"/>
      <c r="O270" s="191"/>
      <c r="P270" s="191"/>
      <c r="Q270" s="191"/>
      <c r="R270" s="191"/>
      <c r="S270" s="191"/>
      <c r="T270" s="191"/>
      <c r="U270" s="191"/>
    </row>
    <row r="271" spans="1:21" x14ac:dyDescent="0.3">
      <c r="A271" s="195">
        <v>2740000</v>
      </c>
      <c r="B271" s="6">
        <v>50810</v>
      </c>
      <c r="C271" s="10">
        <v>36470</v>
      </c>
      <c r="D271" s="11">
        <v>22880</v>
      </c>
      <c r="E271" s="6">
        <v>18030</v>
      </c>
      <c r="F271" s="6">
        <v>14650</v>
      </c>
      <c r="G271" s="6">
        <v>11280</v>
      </c>
      <c r="H271" s="6">
        <v>7900</v>
      </c>
      <c r="I271" s="6">
        <v>4530</v>
      </c>
      <c r="J271" s="6">
        <v>1360</v>
      </c>
      <c r="K271" s="9"/>
      <c r="L271" s="9"/>
      <c r="M271" s="191"/>
      <c r="N271" s="191"/>
      <c r="O271" s="191"/>
      <c r="P271" s="191"/>
      <c r="Q271" s="191"/>
      <c r="R271" s="191"/>
      <c r="S271" s="191"/>
      <c r="T271" s="191"/>
      <c r="U271" s="191"/>
    </row>
    <row r="272" spans="1:21" x14ac:dyDescent="0.3">
      <c r="A272" s="195">
        <v>2750000</v>
      </c>
      <c r="B272" s="6">
        <v>51670</v>
      </c>
      <c r="C272" s="10">
        <v>36810</v>
      </c>
      <c r="D272" s="11">
        <v>23210</v>
      </c>
      <c r="E272" s="6">
        <v>18240</v>
      </c>
      <c r="F272" s="6">
        <v>14860</v>
      </c>
      <c r="G272" s="6">
        <v>11490</v>
      </c>
      <c r="H272" s="6">
        <v>8110</v>
      </c>
      <c r="I272" s="6">
        <v>4740</v>
      </c>
      <c r="J272" s="6">
        <v>1570</v>
      </c>
      <c r="K272" s="9"/>
      <c r="L272" s="9"/>
      <c r="M272" s="191"/>
      <c r="N272" s="191"/>
      <c r="O272" s="191"/>
      <c r="P272" s="191"/>
      <c r="Q272" s="191"/>
      <c r="R272" s="191"/>
      <c r="S272" s="191"/>
      <c r="T272" s="191"/>
      <c r="U272" s="191"/>
    </row>
    <row r="273" spans="1:21" x14ac:dyDescent="0.3">
      <c r="A273" s="195">
        <v>2760000</v>
      </c>
      <c r="B273" s="6">
        <v>52530</v>
      </c>
      <c r="C273" s="10">
        <v>37160</v>
      </c>
      <c r="D273" s="11">
        <v>23540</v>
      </c>
      <c r="E273" s="6">
        <v>18450</v>
      </c>
      <c r="F273" s="6">
        <v>15070</v>
      </c>
      <c r="G273" s="6">
        <v>11700</v>
      </c>
      <c r="H273" s="6">
        <v>8320</v>
      </c>
      <c r="I273" s="6">
        <v>4950</v>
      </c>
      <c r="J273" s="6">
        <v>1790</v>
      </c>
      <c r="K273" s="9"/>
      <c r="L273" s="9"/>
      <c r="M273" s="191"/>
      <c r="N273" s="191"/>
      <c r="O273" s="191"/>
      <c r="P273" s="191"/>
      <c r="Q273" s="191"/>
      <c r="R273" s="191"/>
      <c r="S273" s="191"/>
      <c r="T273" s="191"/>
      <c r="U273" s="191"/>
    </row>
    <row r="274" spans="1:21" x14ac:dyDescent="0.3">
      <c r="A274" s="195">
        <v>2770000</v>
      </c>
      <c r="B274" s="6">
        <v>53380</v>
      </c>
      <c r="C274" s="10">
        <v>37500</v>
      </c>
      <c r="D274" s="11">
        <v>23870</v>
      </c>
      <c r="E274" s="6">
        <v>18660</v>
      </c>
      <c r="F274" s="6">
        <v>15290</v>
      </c>
      <c r="G274" s="6">
        <v>11910</v>
      </c>
      <c r="H274" s="6">
        <v>8540</v>
      </c>
      <c r="I274" s="6">
        <v>5160</v>
      </c>
      <c r="J274" s="6">
        <v>2000</v>
      </c>
      <c r="K274" s="9"/>
      <c r="L274" s="9"/>
      <c r="M274" s="191"/>
      <c r="N274" s="191"/>
      <c r="O274" s="191"/>
      <c r="P274" s="191"/>
      <c r="Q274" s="191"/>
      <c r="R274" s="191"/>
      <c r="S274" s="191"/>
      <c r="T274" s="191"/>
      <c r="U274" s="191"/>
    </row>
    <row r="275" spans="1:21" x14ac:dyDescent="0.3">
      <c r="A275" s="195">
        <v>2780000</v>
      </c>
      <c r="B275" s="6">
        <v>54240</v>
      </c>
      <c r="C275" s="10">
        <v>37840</v>
      </c>
      <c r="D275" s="11">
        <v>24200</v>
      </c>
      <c r="E275" s="6">
        <v>18950</v>
      </c>
      <c r="F275" s="6">
        <v>15500</v>
      </c>
      <c r="G275" s="6">
        <v>12120</v>
      </c>
      <c r="H275" s="6">
        <v>8750</v>
      </c>
      <c r="I275" s="6">
        <v>5370</v>
      </c>
      <c r="J275" s="6">
        <v>2210</v>
      </c>
      <c r="K275" s="9"/>
      <c r="L275" s="9"/>
      <c r="M275" s="191"/>
      <c r="N275" s="191"/>
      <c r="O275" s="191"/>
      <c r="P275" s="191"/>
      <c r="Q275" s="191"/>
      <c r="R275" s="191"/>
      <c r="S275" s="191"/>
      <c r="T275" s="191"/>
      <c r="U275" s="191"/>
    </row>
    <row r="276" spans="1:21" x14ac:dyDescent="0.3">
      <c r="A276" s="195">
        <v>2790000</v>
      </c>
      <c r="B276" s="6">
        <v>55090</v>
      </c>
      <c r="C276" s="10">
        <v>38180</v>
      </c>
      <c r="D276" s="11">
        <v>24520</v>
      </c>
      <c r="E276" s="6">
        <v>19270</v>
      </c>
      <c r="F276" s="6">
        <v>15710</v>
      </c>
      <c r="G276" s="6">
        <v>12340</v>
      </c>
      <c r="H276" s="6">
        <v>8960</v>
      </c>
      <c r="I276" s="6">
        <v>5590</v>
      </c>
      <c r="J276" s="6">
        <v>2420</v>
      </c>
      <c r="K276" s="9"/>
      <c r="L276" s="9"/>
      <c r="M276" s="191"/>
      <c r="N276" s="191"/>
      <c r="O276" s="191"/>
      <c r="P276" s="191"/>
      <c r="Q276" s="191"/>
      <c r="R276" s="191"/>
      <c r="S276" s="191"/>
      <c r="T276" s="191"/>
      <c r="U276" s="191"/>
    </row>
    <row r="277" spans="1:21" x14ac:dyDescent="0.3">
      <c r="A277" s="195">
        <v>2800000</v>
      </c>
      <c r="B277" s="6">
        <v>55950</v>
      </c>
      <c r="C277" s="10">
        <v>38530</v>
      </c>
      <c r="D277" s="11">
        <v>24850</v>
      </c>
      <c r="E277" s="6">
        <v>19600</v>
      </c>
      <c r="F277" s="6">
        <v>15920</v>
      </c>
      <c r="G277" s="6">
        <v>12550</v>
      </c>
      <c r="H277" s="6">
        <v>9170</v>
      </c>
      <c r="I277" s="6">
        <v>5800</v>
      </c>
      <c r="J277" s="6">
        <v>2630</v>
      </c>
      <c r="K277" s="9"/>
      <c r="L277" s="9"/>
      <c r="M277" s="191"/>
      <c r="N277" s="191"/>
      <c r="O277" s="191"/>
      <c r="P277" s="191"/>
      <c r="Q277" s="191"/>
      <c r="R277" s="191"/>
      <c r="S277" s="191"/>
      <c r="T277" s="191"/>
      <c r="U277" s="191"/>
    </row>
    <row r="278" spans="1:21" x14ac:dyDescent="0.3">
      <c r="A278" s="195">
        <v>2810000</v>
      </c>
      <c r="B278" s="12">
        <v>56800</v>
      </c>
      <c r="C278" s="10">
        <v>39300</v>
      </c>
      <c r="D278" s="11">
        <v>25180</v>
      </c>
      <c r="E278" s="6">
        <v>19930</v>
      </c>
      <c r="F278" s="6">
        <v>16130</v>
      </c>
      <c r="G278" s="6">
        <v>12760</v>
      </c>
      <c r="H278" s="6">
        <v>9380</v>
      </c>
      <c r="I278" s="6">
        <v>6010</v>
      </c>
      <c r="J278" s="6">
        <v>2850</v>
      </c>
      <c r="K278" s="9"/>
      <c r="L278" s="9"/>
      <c r="M278" s="191"/>
      <c r="N278" s="191"/>
      <c r="O278" s="191"/>
      <c r="P278" s="191"/>
      <c r="Q278" s="191"/>
      <c r="R278" s="191"/>
      <c r="S278" s="191"/>
      <c r="T278" s="191"/>
      <c r="U278" s="191"/>
    </row>
    <row r="279" spans="1:21" x14ac:dyDescent="0.3">
      <c r="A279" s="195">
        <v>2820000</v>
      </c>
      <c r="B279" s="6">
        <v>57660</v>
      </c>
      <c r="C279" s="10">
        <v>40160</v>
      </c>
      <c r="D279" s="11">
        <v>25510</v>
      </c>
      <c r="E279" s="6">
        <v>20260</v>
      </c>
      <c r="F279" s="6">
        <v>16350</v>
      </c>
      <c r="G279" s="6">
        <v>12970</v>
      </c>
      <c r="H279" s="6">
        <v>9600</v>
      </c>
      <c r="I279" s="6">
        <v>6220</v>
      </c>
      <c r="J279" s="6">
        <v>3060</v>
      </c>
      <c r="K279" s="9"/>
      <c r="L279" s="9"/>
      <c r="M279" s="191"/>
      <c r="N279" s="191"/>
      <c r="O279" s="191"/>
      <c r="P279" s="191"/>
      <c r="Q279" s="191"/>
      <c r="R279" s="191"/>
      <c r="S279" s="191"/>
      <c r="T279" s="191"/>
      <c r="U279" s="191"/>
    </row>
    <row r="280" spans="1:21" x14ac:dyDescent="0.3">
      <c r="A280" s="195">
        <v>2830000</v>
      </c>
      <c r="B280" s="6">
        <v>58520</v>
      </c>
      <c r="C280" s="10">
        <v>41020</v>
      </c>
      <c r="D280" s="11">
        <v>25840</v>
      </c>
      <c r="E280" s="6">
        <v>20590</v>
      </c>
      <c r="F280" s="6">
        <v>16560</v>
      </c>
      <c r="G280" s="6">
        <v>13180</v>
      </c>
      <c r="H280" s="6">
        <v>9810</v>
      </c>
      <c r="I280" s="6">
        <v>6430</v>
      </c>
      <c r="J280" s="6">
        <v>3270</v>
      </c>
      <c r="K280" s="9"/>
      <c r="L280" s="9"/>
      <c r="M280" s="191"/>
      <c r="N280" s="191"/>
      <c r="O280" s="191"/>
      <c r="P280" s="191"/>
      <c r="Q280" s="191"/>
      <c r="R280" s="191"/>
      <c r="S280" s="191"/>
      <c r="T280" s="191"/>
      <c r="U280" s="191"/>
    </row>
    <row r="281" spans="1:21" x14ac:dyDescent="0.3">
      <c r="A281" s="195">
        <v>2840000</v>
      </c>
      <c r="B281" s="6">
        <v>59370</v>
      </c>
      <c r="C281" s="10">
        <v>41870</v>
      </c>
      <c r="D281" s="11">
        <v>26170</v>
      </c>
      <c r="E281" s="6">
        <v>20920</v>
      </c>
      <c r="F281" s="6">
        <v>16770</v>
      </c>
      <c r="G281" s="6">
        <v>13400</v>
      </c>
      <c r="H281" s="6">
        <v>10020</v>
      </c>
      <c r="I281" s="6">
        <v>6650</v>
      </c>
      <c r="J281" s="6">
        <v>3480</v>
      </c>
      <c r="K281" s="9"/>
      <c r="L281" s="9"/>
      <c r="M281" s="191"/>
      <c r="N281" s="191"/>
      <c r="O281" s="191"/>
      <c r="P281" s="191"/>
      <c r="Q281" s="191"/>
      <c r="R281" s="191"/>
      <c r="S281" s="191"/>
      <c r="T281" s="191"/>
      <c r="U281" s="191"/>
    </row>
    <row r="282" spans="1:21" x14ac:dyDescent="0.3">
      <c r="A282" s="195">
        <v>2850000</v>
      </c>
      <c r="B282" s="6">
        <v>60230</v>
      </c>
      <c r="C282" s="10">
        <v>42730</v>
      </c>
      <c r="D282" s="11">
        <v>26500</v>
      </c>
      <c r="E282" s="6">
        <v>21250</v>
      </c>
      <c r="F282" s="6">
        <v>16980</v>
      </c>
      <c r="G282" s="6">
        <v>13610</v>
      </c>
      <c r="H282" s="6">
        <v>10230</v>
      </c>
      <c r="I282" s="6">
        <v>6860</v>
      </c>
      <c r="J282" s="6">
        <v>3690</v>
      </c>
      <c r="K282" s="9"/>
      <c r="L282" s="9"/>
      <c r="M282" s="191"/>
      <c r="N282" s="191"/>
      <c r="O282" s="191"/>
      <c r="P282" s="191"/>
      <c r="Q282" s="191"/>
      <c r="R282" s="191"/>
      <c r="S282" s="191"/>
      <c r="T282" s="191"/>
      <c r="U282" s="191"/>
    </row>
    <row r="283" spans="1:21" x14ac:dyDescent="0.3">
      <c r="A283" s="195">
        <v>2860000</v>
      </c>
      <c r="B283" s="6">
        <v>61080</v>
      </c>
      <c r="C283" s="10">
        <v>43580</v>
      </c>
      <c r="D283" s="11">
        <v>26830</v>
      </c>
      <c r="E283" s="6">
        <v>21580</v>
      </c>
      <c r="F283" s="6">
        <v>17190</v>
      </c>
      <c r="G283" s="6">
        <v>13820</v>
      </c>
      <c r="H283" s="6">
        <v>10440</v>
      </c>
      <c r="I283" s="6">
        <v>7070</v>
      </c>
      <c r="J283" s="6">
        <v>3910</v>
      </c>
      <c r="K283" s="9"/>
      <c r="L283" s="9"/>
      <c r="M283" s="191"/>
      <c r="N283" s="191"/>
      <c r="O283" s="191"/>
      <c r="P283" s="191"/>
      <c r="Q283" s="191"/>
      <c r="R283" s="191"/>
      <c r="S283" s="191"/>
      <c r="T283" s="191"/>
      <c r="U283" s="191"/>
    </row>
    <row r="284" spans="1:21" x14ac:dyDescent="0.3">
      <c r="A284" s="195">
        <v>2870000</v>
      </c>
      <c r="B284" s="6">
        <v>61940</v>
      </c>
      <c r="C284" s="10">
        <v>44440</v>
      </c>
      <c r="D284" s="11">
        <v>27160</v>
      </c>
      <c r="E284" s="6">
        <v>21910</v>
      </c>
      <c r="F284" s="6">
        <v>17410</v>
      </c>
      <c r="G284" s="6">
        <v>14030</v>
      </c>
      <c r="H284" s="6">
        <v>10660</v>
      </c>
      <c r="I284" s="6">
        <v>7280</v>
      </c>
      <c r="J284" s="6">
        <v>4120</v>
      </c>
      <c r="K284" s="9"/>
      <c r="L284" s="9"/>
      <c r="M284" s="191"/>
      <c r="N284" s="191"/>
      <c r="O284" s="191"/>
      <c r="P284" s="191"/>
      <c r="Q284" s="191"/>
      <c r="R284" s="191"/>
      <c r="S284" s="191"/>
      <c r="T284" s="191"/>
      <c r="U284" s="191"/>
    </row>
    <row r="285" spans="1:21" x14ac:dyDescent="0.3">
      <c r="A285" s="195">
        <v>2880000</v>
      </c>
      <c r="B285" s="6">
        <v>62790</v>
      </c>
      <c r="C285" s="10">
        <v>45290</v>
      </c>
      <c r="D285" s="11">
        <v>27490</v>
      </c>
      <c r="E285" s="6">
        <v>22240</v>
      </c>
      <c r="F285" s="6">
        <v>17620</v>
      </c>
      <c r="G285" s="6">
        <v>14240</v>
      </c>
      <c r="H285" s="6">
        <v>10870</v>
      </c>
      <c r="I285" s="6">
        <v>7490</v>
      </c>
      <c r="J285" s="6">
        <v>4330</v>
      </c>
      <c r="K285" s="9"/>
      <c r="L285" s="9"/>
      <c r="M285" s="191"/>
      <c r="N285" s="191"/>
      <c r="O285" s="191"/>
      <c r="P285" s="191"/>
      <c r="Q285" s="191"/>
      <c r="R285" s="191"/>
      <c r="S285" s="191"/>
      <c r="T285" s="191"/>
      <c r="U285" s="191"/>
    </row>
    <row r="286" spans="1:21" x14ac:dyDescent="0.3">
      <c r="A286" s="195">
        <v>2890000</v>
      </c>
      <c r="B286" s="6">
        <v>63650</v>
      </c>
      <c r="C286" s="10">
        <v>46150</v>
      </c>
      <c r="D286" s="11">
        <v>27820</v>
      </c>
      <c r="E286" s="6">
        <v>22570</v>
      </c>
      <c r="F286" s="6">
        <v>17830</v>
      </c>
      <c r="G286" s="6">
        <v>14460</v>
      </c>
      <c r="H286" s="6">
        <v>11080</v>
      </c>
      <c r="I286" s="6">
        <v>7710</v>
      </c>
      <c r="J286" s="6">
        <v>4540</v>
      </c>
      <c r="K286" s="6">
        <v>1170</v>
      </c>
      <c r="L286" s="9"/>
      <c r="M286" s="191"/>
      <c r="N286" s="191"/>
      <c r="O286" s="191"/>
      <c r="P286" s="191"/>
      <c r="Q286" s="191"/>
      <c r="R286" s="191"/>
      <c r="S286" s="191"/>
      <c r="T286" s="191"/>
      <c r="U286" s="191"/>
    </row>
    <row r="287" spans="1:21" x14ac:dyDescent="0.3">
      <c r="A287" s="195">
        <v>2900000</v>
      </c>
      <c r="B287" s="6">
        <v>64510</v>
      </c>
      <c r="C287" s="10">
        <v>47010</v>
      </c>
      <c r="D287" s="11">
        <v>28150</v>
      </c>
      <c r="E287" s="6">
        <v>22900</v>
      </c>
      <c r="F287" s="6">
        <v>18040</v>
      </c>
      <c r="G287" s="6">
        <v>14670</v>
      </c>
      <c r="H287" s="6">
        <v>11290</v>
      </c>
      <c r="I287" s="6">
        <v>7920</v>
      </c>
      <c r="J287" s="6">
        <v>4750</v>
      </c>
      <c r="K287" s="6">
        <v>1380</v>
      </c>
      <c r="L287" s="9"/>
      <c r="M287" s="191"/>
      <c r="N287" s="191"/>
      <c r="O287" s="191"/>
      <c r="P287" s="191"/>
      <c r="Q287" s="191"/>
      <c r="R287" s="191"/>
      <c r="S287" s="191"/>
      <c r="T287" s="191"/>
      <c r="U287" s="191"/>
    </row>
    <row r="288" spans="1:21" x14ac:dyDescent="0.3">
      <c r="A288" s="195">
        <v>2910000</v>
      </c>
      <c r="B288" s="6">
        <v>65360</v>
      </c>
      <c r="C288" s="10">
        <v>47860</v>
      </c>
      <c r="D288" s="11">
        <v>28480</v>
      </c>
      <c r="E288" s="6">
        <v>23230</v>
      </c>
      <c r="F288" s="6">
        <v>18250</v>
      </c>
      <c r="G288" s="6">
        <v>14880</v>
      </c>
      <c r="H288" s="6">
        <v>11500</v>
      </c>
      <c r="I288" s="6">
        <v>8130</v>
      </c>
      <c r="J288" s="6">
        <v>4970</v>
      </c>
      <c r="K288" s="6">
        <v>1590</v>
      </c>
      <c r="L288" s="9"/>
      <c r="M288" s="191"/>
      <c r="N288" s="191"/>
      <c r="O288" s="191"/>
      <c r="P288" s="191"/>
      <c r="Q288" s="191"/>
      <c r="R288" s="191"/>
      <c r="S288" s="191"/>
      <c r="T288" s="191"/>
      <c r="U288" s="191"/>
    </row>
    <row r="289" spans="1:21" x14ac:dyDescent="0.3">
      <c r="A289" s="195">
        <v>2920000</v>
      </c>
      <c r="B289" s="6">
        <v>66220</v>
      </c>
      <c r="C289" s="10">
        <v>48720</v>
      </c>
      <c r="D289" s="11">
        <v>28810</v>
      </c>
      <c r="E289" s="6">
        <v>23560</v>
      </c>
      <c r="F289" s="6">
        <v>18470</v>
      </c>
      <c r="G289" s="6">
        <v>15090</v>
      </c>
      <c r="H289" s="6">
        <v>11720</v>
      </c>
      <c r="I289" s="6">
        <v>8340</v>
      </c>
      <c r="J289" s="6">
        <v>5180</v>
      </c>
      <c r="K289" s="6">
        <v>1800</v>
      </c>
      <c r="L289" s="9"/>
      <c r="M289" s="191"/>
      <c r="N289" s="191"/>
      <c r="O289" s="191"/>
      <c r="P289" s="191"/>
      <c r="Q289" s="191"/>
      <c r="R289" s="191"/>
      <c r="S289" s="191"/>
      <c r="T289" s="191"/>
      <c r="U289" s="191"/>
    </row>
    <row r="290" spans="1:21" x14ac:dyDescent="0.3">
      <c r="A290" s="195">
        <v>2930000</v>
      </c>
      <c r="B290" s="6">
        <v>67070</v>
      </c>
      <c r="C290" s="10">
        <v>49570</v>
      </c>
      <c r="D290" s="11">
        <v>29140</v>
      </c>
      <c r="E290" s="6">
        <v>23890</v>
      </c>
      <c r="F290" s="6">
        <v>18680</v>
      </c>
      <c r="G290" s="6">
        <v>15300</v>
      </c>
      <c r="H290" s="6">
        <v>11930</v>
      </c>
      <c r="I290" s="6">
        <v>8550</v>
      </c>
      <c r="J290" s="6">
        <v>5390</v>
      </c>
      <c r="K290" s="6">
        <v>2010</v>
      </c>
      <c r="L290" s="9"/>
      <c r="M290" s="191"/>
      <c r="N290" s="191"/>
      <c r="O290" s="191"/>
      <c r="P290" s="191"/>
      <c r="Q290" s="191"/>
      <c r="R290" s="191"/>
      <c r="S290" s="191"/>
      <c r="T290" s="191"/>
      <c r="U290" s="191"/>
    </row>
    <row r="291" spans="1:21" x14ac:dyDescent="0.3">
      <c r="A291" s="195">
        <v>2940000</v>
      </c>
      <c r="B291" s="6">
        <v>67930</v>
      </c>
      <c r="C291" s="10">
        <v>50430</v>
      </c>
      <c r="D291" s="11">
        <v>29470</v>
      </c>
      <c r="E291" s="6">
        <v>24220</v>
      </c>
      <c r="F291" s="6">
        <v>18970</v>
      </c>
      <c r="G291" s="6">
        <v>15510</v>
      </c>
      <c r="H291" s="6">
        <v>12140</v>
      </c>
      <c r="I291" s="6">
        <v>8760</v>
      </c>
      <c r="J291" s="6">
        <v>5600</v>
      </c>
      <c r="K291" s="6">
        <v>2230</v>
      </c>
      <c r="L291" s="9"/>
      <c r="M291" s="191"/>
      <c r="N291" s="191"/>
      <c r="O291" s="191"/>
      <c r="P291" s="191"/>
      <c r="Q291" s="191"/>
      <c r="R291" s="191"/>
      <c r="S291" s="191"/>
      <c r="T291" s="191"/>
      <c r="U291" s="191"/>
    </row>
    <row r="292" spans="1:21" x14ac:dyDescent="0.3">
      <c r="A292" s="195">
        <v>2950000</v>
      </c>
      <c r="B292" s="6">
        <v>68780</v>
      </c>
      <c r="C292" s="10">
        <v>51280</v>
      </c>
      <c r="D292" s="11">
        <v>29800</v>
      </c>
      <c r="E292" s="6">
        <v>24550</v>
      </c>
      <c r="F292" s="6">
        <v>19300</v>
      </c>
      <c r="G292" s="6">
        <v>15730</v>
      </c>
      <c r="H292" s="6">
        <v>12350</v>
      </c>
      <c r="I292" s="6">
        <v>8980</v>
      </c>
      <c r="J292" s="6">
        <v>5810</v>
      </c>
      <c r="K292" s="6">
        <v>2440</v>
      </c>
      <c r="L292" s="9"/>
      <c r="M292" s="191"/>
      <c r="N292" s="191"/>
      <c r="O292" s="191"/>
      <c r="P292" s="191"/>
      <c r="Q292" s="191"/>
      <c r="R292" s="191"/>
      <c r="S292" s="191"/>
      <c r="T292" s="191"/>
      <c r="U292" s="191"/>
    </row>
    <row r="293" spans="1:21" x14ac:dyDescent="0.3">
      <c r="A293" s="195">
        <v>2960000</v>
      </c>
      <c r="B293" s="6">
        <v>69640</v>
      </c>
      <c r="C293" s="10">
        <v>52140</v>
      </c>
      <c r="D293" s="11">
        <v>30130</v>
      </c>
      <c r="E293" s="6">
        <v>24880</v>
      </c>
      <c r="F293" s="6">
        <v>19630</v>
      </c>
      <c r="G293" s="6">
        <v>15940</v>
      </c>
      <c r="H293" s="6">
        <v>12560</v>
      </c>
      <c r="I293" s="6">
        <v>9190</v>
      </c>
      <c r="J293" s="6">
        <v>6030</v>
      </c>
      <c r="K293" s="6">
        <v>2650</v>
      </c>
      <c r="L293" s="9"/>
      <c r="M293" s="191"/>
      <c r="N293" s="191"/>
      <c r="O293" s="191"/>
      <c r="P293" s="191"/>
      <c r="Q293" s="191"/>
      <c r="R293" s="191"/>
      <c r="S293" s="191"/>
      <c r="T293" s="191"/>
      <c r="U293" s="191"/>
    </row>
    <row r="294" spans="1:21" x14ac:dyDescent="0.3">
      <c r="A294" s="195">
        <v>2970000</v>
      </c>
      <c r="B294" s="6">
        <v>70500</v>
      </c>
      <c r="C294" s="10">
        <v>53000</v>
      </c>
      <c r="D294" s="11">
        <v>30460</v>
      </c>
      <c r="E294" s="6">
        <v>25210</v>
      </c>
      <c r="F294" s="6">
        <v>19960</v>
      </c>
      <c r="G294" s="6">
        <v>16150</v>
      </c>
      <c r="H294" s="6">
        <v>12780</v>
      </c>
      <c r="I294" s="6">
        <v>9400</v>
      </c>
      <c r="J294" s="6">
        <v>6240</v>
      </c>
      <c r="K294" s="6">
        <v>2860</v>
      </c>
      <c r="L294" s="9"/>
      <c r="M294" s="191"/>
      <c r="N294" s="191"/>
      <c r="O294" s="191"/>
      <c r="P294" s="191"/>
      <c r="Q294" s="191"/>
      <c r="R294" s="191"/>
      <c r="S294" s="191"/>
      <c r="T294" s="191"/>
      <c r="U294" s="191"/>
    </row>
    <row r="295" spans="1:21" x14ac:dyDescent="0.3">
      <c r="A295" s="195">
        <v>2980000</v>
      </c>
      <c r="B295" s="6">
        <v>71350</v>
      </c>
      <c r="C295" s="10">
        <v>53850</v>
      </c>
      <c r="D295" s="11">
        <v>30790</v>
      </c>
      <c r="E295" s="6">
        <v>25540</v>
      </c>
      <c r="F295" s="6">
        <v>20290</v>
      </c>
      <c r="G295" s="6">
        <v>16360</v>
      </c>
      <c r="H295" s="6">
        <v>12990</v>
      </c>
      <c r="I295" s="6">
        <v>9610</v>
      </c>
      <c r="J295" s="6">
        <v>6450</v>
      </c>
      <c r="K295" s="6">
        <v>3070</v>
      </c>
      <c r="L295" s="9"/>
      <c r="M295" s="191"/>
      <c r="N295" s="191"/>
      <c r="O295" s="191"/>
      <c r="P295" s="191"/>
      <c r="Q295" s="191"/>
      <c r="R295" s="191"/>
      <c r="S295" s="191"/>
      <c r="T295" s="191"/>
      <c r="U295" s="191"/>
    </row>
    <row r="296" spans="1:21" x14ac:dyDescent="0.3">
      <c r="A296" s="195">
        <v>2990000</v>
      </c>
      <c r="B296" s="6">
        <v>72210</v>
      </c>
      <c r="C296" s="10">
        <v>54710</v>
      </c>
      <c r="D296" s="11">
        <v>31120</v>
      </c>
      <c r="E296" s="6">
        <v>25870</v>
      </c>
      <c r="F296" s="6">
        <v>20620</v>
      </c>
      <c r="G296" s="6">
        <v>16570</v>
      </c>
      <c r="H296" s="6">
        <v>13200</v>
      </c>
      <c r="I296" s="6">
        <v>9820</v>
      </c>
      <c r="J296" s="6">
        <v>6660</v>
      </c>
      <c r="K296" s="6">
        <v>3290</v>
      </c>
      <c r="L296" s="9"/>
      <c r="M296" s="191"/>
      <c r="N296" s="191"/>
      <c r="O296" s="191"/>
      <c r="P296" s="191"/>
      <c r="Q296" s="191"/>
      <c r="R296" s="191"/>
      <c r="S296" s="191"/>
      <c r="T296" s="191"/>
      <c r="U296" s="191"/>
    </row>
    <row r="297" spans="1:21" x14ac:dyDescent="0.3">
      <c r="A297" s="195">
        <v>3000000</v>
      </c>
      <c r="B297" s="6">
        <v>73060</v>
      </c>
      <c r="C297" s="10">
        <v>55560</v>
      </c>
      <c r="D297" s="11">
        <v>31450</v>
      </c>
      <c r="E297" s="6">
        <v>26200</v>
      </c>
      <c r="F297" s="6">
        <v>20950</v>
      </c>
      <c r="G297" s="6">
        <v>16790</v>
      </c>
      <c r="H297" s="6">
        <v>13410</v>
      </c>
      <c r="I297" s="6">
        <v>10040</v>
      </c>
      <c r="J297" s="6">
        <v>6980</v>
      </c>
      <c r="K297" s="6">
        <v>3600</v>
      </c>
      <c r="L297" s="9"/>
      <c r="M297" s="191"/>
      <c r="N297" s="191"/>
      <c r="O297" s="191"/>
      <c r="P297" s="191"/>
      <c r="Q297" s="191"/>
      <c r="R297" s="191"/>
      <c r="S297" s="191"/>
      <c r="T297" s="191"/>
      <c r="U297" s="191"/>
    </row>
    <row r="298" spans="1:21" x14ac:dyDescent="0.3">
      <c r="A298" s="195">
        <v>3020000</v>
      </c>
      <c r="B298" s="6">
        <v>74350</v>
      </c>
      <c r="C298" s="10">
        <v>56850</v>
      </c>
      <c r="D298" s="11">
        <v>31940</v>
      </c>
      <c r="E298" s="6">
        <v>26690</v>
      </c>
      <c r="F298" s="6">
        <v>21440</v>
      </c>
      <c r="G298" s="6">
        <v>17100</v>
      </c>
      <c r="H298" s="6">
        <v>13730</v>
      </c>
      <c r="I298" s="6">
        <v>10350</v>
      </c>
      <c r="J298" s="6">
        <v>7400</v>
      </c>
      <c r="K298" s="6">
        <v>4030</v>
      </c>
      <c r="L298" s="9"/>
      <c r="M298" s="191"/>
      <c r="N298" s="191"/>
      <c r="O298" s="191"/>
      <c r="P298" s="191"/>
      <c r="Q298" s="191"/>
      <c r="R298" s="191"/>
      <c r="S298" s="191"/>
      <c r="T298" s="191"/>
      <c r="U298" s="191"/>
    </row>
    <row r="299" spans="1:21" x14ac:dyDescent="0.3">
      <c r="A299" s="195">
        <v>3040000</v>
      </c>
      <c r="B299" s="6">
        <v>76060</v>
      </c>
      <c r="C299" s="10">
        <v>58560</v>
      </c>
      <c r="D299" s="11">
        <v>32600</v>
      </c>
      <c r="E299" s="6">
        <v>27350</v>
      </c>
      <c r="F299" s="6">
        <v>22100</v>
      </c>
      <c r="G299" s="6">
        <v>17530</v>
      </c>
      <c r="H299" s="6">
        <v>14150</v>
      </c>
      <c r="I299" s="6">
        <v>10780</v>
      </c>
      <c r="J299" s="6">
        <v>7830</v>
      </c>
      <c r="K299" s="6">
        <v>4450</v>
      </c>
      <c r="L299" s="6">
        <v>1080</v>
      </c>
      <c r="M299" s="191"/>
      <c r="N299" s="191"/>
      <c r="O299" s="191"/>
      <c r="P299" s="191"/>
      <c r="Q299" s="191"/>
      <c r="R299" s="191"/>
      <c r="S299" s="191"/>
      <c r="T299" s="191"/>
      <c r="U299" s="191"/>
    </row>
    <row r="300" spans="1:21" x14ac:dyDescent="0.3">
      <c r="A300" s="195">
        <v>3060000</v>
      </c>
      <c r="B300" s="6">
        <v>77770</v>
      </c>
      <c r="C300" s="10">
        <v>60270</v>
      </c>
      <c r="D300" s="11">
        <v>33260</v>
      </c>
      <c r="E300" s="6">
        <v>28010</v>
      </c>
      <c r="F300" s="6">
        <v>22760</v>
      </c>
      <c r="G300" s="6">
        <v>17950</v>
      </c>
      <c r="H300" s="6">
        <v>14580</v>
      </c>
      <c r="I300" s="6">
        <v>11200</v>
      </c>
      <c r="J300" s="6">
        <v>8250</v>
      </c>
      <c r="K300" s="6">
        <v>4880</v>
      </c>
      <c r="L300" s="6">
        <v>1500</v>
      </c>
      <c r="M300" s="191"/>
      <c r="N300" s="191"/>
      <c r="O300" s="191"/>
      <c r="P300" s="191"/>
      <c r="Q300" s="191"/>
      <c r="R300" s="191"/>
      <c r="S300" s="191"/>
      <c r="T300" s="191"/>
      <c r="U300" s="191"/>
    </row>
    <row r="301" spans="1:21" x14ac:dyDescent="0.3">
      <c r="A301" s="195">
        <v>3080000</v>
      </c>
      <c r="B301" s="6">
        <v>79480</v>
      </c>
      <c r="C301" s="10">
        <v>61980</v>
      </c>
      <c r="D301" s="11">
        <v>33920</v>
      </c>
      <c r="E301" s="6">
        <v>28670</v>
      </c>
      <c r="F301" s="6">
        <v>23420</v>
      </c>
      <c r="G301" s="6">
        <v>18380</v>
      </c>
      <c r="H301" s="6">
        <v>15000</v>
      </c>
      <c r="I301" s="6">
        <v>11630</v>
      </c>
      <c r="J301" s="6">
        <v>8680</v>
      </c>
      <c r="K301" s="6">
        <v>5300</v>
      </c>
      <c r="L301" s="6">
        <v>1930</v>
      </c>
      <c r="M301" s="191"/>
      <c r="N301" s="191"/>
      <c r="O301" s="191"/>
      <c r="P301" s="191"/>
      <c r="Q301" s="191"/>
      <c r="R301" s="191"/>
      <c r="S301" s="191"/>
      <c r="T301" s="191"/>
      <c r="U301" s="191"/>
    </row>
    <row r="302" spans="1:21" x14ac:dyDescent="0.3">
      <c r="A302" s="195">
        <v>3100000</v>
      </c>
      <c r="B302" s="6">
        <v>81190</v>
      </c>
      <c r="C302" s="10">
        <v>63690</v>
      </c>
      <c r="D302" s="11">
        <v>34580</v>
      </c>
      <c r="E302" s="6">
        <v>29330</v>
      </c>
      <c r="F302" s="6">
        <v>24080</v>
      </c>
      <c r="G302" s="6">
        <v>18830</v>
      </c>
      <c r="H302" s="6">
        <v>15430</v>
      </c>
      <c r="I302" s="6">
        <v>12050</v>
      </c>
      <c r="J302" s="6">
        <v>9100</v>
      </c>
      <c r="K302" s="6">
        <v>5720</v>
      </c>
      <c r="L302" s="6">
        <v>2350</v>
      </c>
      <c r="M302" s="191"/>
      <c r="N302" s="191"/>
      <c r="O302" s="191"/>
      <c r="P302" s="191"/>
      <c r="Q302" s="191"/>
      <c r="R302" s="191"/>
      <c r="S302" s="191"/>
      <c r="T302" s="191"/>
      <c r="U302" s="191"/>
    </row>
    <row r="303" spans="1:21" x14ac:dyDescent="0.3">
      <c r="A303" s="195">
        <v>3120000</v>
      </c>
      <c r="B303" s="6">
        <v>82900</v>
      </c>
      <c r="C303" s="10">
        <v>65400</v>
      </c>
      <c r="D303" s="11">
        <v>35240</v>
      </c>
      <c r="E303" s="6">
        <v>29990</v>
      </c>
      <c r="F303" s="6">
        <v>24740</v>
      </c>
      <c r="G303" s="6">
        <v>19490</v>
      </c>
      <c r="H303" s="6">
        <v>15850</v>
      </c>
      <c r="I303" s="6">
        <v>12470</v>
      </c>
      <c r="J303" s="6">
        <v>9520</v>
      </c>
      <c r="K303" s="6">
        <v>6150</v>
      </c>
      <c r="L303" s="6">
        <v>2770</v>
      </c>
      <c r="M303" s="191"/>
      <c r="N303" s="191"/>
      <c r="O303" s="191"/>
      <c r="P303" s="191"/>
      <c r="Q303" s="191"/>
      <c r="R303" s="191"/>
      <c r="S303" s="191"/>
      <c r="T303" s="191"/>
      <c r="U303" s="191"/>
    </row>
    <row r="304" spans="1:21" x14ac:dyDescent="0.3">
      <c r="A304" s="195">
        <v>3140000</v>
      </c>
      <c r="B304" s="6">
        <v>84620</v>
      </c>
      <c r="C304" s="10">
        <v>67120</v>
      </c>
      <c r="D304" s="11">
        <v>35900</v>
      </c>
      <c r="E304" s="6">
        <v>30650</v>
      </c>
      <c r="F304" s="6">
        <v>25400</v>
      </c>
      <c r="G304" s="6">
        <v>20150</v>
      </c>
      <c r="H304" s="6">
        <v>16270</v>
      </c>
      <c r="I304" s="6">
        <v>12900</v>
      </c>
      <c r="J304" s="6">
        <v>9950</v>
      </c>
      <c r="K304" s="6">
        <v>6570</v>
      </c>
      <c r="L304" s="6">
        <v>3200</v>
      </c>
      <c r="M304" s="191"/>
      <c r="N304" s="191"/>
      <c r="O304" s="191"/>
      <c r="P304" s="191"/>
      <c r="Q304" s="191"/>
      <c r="R304" s="191"/>
      <c r="S304" s="191"/>
      <c r="T304" s="191"/>
      <c r="U304" s="191"/>
    </row>
    <row r="305" spans="1:21" x14ac:dyDescent="0.3">
      <c r="A305" s="195">
        <v>3160000</v>
      </c>
      <c r="B305" s="6">
        <v>86330</v>
      </c>
      <c r="C305" s="10">
        <v>68830</v>
      </c>
      <c r="D305" s="11">
        <v>36560</v>
      </c>
      <c r="E305" s="6">
        <v>31310</v>
      </c>
      <c r="F305" s="6">
        <v>26060</v>
      </c>
      <c r="G305" s="6">
        <v>20810</v>
      </c>
      <c r="H305" s="6">
        <v>16700</v>
      </c>
      <c r="I305" s="6">
        <v>13320</v>
      </c>
      <c r="J305" s="6">
        <v>10370</v>
      </c>
      <c r="K305" s="6">
        <v>7000</v>
      </c>
      <c r="L305" s="6">
        <v>3620</v>
      </c>
      <c r="M305" s="191"/>
      <c r="N305" s="191"/>
      <c r="O305" s="191"/>
      <c r="P305" s="191"/>
      <c r="Q305" s="191"/>
      <c r="R305" s="191"/>
      <c r="S305" s="191"/>
      <c r="T305" s="191"/>
      <c r="U305" s="191"/>
    </row>
    <row r="306" spans="1:21" x14ac:dyDescent="0.3">
      <c r="A306" s="195">
        <v>3180000</v>
      </c>
      <c r="B306" s="6">
        <v>88040</v>
      </c>
      <c r="C306" s="10">
        <v>70540</v>
      </c>
      <c r="D306" s="11">
        <v>37220</v>
      </c>
      <c r="E306" s="6">
        <v>31970</v>
      </c>
      <c r="F306" s="6">
        <v>26720</v>
      </c>
      <c r="G306" s="6">
        <v>21470</v>
      </c>
      <c r="H306" s="6">
        <v>17120</v>
      </c>
      <c r="I306" s="6">
        <v>13750</v>
      </c>
      <c r="J306" s="6">
        <v>10790</v>
      </c>
      <c r="K306" s="6">
        <v>7420</v>
      </c>
      <c r="L306" s="6">
        <v>4040</v>
      </c>
      <c r="M306" s="191"/>
      <c r="N306" s="191"/>
      <c r="O306" s="191"/>
      <c r="P306" s="191"/>
      <c r="Q306" s="191"/>
      <c r="R306" s="191"/>
      <c r="S306" s="191"/>
      <c r="T306" s="191"/>
      <c r="U306" s="191"/>
    </row>
    <row r="307" spans="1:21" x14ac:dyDescent="0.3">
      <c r="A307" s="195">
        <v>3200000</v>
      </c>
      <c r="B307" s="6">
        <v>89750</v>
      </c>
      <c r="C307" s="10">
        <v>72250</v>
      </c>
      <c r="D307" s="11">
        <v>37880</v>
      </c>
      <c r="E307" s="6">
        <v>32630</v>
      </c>
      <c r="F307" s="6">
        <v>27380</v>
      </c>
      <c r="G307" s="6">
        <v>22130</v>
      </c>
      <c r="H307" s="6">
        <v>17540</v>
      </c>
      <c r="I307" s="6">
        <v>14170</v>
      </c>
      <c r="J307" s="6">
        <v>11220</v>
      </c>
      <c r="K307" s="6">
        <v>7840</v>
      </c>
      <c r="L307" s="6">
        <v>4470</v>
      </c>
      <c r="M307" s="191"/>
      <c r="N307" s="191"/>
      <c r="O307" s="191"/>
      <c r="P307" s="191"/>
      <c r="Q307" s="191"/>
      <c r="R307" s="191"/>
      <c r="S307" s="191"/>
      <c r="T307" s="191"/>
      <c r="U307" s="191"/>
    </row>
    <row r="308" spans="1:21" x14ac:dyDescent="0.3">
      <c r="A308" s="195">
        <v>3220000</v>
      </c>
      <c r="B308" s="6">
        <v>91460</v>
      </c>
      <c r="C308" s="10">
        <v>73960</v>
      </c>
      <c r="D308" s="11">
        <v>38540</v>
      </c>
      <c r="E308" s="6">
        <v>33290</v>
      </c>
      <c r="F308" s="6">
        <v>28040</v>
      </c>
      <c r="G308" s="6">
        <v>22790</v>
      </c>
      <c r="H308" s="6">
        <v>17970</v>
      </c>
      <c r="I308" s="6">
        <v>14590</v>
      </c>
      <c r="J308" s="6">
        <v>11640</v>
      </c>
      <c r="K308" s="6">
        <v>8270</v>
      </c>
      <c r="L308" s="6">
        <v>4890</v>
      </c>
      <c r="M308" s="191"/>
      <c r="N308" s="191"/>
      <c r="O308" s="191"/>
      <c r="P308" s="191"/>
      <c r="Q308" s="191"/>
      <c r="R308" s="191"/>
      <c r="S308" s="191"/>
      <c r="T308" s="191"/>
      <c r="U308" s="191"/>
    </row>
    <row r="309" spans="1:21" x14ac:dyDescent="0.3">
      <c r="A309" s="195">
        <v>3240000</v>
      </c>
      <c r="B309" s="6">
        <v>93170</v>
      </c>
      <c r="C309" s="10">
        <v>75670</v>
      </c>
      <c r="D309" s="11">
        <v>40120</v>
      </c>
      <c r="E309" s="6">
        <v>33950</v>
      </c>
      <c r="F309" s="6">
        <v>28700</v>
      </c>
      <c r="G309" s="6">
        <v>23450</v>
      </c>
      <c r="H309" s="6">
        <v>18390</v>
      </c>
      <c r="I309" s="6">
        <v>15020</v>
      </c>
      <c r="J309" s="6">
        <v>12070</v>
      </c>
      <c r="K309" s="6">
        <v>8690</v>
      </c>
      <c r="L309" s="6">
        <v>5320</v>
      </c>
      <c r="M309" s="191"/>
      <c r="N309" s="191"/>
      <c r="O309" s="191"/>
      <c r="P309" s="191"/>
      <c r="Q309" s="191"/>
      <c r="R309" s="191"/>
      <c r="S309" s="191"/>
      <c r="T309" s="191"/>
      <c r="U309" s="191"/>
    </row>
    <row r="310" spans="1:21" x14ac:dyDescent="0.3">
      <c r="A310" s="195">
        <v>3260000</v>
      </c>
      <c r="B310" s="6">
        <v>95430</v>
      </c>
      <c r="C310" s="10">
        <v>77380</v>
      </c>
      <c r="D310" s="11">
        <v>41770</v>
      </c>
      <c r="E310" s="6">
        <v>34610</v>
      </c>
      <c r="F310" s="6">
        <v>29360</v>
      </c>
      <c r="G310" s="6">
        <v>24110</v>
      </c>
      <c r="H310" s="6">
        <v>18860</v>
      </c>
      <c r="I310" s="6">
        <v>15440</v>
      </c>
      <c r="J310" s="6">
        <v>12490</v>
      </c>
      <c r="K310" s="6">
        <v>9120</v>
      </c>
      <c r="L310" s="6">
        <v>5740</v>
      </c>
      <c r="M310" s="191"/>
      <c r="N310" s="191"/>
      <c r="O310" s="191"/>
      <c r="P310" s="191"/>
      <c r="Q310" s="191"/>
      <c r="R310" s="191"/>
      <c r="S310" s="191"/>
      <c r="T310" s="191"/>
      <c r="U310" s="191"/>
    </row>
    <row r="311" spans="1:21" x14ac:dyDescent="0.3">
      <c r="A311" s="195">
        <v>3280000</v>
      </c>
      <c r="B311" s="12">
        <v>97880</v>
      </c>
      <c r="C311" s="10">
        <v>79100</v>
      </c>
      <c r="D311" s="11">
        <v>43420</v>
      </c>
      <c r="E311" s="6">
        <v>35270</v>
      </c>
      <c r="F311" s="6">
        <v>30020</v>
      </c>
      <c r="G311" s="6">
        <v>24770</v>
      </c>
      <c r="H311" s="6">
        <v>19520</v>
      </c>
      <c r="I311" s="6">
        <v>15870</v>
      </c>
      <c r="J311" s="6">
        <v>12910</v>
      </c>
      <c r="K311" s="6">
        <v>9540</v>
      </c>
      <c r="L311" s="6">
        <v>6160</v>
      </c>
      <c r="M311" s="191"/>
      <c r="N311" s="191"/>
      <c r="O311" s="191"/>
      <c r="P311" s="191"/>
      <c r="Q311" s="191"/>
      <c r="R311" s="191"/>
      <c r="S311" s="191"/>
      <c r="T311" s="191"/>
      <c r="U311" s="191"/>
    </row>
    <row r="312" spans="1:21" x14ac:dyDescent="0.3">
      <c r="A312" s="195">
        <v>3300000</v>
      </c>
      <c r="B312" s="6">
        <v>100320</v>
      </c>
      <c r="C312" s="10">
        <v>80810</v>
      </c>
      <c r="D312" s="11">
        <v>45070</v>
      </c>
      <c r="E312" s="6">
        <v>35920</v>
      </c>
      <c r="F312" s="6">
        <v>30670</v>
      </c>
      <c r="G312" s="6">
        <v>25420</v>
      </c>
      <c r="H312" s="6">
        <v>20170</v>
      </c>
      <c r="I312" s="6">
        <v>16290</v>
      </c>
      <c r="J312" s="6">
        <v>13340</v>
      </c>
      <c r="K312" s="6">
        <v>9960</v>
      </c>
      <c r="L312" s="6">
        <v>6590</v>
      </c>
      <c r="M312" s="191"/>
      <c r="N312" s="191"/>
      <c r="O312" s="191"/>
      <c r="P312" s="191"/>
      <c r="Q312" s="191"/>
      <c r="R312" s="191"/>
      <c r="S312" s="191"/>
      <c r="T312" s="191"/>
      <c r="U312" s="191"/>
    </row>
    <row r="313" spans="1:21" x14ac:dyDescent="0.3">
      <c r="A313" s="195">
        <v>3320000</v>
      </c>
      <c r="B313" s="6">
        <v>102770</v>
      </c>
      <c r="C313" s="10">
        <v>82520</v>
      </c>
      <c r="D313" s="11">
        <v>46720</v>
      </c>
      <c r="E313" s="6">
        <v>36580</v>
      </c>
      <c r="F313" s="6">
        <v>31330</v>
      </c>
      <c r="G313" s="6">
        <v>26080</v>
      </c>
      <c r="H313" s="6">
        <v>20830</v>
      </c>
      <c r="I313" s="6">
        <v>16710</v>
      </c>
      <c r="J313" s="6">
        <v>13760</v>
      </c>
      <c r="K313" s="6">
        <v>10390</v>
      </c>
      <c r="L313" s="6">
        <v>7010</v>
      </c>
      <c r="M313" s="191"/>
      <c r="N313" s="191"/>
      <c r="O313" s="191"/>
      <c r="P313" s="191"/>
      <c r="Q313" s="191"/>
      <c r="R313" s="191"/>
      <c r="S313" s="191"/>
      <c r="T313" s="191"/>
      <c r="U313" s="191"/>
    </row>
    <row r="314" spans="1:21" x14ac:dyDescent="0.3">
      <c r="A314" s="195">
        <v>3340000</v>
      </c>
      <c r="B314" s="6">
        <v>105210</v>
      </c>
      <c r="C314" s="10">
        <v>84230</v>
      </c>
      <c r="D314" s="11">
        <v>48370</v>
      </c>
      <c r="E314" s="6">
        <v>37240</v>
      </c>
      <c r="F314" s="6">
        <v>31990</v>
      </c>
      <c r="G314" s="6">
        <v>26740</v>
      </c>
      <c r="H314" s="6">
        <v>21490</v>
      </c>
      <c r="I314" s="6">
        <v>17140</v>
      </c>
      <c r="J314" s="6">
        <v>14170</v>
      </c>
      <c r="K314" s="6">
        <v>10790</v>
      </c>
      <c r="L314" s="6">
        <v>7420</v>
      </c>
      <c r="M314" s="191"/>
      <c r="N314" s="191"/>
      <c r="O314" s="191"/>
      <c r="P314" s="191"/>
      <c r="Q314" s="191"/>
      <c r="R314" s="191"/>
      <c r="S314" s="191"/>
      <c r="T314" s="191"/>
      <c r="U314" s="191"/>
    </row>
    <row r="315" spans="1:21" x14ac:dyDescent="0.3">
      <c r="A315" s="195">
        <v>3360000</v>
      </c>
      <c r="B315" s="6">
        <v>107660</v>
      </c>
      <c r="C315" s="10">
        <v>85940</v>
      </c>
      <c r="D315" s="11">
        <v>49940</v>
      </c>
      <c r="E315" s="6">
        <v>37870</v>
      </c>
      <c r="F315" s="6">
        <v>32620</v>
      </c>
      <c r="G315" s="6">
        <v>27370</v>
      </c>
      <c r="H315" s="6">
        <v>22120</v>
      </c>
      <c r="I315" s="6">
        <v>17540</v>
      </c>
      <c r="J315" s="6">
        <v>14570</v>
      </c>
      <c r="K315" s="6">
        <v>11200</v>
      </c>
      <c r="L315" s="6">
        <v>7820</v>
      </c>
      <c r="M315" s="191"/>
      <c r="N315" s="191"/>
      <c r="O315" s="191"/>
      <c r="P315" s="191"/>
      <c r="Q315" s="191"/>
      <c r="R315" s="191"/>
      <c r="S315" s="191"/>
      <c r="T315" s="191"/>
      <c r="U315" s="191"/>
    </row>
    <row r="316" spans="1:21" x14ac:dyDescent="0.3">
      <c r="A316" s="195">
        <v>3380000</v>
      </c>
      <c r="B316" s="6">
        <v>110100</v>
      </c>
      <c r="C316" s="10">
        <v>87650</v>
      </c>
      <c r="D316" s="11">
        <v>51510</v>
      </c>
      <c r="E316" s="6">
        <v>38500</v>
      </c>
      <c r="F316" s="6">
        <v>33250</v>
      </c>
      <c r="G316" s="6">
        <v>28000</v>
      </c>
      <c r="H316" s="6">
        <v>22750</v>
      </c>
      <c r="I316" s="6">
        <v>17950</v>
      </c>
      <c r="J316" s="6">
        <v>14970</v>
      </c>
      <c r="K316" s="6">
        <v>11600</v>
      </c>
      <c r="L316" s="6">
        <v>8220</v>
      </c>
      <c r="M316" s="191"/>
      <c r="N316" s="191"/>
      <c r="O316" s="191"/>
      <c r="P316" s="191"/>
      <c r="Q316" s="191"/>
      <c r="R316" s="191"/>
      <c r="S316" s="191"/>
      <c r="T316" s="191"/>
      <c r="U316" s="191"/>
    </row>
    <row r="317" spans="1:21" x14ac:dyDescent="0.3">
      <c r="A317" s="195">
        <v>3400000</v>
      </c>
      <c r="B317" s="6">
        <v>112550</v>
      </c>
      <c r="C317" s="10">
        <v>89370</v>
      </c>
      <c r="D317" s="11">
        <v>53070</v>
      </c>
      <c r="E317" s="6">
        <v>39950</v>
      </c>
      <c r="F317" s="6">
        <v>33880</v>
      </c>
      <c r="G317" s="6">
        <v>28630</v>
      </c>
      <c r="H317" s="6">
        <v>23380</v>
      </c>
      <c r="I317" s="6">
        <v>18350</v>
      </c>
      <c r="J317" s="6">
        <v>15370</v>
      </c>
      <c r="K317" s="6">
        <v>12000</v>
      </c>
      <c r="L317" s="6">
        <v>8620</v>
      </c>
      <c r="M317" s="191"/>
      <c r="N317" s="191"/>
      <c r="O317" s="191"/>
      <c r="P317" s="191"/>
      <c r="Q317" s="191"/>
      <c r="R317" s="191"/>
      <c r="S317" s="191"/>
      <c r="T317" s="191"/>
      <c r="U317" s="191"/>
    </row>
    <row r="318" spans="1:21" x14ac:dyDescent="0.3">
      <c r="A318" s="195">
        <v>3420000</v>
      </c>
      <c r="B318" s="6">
        <v>114990</v>
      </c>
      <c r="C318" s="10">
        <v>91080</v>
      </c>
      <c r="D318" s="11">
        <v>54640</v>
      </c>
      <c r="E318" s="6">
        <v>41510</v>
      </c>
      <c r="F318" s="6">
        <v>34500</v>
      </c>
      <c r="G318" s="6">
        <v>29250</v>
      </c>
      <c r="H318" s="6">
        <v>24000</v>
      </c>
      <c r="I318" s="6">
        <v>18750</v>
      </c>
      <c r="J318" s="6">
        <v>15780</v>
      </c>
      <c r="K318" s="6">
        <v>12400</v>
      </c>
      <c r="L318" s="6">
        <v>9030</v>
      </c>
      <c r="M318" s="191"/>
      <c r="N318" s="191"/>
      <c r="O318" s="191"/>
      <c r="P318" s="191"/>
      <c r="Q318" s="191"/>
      <c r="R318" s="191"/>
      <c r="S318" s="191"/>
      <c r="T318" s="191"/>
      <c r="U318" s="191"/>
    </row>
    <row r="319" spans="1:21" s="13" customFormat="1" x14ac:dyDescent="0.3">
      <c r="A319" s="200">
        <v>3440000</v>
      </c>
      <c r="B319" s="12">
        <v>117440</v>
      </c>
      <c r="C319" s="10">
        <v>92790</v>
      </c>
      <c r="D319" s="12">
        <v>56200</v>
      </c>
      <c r="E319" s="12">
        <v>43080</v>
      </c>
      <c r="F319" s="12">
        <v>35130</v>
      </c>
      <c r="G319" s="12">
        <v>29880</v>
      </c>
      <c r="H319" s="12">
        <v>24630</v>
      </c>
      <c r="I319" s="12">
        <v>19380</v>
      </c>
      <c r="J319" s="12">
        <v>16180</v>
      </c>
      <c r="K319" s="12">
        <v>12800</v>
      </c>
      <c r="L319" s="12">
        <v>9430</v>
      </c>
      <c r="M319" s="201"/>
      <c r="N319" s="201"/>
      <c r="O319" s="201"/>
      <c r="P319" s="201"/>
      <c r="Q319" s="201"/>
      <c r="R319" s="201"/>
      <c r="S319" s="201"/>
      <c r="T319" s="201"/>
      <c r="U319" s="201"/>
    </row>
    <row r="320" spans="1:21" x14ac:dyDescent="0.3">
      <c r="A320" s="195">
        <v>3460000</v>
      </c>
      <c r="B320" s="6">
        <v>119880</v>
      </c>
      <c r="C320" s="10">
        <v>94880</v>
      </c>
      <c r="D320" s="11">
        <v>57770</v>
      </c>
      <c r="E320" s="6">
        <v>44640</v>
      </c>
      <c r="F320" s="6">
        <v>35750</v>
      </c>
      <c r="G320" s="6">
        <v>30500</v>
      </c>
      <c r="H320" s="6">
        <v>25250</v>
      </c>
      <c r="I320" s="6">
        <v>20000</v>
      </c>
      <c r="J320" s="6">
        <v>16580</v>
      </c>
      <c r="K320" s="6">
        <v>13210</v>
      </c>
      <c r="L320" s="6">
        <v>9830</v>
      </c>
      <c r="M320" s="191"/>
      <c r="N320" s="191"/>
      <c r="O320" s="191"/>
      <c r="P320" s="191"/>
      <c r="Q320" s="191"/>
      <c r="R320" s="191"/>
      <c r="S320" s="191"/>
      <c r="T320" s="191"/>
      <c r="U320" s="191"/>
    </row>
    <row r="321" spans="1:21" x14ac:dyDescent="0.3">
      <c r="A321" s="195">
        <v>3480000</v>
      </c>
      <c r="B321" s="6">
        <v>122330</v>
      </c>
      <c r="C321" s="10">
        <v>97330</v>
      </c>
      <c r="D321" s="11">
        <v>59330</v>
      </c>
      <c r="E321" s="6">
        <v>46210</v>
      </c>
      <c r="F321" s="6">
        <v>36380</v>
      </c>
      <c r="G321" s="6">
        <v>31130</v>
      </c>
      <c r="H321" s="6">
        <v>25880</v>
      </c>
      <c r="I321" s="6">
        <v>20630</v>
      </c>
      <c r="J321" s="6">
        <v>16980</v>
      </c>
      <c r="K321" s="6">
        <v>13610</v>
      </c>
      <c r="L321" s="6">
        <v>10230</v>
      </c>
      <c r="M321" s="191"/>
      <c r="N321" s="191"/>
      <c r="O321" s="191"/>
      <c r="P321" s="191"/>
      <c r="Q321" s="191"/>
      <c r="R321" s="191"/>
      <c r="S321" s="191"/>
      <c r="T321" s="191"/>
      <c r="U321" s="191"/>
    </row>
    <row r="322" spans="1:21" x14ac:dyDescent="0.3">
      <c r="A322" s="195">
        <v>3500000</v>
      </c>
      <c r="B322" s="6">
        <v>124770</v>
      </c>
      <c r="C322" s="10">
        <v>99770</v>
      </c>
      <c r="D322" s="11">
        <v>60900</v>
      </c>
      <c r="E322" s="6">
        <v>47770</v>
      </c>
      <c r="F322" s="6">
        <v>37010</v>
      </c>
      <c r="G322" s="6">
        <v>31760</v>
      </c>
      <c r="H322" s="6">
        <v>26510</v>
      </c>
      <c r="I322" s="6">
        <v>21260</v>
      </c>
      <c r="J322" s="6">
        <v>17390</v>
      </c>
      <c r="K322" s="6">
        <v>14010</v>
      </c>
      <c r="L322" s="6">
        <v>10640</v>
      </c>
      <c r="M322" s="191"/>
      <c r="N322" s="191"/>
      <c r="O322" s="191"/>
      <c r="P322" s="191"/>
      <c r="Q322" s="191"/>
      <c r="R322" s="191"/>
      <c r="S322" s="191"/>
      <c r="T322" s="191"/>
      <c r="U322" s="191"/>
    </row>
    <row r="323" spans="1:21" x14ac:dyDescent="0.3">
      <c r="A323" s="195">
        <v>3520000</v>
      </c>
      <c r="B323" s="6">
        <v>127220</v>
      </c>
      <c r="C323" s="10">
        <v>102220</v>
      </c>
      <c r="D323" s="11">
        <v>62460</v>
      </c>
      <c r="E323" s="6">
        <v>49340</v>
      </c>
      <c r="F323" s="6">
        <v>37630</v>
      </c>
      <c r="G323" s="6">
        <v>32380</v>
      </c>
      <c r="H323" s="6">
        <v>27130</v>
      </c>
      <c r="I323" s="6">
        <v>21880</v>
      </c>
      <c r="J323" s="6">
        <v>17790</v>
      </c>
      <c r="K323" s="6">
        <v>14410</v>
      </c>
      <c r="L323" s="6">
        <v>11040</v>
      </c>
      <c r="M323" s="191"/>
      <c r="N323" s="191"/>
      <c r="O323" s="191"/>
      <c r="P323" s="191"/>
      <c r="Q323" s="191"/>
      <c r="R323" s="191"/>
      <c r="S323" s="191"/>
      <c r="T323" s="191"/>
      <c r="U323" s="191"/>
    </row>
    <row r="324" spans="1:21" x14ac:dyDescent="0.3">
      <c r="A324" s="195">
        <v>3540000</v>
      </c>
      <c r="B324" s="6">
        <v>129660</v>
      </c>
      <c r="C324" s="10">
        <v>104660</v>
      </c>
      <c r="D324" s="11">
        <v>64030</v>
      </c>
      <c r="E324" s="6">
        <v>50900</v>
      </c>
      <c r="F324" s="6">
        <v>38260</v>
      </c>
      <c r="G324" s="6">
        <v>33010</v>
      </c>
      <c r="H324" s="6">
        <v>27760</v>
      </c>
      <c r="I324" s="6">
        <v>22510</v>
      </c>
      <c r="J324" s="6">
        <v>18190</v>
      </c>
      <c r="K324" s="6">
        <v>14820</v>
      </c>
      <c r="L324" s="6">
        <v>11440</v>
      </c>
      <c r="M324" s="191"/>
      <c r="N324" s="191"/>
      <c r="O324" s="191"/>
      <c r="P324" s="191"/>
      <c r="Q324" s="191"/>
      <c r="R324" s="191"/>
      <c r="S324" s="191"/>
      <c r="T324" s="191"/>
      <c r="U324" s="191"/>
    </row>
    <row r="325" spans="1:21" x14ac:dyDescent="0.3">
      <c r="A325" s="195">
        <v>3560000</v>
      </c>
      <c r="B325" s="6">
        <v>132110</v>
      </c>
      <c r="C325" s="10">
        <v>107110</v>
      </c>
      <c r="D325" s="11">
        <v>65590</v>
      </c>
      <c r="E325" s="6">
        <v>52460</v>
      </c>
      <c r="F325" s="6">
        <v>39340</v>
      </c>
      <c r="G325" s="6">
        <v>33630</v>
      </c>
      <c r="H325" s="6">
        <v>28380</v>
      </c>
      <c r="I325" s="6">
        <v>23130</v>
      </c>
      <c r="J325" s="6">
        <v>18590</v>
      </c>
      <c r="K325" s="6">
        <v>15220</v>
      </c>
      <c r="L325" s="6">
        <v>11840</v>
      </c>
      <c r="M325" s="191"/>
      <c r="N325" s="191"/>
      <c r="O325" s="191"/>
      <c r="P325" s="191"/>
      <c r="Q325" s="191"/>
      <c r="R325" s="191"/>
      <c r="S325" s="191"/>
      <c r="T325" s="191"/>
      <c r="U325" s="191"/>
    </row>
    <row r="326" spans="1:21" x14ac:dyDescent="0.3">
      <c r="A326" s="195">
        <v>3580000</v>
      </c>
      <c r="B326" s="6">
        <v>134550</v>
      </c>
      <c r="C326" s="10">
        <v>109550</v>
      </c>
      <c r="D326" s="11">
        <v>67150</v>
      </c>
      <c r="E326" s="6">
        <v>54030</v>
      </c>
      <c r="F326" s="6">
        <v>40900</v>
      </c>
      <c r="G326" s="6">
        <v>34260</v>
      </c>
      <c r="H326" s="6">
        <v>29010</v>
      </c>
      <c r="I326" s="6">
        <v>23760</v>
      </c>
      <c r="J326" s="6">
        <v>19130</v>
      </c>
      <c r="K326" s="6">
        <v>15620</v>
      </c>
      <c r="L326" s="6">
        <v>12250</v>
      </c>
      <c r="M326" s="191"/>
      <c r="N326" s="191"/>
      <c r="O326" s="191"/>
      <c r="P326" s="191"/>
      <c r="Q326" s="191"/>
      <c r="R326" s="191"/>
      <c r="S326" s="191"/>
      <c r="T326" s="191"/>
      <c r="U326" s="191"/>
    </row>
    <row r="327" spans="1:21" x14ac:dyDescent="0.3">
      <c r="A327" s="195">
        <v>3600000</v>
      </c>
      <c r="B327" s="6">
        <v>137000</v>
      </c>
      <c r="C327" s="10">
        <v>112000</v>
      </c>
      <c r="D327" s="11">
        <v>68720</v>
      </c>
      <c r="E327" s="6">
        <v>55590</v>
      </c>
      <c r="F327" s="6">
        <v>42470</v>
      </c>
      <c r="G327" s="6">
        <v>34880</v>
      </c>
      <c r="H327" s="6">
        <v>29630</v>
      </c>
      <c r="I327" s="6">
        <v>24380</v>
      </c>
      <c r="J327" s="6">
        <v>19760</v>
      </c>
      <c r="K327" s="6">
        <v>16020</v>
      </c>
      <c r="L327" s="6">
        <v>12650</v>
      </c>
      <c r="M327" s="191"/>
      <c r="N327" s="191"/>
      <c r="O327" s="191"/>
      <c r="P327" s="191"/>
      <c r="Q327" s="191"/>
      <c r="R327" s="191"/>
      <c r="S327" s="191"/>
      <c r="T327" s="191"/>
      <c r="U327" s="191"/>
    </row>
    <row r="328" spans="1:21" x14ac:dyDescent="0.3">
      <c r="A328" s="195">
        <v>3620000</v>
      </c>
      <c r="B328" s="6">
        <v>139440</v>
      </c>
      <c r="C328" s="10">
        <v>114440</v>
      </c>
      <c r="D328" s="11">
        <v>70280</v>
      </c>
      <c r="E328" s="6">
        <v>57160</v>
      </c>
      <c r="F328" s="6">
        <v>44030</v>
      </c>
      <c r="G328" s="6">
        <v>35510</v>
      </c>
      <c r="H328" s="6">
        <v>30260</v>
      </c>
      <c r="I328" s="6">
        <v>25010</v>
      </c>
      <c r="J328" s="6">
        <v>20390</v>
      </c>
      <c r="K328" s="6">
        <v>16420</v>
      </c>
      <c r="L328" s="6">
        <v>13050</v>
      </c>
      <c r="M328" s="191"/>
      <c r="N328" s="191"/>
      <c r="O328" s="191"/>
      <c r="P328" s="191"/>
      <c r="Q328" s="191"/>
      <c r="R328" s="191"/>
      <c r="S328" s="191"/>
      <c r="T328" s="191"/>
      <c r="U328" s="191"/>
    </row>
    <row r="329" spans="1:21" x14ac:dyDescent="0.3">
      <c r="A329" s="195">
        <v>3640000</v>
      </c>
      <c r="B329" s="6">
        <v>141890</v>
      </c>
      <c r="C329" s="10">
        <v>116890</v>
      </c>
      <c r="D329" s="11">
        <v>71850</v>
      </c>
      <c r="E329" s="6">
        <v>58720</v>
      </c>
      <c r="F329" s="6">
        <v>45600</v>
      </c>
      <c r="G329" s="6">
        <v>36140</v>
      </c>
      <c r="H329" s="6">
        <v>30890</v>
      </c>
      <c r="I329" s="6">
        <v>25640</v>
      </c>
      <c r="J329" s="6">
        <v>21010</v>
      </c>
      <c r="K329" s="6">
        <v>16830</v>
      </c>
      <c r="L329" s="6">
        <v>13450</v>
      </c>
      <c r="M329" s="191"/>
      <c r="N329" s="191"/>
      <c r="O329" s="191"/>
      <c r="P329" s="191"/>
      <c r="Q329" s="191"/>
      <c r="R329" s="191"/>
      <c r="S329" s="191"/>
      <c r="T329" s="191"/>
      <c r="U329" s="191"/>
    </row>
    <row r="330" spans="1:21" x14ac:dyDescent="0.3">
      <c r="A330" s="195">
        <v>3660000</v>
      </c>
      <c r="B330" s="6">
        <v>144330</v>
      </c>
      <c r="C330" s="10">
        <v>119330</v>
      </c>
      <c r="D330" s="11">
        <v>73410</v>
      </c>
      <c r="E330" s="6">
        <v>60290</v>
      </c>
      <c r="F330" s="6">
        <v>47160</v>
      </c>
      <c r="G330" s="6">
        <v>36760</v>
      </c>
      <c r="H330" s="6">
        <v>31510</v>
      </c>
      <c r="I330" s="6">
        <v>26260</v>
      </c>
      <c r="J330" s="6">
        <v>21640</v>
      </c>
      <c r="K330" s="6">
        <v>17230</v>
      </c>
      <c r="L330" s="6">
        <v>13850</v>
      </c>
      <c r="M330" s="191"/>
      <c r="N330" s="191"/>
      <c r="O330" s="191"/>
      <c r="P330" s="191"/>
      <c r="Q330" s="191"/>
      <c r="R330" s="191"/>
      <c r="S330" s="191"/>
      <c r="T330" s="191"/>
      <c r="U330" s="191"/>
    </row>
    <row r="331" spans="1:21" x14ac:dyDescent="0.3">
      <c r="A331" s="195">
        <v>3680000</v>
      </c>
      <c r="B331" s="6">
        <v>146780</v>
      </c>
      <c r="C331" s="10">
        <v>121780</v>
      </c>
      <c r="D331" s="11">
        <v>74980</v>
      </c>
      <c r="E331" s="6">
        <v>61850</v>
      </c>
      <c r="F331" s="6">
        <v>48730</v>
      </c>
      <c r="G331" s="6">
        <v>37390</v>
      </c>
      <c r="H331" s="6">
        <v>32140</v>
      </c>
      <c r="I331" s="6">
        <v>26890</v>
      </c>
      <c r="J331" s="6">
        <v>22260</v>
      </c>
      <c r="K331" s="6">
        <v>17630</v>
      </c>
      <c r="L331" s="6">
        <v>14260</v>
      </c>
      <c r="M331" s="191"/>
      <c r="N331" s="191"/>
      <c r="O331" s="191"/>
      <c r="P331" s="191"/>
      <c r="Q331" s="191"/>
      <c r="R331" s="191"/>
      <c r="S331" s="191"/>
      <c r="T331" s="191"/>
      <c r="U331" s="191"/>
    </row>
    <row r="332" spans="1:21" x14ac:dyDescent="0.3">
      <c r="A332" s="195">
        <v>3700000</v>
      </c>
      <c r="B332" s="6">
        <v>149220</v>
      </c>
      <c r="C332" s="10">
        <v>124220</v>
      </c>
      <c r="D332" s="11">
        <v>76540</v>
      </c>
      <c r="E332" s="6">
        <v>63420</v>
      </c>
      <c r="F332" s="6">
        <v>50290</v>
      </c>
      <c r="G332" s="6">
        <v>38010</v>
      </c>
      <c r="H332" s="6">
        <v>32760</v>
      </c>
      <c r="I332" s="6">
        <v>27510</v>
      </c>
      <c r="J332" s="6">
        <v>22890</v>
      </c>
      <c r="K332" s="6">
        <v>18030</v>
      </c>
      <c r="L332" s="6">
        <v>14660</v>
      </c>
      <c r="M332" s="191"/>
      <c r="N332" s="191"/>
      <c r="O332" s="191"/>
      <c r="P332" s="191"/>
      <c r="Q332" s="191"/>
      <c r="R332" s="191"/>
      <c r="S332" s="191"/>
      <c r="T332" s="191"/>
      <c r="U332" s="191"/>
    </row>
    <row r="333" spans="1:21" x14ac:dyDescent="0.3">
      <c r="A333" s="195">
        <v>3720000</v>
      </c>
      <c r="B333" s="6">
        <v>151670</v>
      </c>
      <c r="C333" s="10">
        <v>126670</v>
      </c>
      <c r="D333" s="11">
        <v>78110</v>
      </c>
      <c r="E333" s="6">
        <v>64980</v>
      </c>
      <c r="F333" s="6">
        <v>51860</v>
      </c>
      <c r="G333" s="6">
        <v>38730</v>
      </c>
      <c r="H333" s="6">
        <v>33390</v>
      </c>
      <c r="I333" s="6">
        <v>28140</v>
      </c>
      <c r="J333" s="6">
        <v>23520</v>
      </c>
      <c r="K333" s="6">
        <v>18440</v>
      </c>
      <c r="L333" s="6">
        <v>15060</v>
      </c>
      <c r="M333" s="191"/>
      <c r="N333" s="191"/>
      <c r="O333" s="191"/>
      <c r="P333" s="191"/>
      <c r="Q333" s="191"/>
      <c r="R333" s="191"/>
      <c r="S333" s="191"/>
      <c r="T333" s="191"/>
      <c r="U333" s="191"/>
    </row>
    <row r="334" spans="1:21" x14ac:dyDescent="0.3">
      <c r="A334" s="195">
        <v>3740000</v>
      </c>
      <c r="B334" s="6">
        <v>154110</v>
      </c>
      <c r="C334" s="10">
        <v>129110</v>
      </c>
      <c r="D334" s="11">
        <v>79670</v>
      </c>
      <c r="E334" s="6">
        <v>66550</v>
      </c>
      <c r="F334" s="6">
        <v>53420</v>
      </c>
      <c r="G334" s="6">
        <v>40300</v>
      </c>
      <c r="H334" s="6">
        <v>34020</v>
      </c>
      <c r="I334" s="6">
        <v>28770</v>
      </c>
      <c r="J334" s="6">
        <v>24140</v>
      </c>
      <c r="K334" s="6">
        <v>18890</v>
      </c>
      <c r="L334" s="6">
        <v>15460</v>
      </c>
      <c r="M334" s="191"/>
      <c r="N334" s="191"/>
      <c r="O334" s="191"/>
      <c r="P334" s="191"/>
      <c r="Q334" s="191"/>
      <c r="R334" s="191"/>
      <c r="S334" s="191"/>
      <c r="T334" s="191"/>
      <c r="U334" s="191"/>
    </row>
    <row r="335" spans="1:21" x14ac:dyDescent="0.3">
      <c r="A335" s="195">
        <v>3760000</v>
      </c>
      <c r="B335" s="6">
        <v>156560</v>
      </c>
      <c r="C335" s="10">
        <v>131560</v>
      </c>
      <c r="D335" s="11">
        <v>81230</v>
      </c>
      <c r="E335" s="6">
        <v>68110</v>
      </c>
      <c r="F335" s="6">
        <v>54980</v>
      </c>
      <c r="G335" s="6">
        <v>41860</v>
      </c>
      <c r="H335" s="6">
        <v>34640</v>
      </c>
      <c r="I335" s="6">
        <v>29390</v>
      </c>
      <c r="J335" s="6">
        <v>25350</v>
      </c>
      <c r="K335" s="6">
        <v>20100</v>
      </c>
      <c r="L335" s="6">
        <v>16240</v>
      </c>
      <c r="M335" s="191"/>
      <c r="N335" s="191"/>
      <c r="O335" s="191"/>
      <c r="P335" s="191"/>
      <c r="Q335" s="191"/>
      <c r="R335" s="191"/>
      <c r="S335" s="191"/>
      <c r="T335" s="191"/>
      <c r="U335" s="191"/>
    </row>
    <row r="336" spans="1:21" x14ac:dyDescent="0.3">
      <c r="A336" s="195">
        <v>3780000</v>
      </c>
      <c r="B336" s="6">
        <v>163920</v>
      </c>
      <c r="C336" s="10">
        <v>136090</v>
      </c>
      <c r="D336" s="11">
        <v>84260</v>
      </c>
      <c r="E336" s="6">
        <v>71130</v>
      </c>
      <c r="F336" s="6">
        <v>58010</v>
      </c>
      <c r="G336" s="6">
        <v>44880</v>
      </c>
      <c r="H336" s="6">
        <v>35850</v>
      </c>
      <c r="I336" s="6">
        <v>30600</v>
      </c>
      <c r="J336" s="6">
        <v>26040</v>
      </c>
      <c r="K336" s="6">
        <v>20790</v>
      </c>
      <c r="L336" s="6">
        <v>16680</v>
      </c>
      <c r="M336" s="191"/>
      <c r="N336" s="191"/>
      <c r="O336" s="191"/>
      <c r="P336" s="191"/>
      <c r="Q336" s="191"/>
      <c r="R336" s="191"/>
      <c r="S336" s="191"/>
      <c r="T336" s="191"/>
      <c r="U336" s="191"/>
    </row>
    <row r="337" spans="1:21" x14ac:dyDescent="0.3">
      <c r="A337" s="195">
        <v>3800000</v>
      </c>
      <c r="B337" s="6">
        <v>166590</v>
      </c>
      <c r="C337" s="10">
        <v>138740</v>
      </c>
      <c r="D337" s="11">
        <v>85970</v>
      </c>
      <c r="E337" s="6">
        <v>72850</v>
      </c>
      <c r="F337" s="6">
        <v>59720</v>
      </c>
      <c r="G337" s="6">
        <v>46600</v>
      </c>
      <c r="H337" s="6">
        <v>36540</v>
      </c>
      <c r="I337" s="6">
        <v>31290</v>
      </c>
      <c r="J337" s="6">
        <v>26720</v>
      </c>
      <c r="K337" s="6">
        <v>21470</v>
      </c>
      <c r="L337" s="6">
        <v>17120</v>
      </c>
      <c r="M337" s="191"/>
      <c r="N337" s="191"/>
      <c r="O337" s="191"/>
      <c r="P337" s="191"/>
      <c r="Q337" s="191"/>
      <c r="R337" s="191"/>
      <c r="S337" s="191"/>
      <c r="T337" s="191"/>
      <c r="U337" s="191"/>
    </row>
    <row r="338" spans="1:21" x14ac:dyDescent="0.3">
      <c r="A338" s="195">
        <v>3820000</v>
      </c>
      <c r="B338" s="6">
        <v>169260</v>
      </c>
      <c r="C338" s="10">
        <v>141400</v>
      </c>
      <c r="D338" s="11">
        <v>87680</v>
      </c>
      <c r="E338" s="6">
        <v>74560</v>
      </c>
      <c r="F338" s="6">
        <v>61430</v>
      </c>
      <c r="G338" s="6">
        <v>48310</v>
      </c>
      <c r="H338" s="6">
        <v>37220</v>
      </c>
      <c r="I338" s="6">
        <v>31970</v>
      </c>
      <c r="J338" s="6">
        <v>27400</v>
      </c>
      <c r="K338" s="6">
        <v>22150</v>
      </c>
      <c r="L338" s="6">
        <v>17560</v>
      </c>
      <c r="M338" s="191"/>
      <c r="N338" s="191"/>
      <c r="O338" s="191"/>
      <c r="P338" s="191"/>
      <c r="Q338" s="191"/>
      <c r="R338" s="191"/>
      <c r="S338" s="191"/>
      <c r="T338" s="191"/>
      <c r="U338" s="191"/>
    </row>
    <row r="339" spans="1:21" x14ac:dyDescent="0.3">
      <c r="A339" s="195">
        <v>3840000</v>
      </c>
      <c r="B339" s="6">
        <v>171930</v>
      </c>
      <c r="C339" s="10">
        <v>144050</v>
      </c>
      <c r="D339" s="11">
        <v>89390</v>
      </c>
      <c r="E339" s="6">
        <v>76270</v>
      </c>
      <c r="F339" s="6">
        <v>63140</v>
      </c>
      <c r="G339" s="6">
        <v>50020</v>
      </c>
      <c r="H339" s="6">
        <v>37900</v>
      </c>
      <c r="I339" s="6">
        <v>32650</v>
      </c>
      <c r="J339" s="6">
        <v>28090</v>
      </c>
      <c r="K339" s="6">
        <v>22840</v>
      </c>
      <c r="L339" s="6">
        <v>18000</v>
      </c>
      <c r="M339" s="191"/>
      <c r="N339" s="191"/>
      <c r="O339" s="191"/>
      <c r="P339" s="191"/>
      <c r="Q339" s="191"/>
      <c r="R339" s="191"/>
      <c r="S339" s="191"/>
      <c r="T339" s="191"/>
      <c r="U339" s="191"/>
    </row>
    <row r="340" spans="1:21" x14ac:dyDescent="0.3">
      <c r="A340" s="195">
        <v>3860000</v>
      </c>
      <c r="B340" s="6">
        <v>174600</v>
      </c>
      <c r="C340" s="10">
        <v>146710</v>
      </c>
      <c r="D340" s="11">
        <v>91100</v>
      </c>
      <c r="E340" s="6">
        <v>77980</v>
      </c>
      <c r="F340" s="6">
        <v>64850</v>
      </c>
      <c r="G340" s="6">
        <v>51730</v>
      </c>
      <c r="H340" s="6">
        <v>38600</v>
      </c>
      <c r="I340" s="6">
        <v>33340</v>
      </c>
      <c r="J340" s="6">
        <v>28770</v>
      </c>
      <c r="K340" s="6">
        <v>23520</v>
      </c>
      <c r="L340" s="6">
        <v>18440</v>
      </c>
      <c r="M340" s="191"/>
      <c r="N340" s="191"/>
      <c r="O340" s="191"/>
      <c r="P340" s="191"/>
      <c r="Q340" s="191"/>
      <c r="R340" s="191"/>
      <c r="S340" s="191"/>
      <c r="T340" s="191"/>
      <c r="U340" s="191"/>
    </row>
    <row r="341" spans="1:21" x14ac:dyDescent="0.3">
      <c r="A341" s="195">
        <v>3880000</v>
      </c>
      <c r="B341" s="6">
        <v>177270</v>
      </c>
      <c r="C341" s="10">
        <v>149360</v>
      </c>
      <c r="D341" s="11">
        <v>92820</v>
      </c>
      <c r="E341" s="6">
        <v>79690</v>
      </c>
      <c r="F341" s="6">
        <v>66570</v>
      </c>
      <c r="G341" s="6">
        <v>53440</v>
      </c>
      <c r="H341" s="6">
        <v>40320</v>
      </c>
      <c r="I341" s="6">
        <v>34020</v>
      </c>
      <c r="J341" s="6">
        <v>29460</v>
      </c>
      <c r="K341" s="6">
        <v>24210</v>
      </c>
      <c r="L341" s="6">
        <v>18960</v>
      </c>
      <c r="M341" s="191"/>
      <c r="N341" s="191"/>
      <c r="O341" s="191"/>
      <c r="P341" s="191"/>
      <c r="Q341" s="191"/>
      <c r="R341" s="191"/>
      <c r="S341" s="191"/>
      <c r="T341" s="191"/>
      <c r="U341" s="191"/>
    </row>
    <row r="342" spans="1:21" x14ac:dyDescent="0.3">
      <c r="A342" s="195">
        <v>3900000</v>
      </c>
      <c r="B342" s="6">
        <v>179940</v>
      </c>
      <c r="C342" s="10">
        <v>152020</v>
      </c>
      <c r="D342" s="11">
        <v>94920</v>
      </c>
      <c r="E342" s="6">
        <v>81400</v>
      </c>
      <c r="F342" s="6">
        <v>68280</v>
      </c>
      <c r="G342" s="6">
        <v>55150</v>
      </c>
      <c r="H342" s="6">
        <v>42030</v>
      </c>
      <c r="I342" s="6">
        <v>34710</v>
      </c>
      <c r="J342" s="6">
        <v>30140</v>
      </c>
      <c r="K342" s="6">
        <v>24890</v>
      </c>
      <c r="L342" s="6">
        <v>19640</v>
      </c>
      <c r="M342" s="191"/>
      <c r="N342" s="191"/>
      <c r="O342" s="191"/>
      <c r="P342" s="191"/>
      <c r="Q342" s="191"/>
      <c r="R342" s="191"/>
      <c r="S342" s="191"/>
      <c r="T342" s="191"/>
      <c r="U342" s="191"/>
    </row>
    <row r="343" spans="1:21" x14ac:dyDescent="0.3">
      <c r="A343" s="195">
        <v>3920000</v>
      </c>
      <c r="B343" s="6">
        <v>182610</v>
      </c>
      <c r="C343" s="10">
        <v>154670</v>
      </c>
      <c r="D343" s="11">
        <v>97370</v>
      </c>
      <c r="E343" s="6">
        <v>83110</v>
      </c>
      <c r="F343" s="6">
        <v>69990</v>
      </c>
      <c r="G343" s="6">
        <v>56860</v>
      </c>
      <c r="H343" s="6">
        <v>43740</v>
      </c>
      <c r="I343" s="6">
        <v>35390</v>
      </c>
      <c r="J343" s="6">
        <v>30830</v>
      </c>
      <c r="K343" s="6">
        <v>25580</v>
      </c>
      <c r="L343" s="6">
        <v>20330</v>
      </c>
      <c r="M343" s="191"/>
      <c r="N343" s="191"/>
      <c r="O343" s="191"/>
      <c r="P343" s="191"/>
      <c r="Q343" s="191"/>
      <c r="R343" s="191"/>
      <c r="S343" s="191"/>
      <c r="T343" s="191"/>
      <c r="U343" s="191"/>
    </row>
    <row r="344" spans="1:21" x14ac:dyDescent="0.3">
      <c r="A344" s="195">
        <v>3940000</v>
      </c>
      <c r="B344" s="6">
        <v>185280</v>
      </c>
      <c r="C344" s="10">
        <v>157330</v>
      </c>
      <c r="D344" s="11">
        <v>99810</v>
      </c>
      <c r="E344" s="6">
        <v>84830</v>
      </c>
      <c r="F344" s="6">
        <v>71700</v>
      </c>
      <c r="G344" s="6">
        <v>58580</v>
      </c>
      <c r="H344" s="6">
        <v>45450</v>
      </c>
      <c r="I344" s="6">
        <v>36080</v>
      </c>
      <c r="J344" s="6">
        <v>31510</v>
      </c>
      <c r="K344" s="6">
        <v>26260</v>
      </c>
      <c r="L344" s="6">
        <v>21010</v>
      </c>
      <c r="M344" s="191"/>
      <c r="N344" s="191"/>
      <c r="O344" s="191"/>
      <c r="P344" s="191"/>
      <c r="Q344" s="191"/>
      <c r="R344" s="191"/>
      <c r="S344" s="191"/>
      <c r="T344" s="191"/>
      <c r="U344" s="191"/>
    </row>
    <row r="345" spans="1:21" x14ac:dyDescent="0.3">
      <c r="A345" s="195">
        <v>3960000</v>
      </c>
      <c r="B345" s="6">
        <v>187950</v>
      </c>
      <c r="C345" s="10">
        <v>159980</v>
      </c>
      <c r="D345" s="11">
        <v>102260</v>
      </c>
      <c r="E345" s="6">
        <v>86540</v>
      </c>
      <c r="F345" s="6">
        <v>73410</v>
      </c>
      <c r="G345" s="6">
        <v>60290</v>
      </c>
      <c r="H345" s="6">
        <v>47160</v>
      </c>
      <c r="I345" s="6">
        <v>36760</v>
      </c>
      <c r="J345" s="6">
        <v>33120</v>
      </c>
      <c r="K345" s="6">
        <v>26950</v>
      </c>
      <c r="L345" s="6">
        <v>21700</v>
      </c>
      <c r="M345" s="191"/>
      <c r="N345" s="191"/>
      <c r="O345" s="191"/>
      <c r="P345" s="191"/>
      <c r="Q345" s="191"/>
      <c r="R345" s="191"/>
      <c r="S345" s="191"/>
      <c r="T345" s="191"/>
      <c r="U345" s="191"/>
    </row>
    <row r="346" spans="1:21" x14ac:dyDescent="0.3">
      <c r="A346" s="195">
        <v>3980000</v>
      </c>
      <c r="B346" s="6">
        <v>190620</v>
      </c>
      <c r="C346" s="10">
        <v>162640</v>
      </c>
      <c r="D346" s="11">
        <v>104700</v>
      </c>
      <c r="E346" s="6">
        <v>88250</v>
      </c>
      <c r="F346" s="6">
        <v>75120</v>
      </c>
      <c r="G346" s="6">
        <v>62000</v>
      </c>
      <c r="H346" s="6">
        <v>48870</v>
      </c>
      <c r="I346" s="6">
        <v>37450</v>
      </c>
      <c r="J346" s="6">
        <v>34880</v>
      </c>
      <c r="K346" s="6">
        <v>27650</v>
      </c>
      <c r="L346" s="6">
        <v>22400</v>
      </c>
      <c r="M346" s="191"/>
      <c r="N346" s="191"/>
      <c r="O346" s="191"/>
      <c r="P346" s="191"/>
      <c r="Q346" s="191"/>
      <c r="R346" s="191"/>
      <c r="S346" s="191"/>
      <c r="T346" s="191"/>
      <c r="U346" s="191"/>
    </row>
    <row r="347" spans="1:21" x14ac:dyDescent="0.3">
      <c r="A347" s="195">
        <v>4000000</v>
      </c>
      <c r="B347" s="6">
        <v>193290</v>
      </c>
      <c r="C347" s="10">
        <v>165290</v>
      </c>
      <c r="D347" s="11">
        <v>107150</v>
      </c>
      <c r="E347" s="6">
        <v>89960</v>
      </c>
      <c r="F347" s="6">
        <v>76840</v>
      </c>
      <c r="G347" s="6">
        <v>63710</v>
      </c>
      <c r="H347" s="6">
        <v>50590</v>
      </c>
      <c r="I347" s="6">
        <v>38130</v>
      </c>
      <c r="J347" s="6">
        <v>36690</v>
      </c>
      <c r="K347" s="6">
        <v>28370</v>
      </c>
      <c r="L347" s="6">
        <v>23120</v>
      </c>
      <c r="M347" s="191"/>
      <c r="N347" s="191"/>
      <c r="O347" s="191"/>
      <c r="P347" s="191"/>
      <c r="Q347" s="191"/>
      <c r="R347" s="191"/>
      <c r="S347" s="191"/>
      <c r="T347" s="191"/>
      <c r="U347" s="191"/>
    </row>
    <row r="348" spans="1:21" x14ac:dyDescent="0.3">
      <c r="A348" s="195">
        <v>4020000</v>
      </c>
      <c r="B348" s="6">
        <v>195960</v>
      </c>
      <c r="C348" s="10">
        <v>167950</v>
      </c>
      <c r="D348" s="11">
        <v>109590</v>
      </c>
      <c r="E348" s="6">
        <v>91670</v>
      </c>
      <c r="F348" s="6">
        <v>78550</v>
      </c>
      <c r="G348" s="6">
        <v>65420</v>
      </c>
      <c r="H348" s="6">
        <v>52300</v>
      </c>
      <c r="I348" s="6">
        <v>39170</v>
      </c>
      <c r="J348" s="6">
        <v>38490</v>
      </c>
      <c r="K348" s="6">
        <v>29090</v>
      </c>
      <c r="L348" s="6">
        <v>23840</v>
      </c>
      <c r="M348" s="191"/>
      <c r="N348" s="191"/>
      <c r="O348" s="191"/>
      <c r="P348" s="191"/>
      <c r="Q348" s="191"/>
      <c r="R348" s="191"/>
      <c r="S348" s="191"/>
      <c r="T348" s="191"/>
      <c r="U348" s="191"/>
    </row>
    <row r="349" spans="1:21" x14ac:dyDescent="0.3">
      <c r="A349" s="195">
        <v>4040000</v>
      </c>
      <c r="B349" s="6">
        <v>198630</v>
      </c>
      <c r="C349" s="10">
        <v>170600</v>
      </c>
      <c r="D349" s="11">
        <v>112040</v>
      </c>
      <c r="E349" s="6">
        <v>93380</v>
      </c>
      <c r="F349" s="6">
        <v>80260</v>
      </c>
      <c r="G349" s="6">
        <v>67130</v>
      </c>
      <c r="H349" s="6">
        <v>54010</v>
      </c>
      <c r="I349" s="6">
        <v>40880</v>
      </c>
      <c r="J349" s="6">
        <v>40300</v>
      </c>
      <c r="K349" s="6">
        <v>29820</v>
      </c>
      <c r="L349" s="6">
        <v>24570</v>
      </c>
      <c r="M349" s="191"/>
      <c r="N349" s="191"/>
      <c r="O349" s="191"/>
      <c r="P349" s="191"/>
      <c r="Q349" s="191"/>
      <c r="R349" s="191"/>
      <c r="S349" s="191"/>
      <c r="T349" s="191"/>
      <c r="U349" s="191"/>
    </row>
    <row r="350" spans="1:21" x14ac:dyDescent="0.3">
      <c r="A350" s="195">
        <v>4060000</v>
      </c>
      <c r="B350" s="6">
        <v>201300</v>
      </c>
      <c r="C350" s="10">
        <v>173260</v>
      </c>
      <c r="D350" s="11">
        <v>114480</v>
      </c>
      <c r="E350" s="6">
        <v>95730</v>
      </c>
      <c r="F350" s="6">
        <v>81970</v>
      </c>
      <c r="G350" s="6">
        <v>68840</v>
      </c>
      <c r="H350" s="6">
        <v>55720</v>
      </c>
      <c r="I350" s="6">
        <v>42590</v>
      </c>
      <c r="J350" s="6">
        <v>42110</v>
      </c>
      <c r="K350" s="6">
        <v>30540</v>
      </c>
      <c r="L350" s="6">
        <v>25290</v>
      </c>
      <c r="M350" s="191"/>
      <c r="N350" s="191"/>
      <c r="O350" s="191"/>
      <c r="P350" s="191"/>
      <c r="Q350" s="191"/>
      <c r="R350" s="191"/>
      <c r="S350" s="191"/>
      <c r="T350" s="191"/>
      <c r="U350" s="191"/>
    </row>
    <row r="351" spans="1:21" x14ac:dyDescent="0.3">
      <c r="A351" s="195">
        <v>4080000</v>
      </c>
      <c r="B351" s="6">
        <v>203970</v>
      </c>
      <c r="C351" s="10">
        <v>175910</v>
      </c>
      <c r="D351" s="11">
        <v>116930</v>
      </c>
      <c r="E351" s="6">
        <v>98180</v>
      </c>
      <c r="F351" s="6">
        <v>83680</v>
      </c>
      <c r="G351" s="6">
        <v>70560</v>
      </c>
      <c r="H351" s="6">
        <v>57430</v>
      </c>
      <c r="I351" s="6">
        <v>44310</v>
      </c>
      <c r="J351" s="6">
        <v>43910</v>
      </c>
      <c r="K351" s="6">
        <v>31260</v>
      </c>
      <c r="L351" s="6">
        <v>26010</v>
      </c>
      <c r="M351" s="191"/>
      <c r="N351" s="191"/>
      <c r="O351" s="191"/>
      <c r="P351" s="191"/>
      <c r="Q351" s="191"/>
      <c r="R351" s="191"/>
      <c r="S351" s="191"/>
      <c r="T351" s="191"/>
      <c r="U351" s="191"/>
    </row>
    <row r="352" spans="1:21" x14ac:dyDescent="0.3">
      <c r="A352" s="195">
        <v>4100000</v>
      </c>
      <c r="B352" s="6">
        <v>206640</v>
      </c>
      <c r="C352" s="10">
        <v>178570</v>
      </c>
      <c r="D352" s="11">
        <v>119370</v>
      </c>
      <c r="E352" s="6">
        <v>100620</v>
      </c>
      <c r="F352" s="6">
        <v>85390</v>
      </c>
      <c r="G352" s="6">
        <v>72270</v>
      </c>
      <c r="H352" s="6">
        <v>59140</v>
      </c>
      <c r="I352" s="6">
        <v>46020</v>
      </c>
      <c r="J352" s="6">
        <v>45720</v>
      </c>
      <c r="K352" s="6">
        <v>32590</v>
      </c>
      <c r="L352" s="6">
        <v>26730</v>
      </c>
      <c r="M352" s="191"/>
      <c r="N352" s="191"/>
      <c r="O352" s="191"/>
      <c r="P352" s="191"/>
      <c r="Q352" s="191"/>
      <c r="R352" s="191"/>
      <c r="S352" s="191"/>
      <c r="T352" s="191"/>
      <c r="U352" s="191"/>
    </row>
    <row r="353" spans="1:21" x14ac:dyDescent="0.3">
      <c r="A353" s="195">
        <v>4120000</v>
      </c>
      <c r="B353" s="6">
        <v>209310</v>
      </c>
      <c r="C353" s="10">
        <v>181220</v>
      </c>
      <c r="D353" s="11">
        <v>121820</v>
      </c>
      <c r="E353" s="6">
        <v>103070</v>
      </c>
      <c r="F353" s="6">
        <v>87100</v>
      </c>
      <c r="G353" s="6">
        <v>73980</v>
      </c>
      <c r="H353" s="6">
        <v>60850</v>
      </c>
      <c r="I353" s="6">
        <v>47730</v>
      </c>
      <c r="J353" s="6">
        <v>47520</v>
      </c>
      <c r="K353" s="6">
        <v>34400</v>
      </c>
      <c r="L353" s="6">
        <v>27460</v>
      </c>
      <c r="M353" s="191"/>
      <c r="N353" s="191"/>
      <c r="O353" s="191"/>
      <c r="P353" s="191"/>
      <c r="Q353" s="191"/>
      <c r="R353" s="191"/>
      <c r="S353" s="191"/>
      <c r="T353" s="191"/>
      <c r="U353" s="191"/>
    </row>
    <row r="354" spans="1:21" x14ac:dyDescent="0.3">
      <c r="A354" s="195">
        <v>4140000</v>
      </c>
      <c r="B354" s="6">
        <v>211980</v>
      </c>
      <c r="C354" s="10">
        <v>183880</v>
      </c>
      <c r="D354" s="11">
        <v>124260</v>
      </c>
      <c r="E354" s="6">
        <v>105510</v>
      </c>
      <c r="F354" s="6">
        <v>88820</v>
      </c>
      <c r="G354" s="6">
        <v>75690</v>
      </c>
      <c r="H354" s="6">
        <v>62570</v>
      </c>
      <c r="I354" s="6">
        <v>49440</v>
      </c>
      <c r="J354" s="6">
        <v>49330</v>
      </c>
      <c r="K354" s="6">
        <v>36210</v>
      </c>
      <c r="L354" s="6">
        <v>28180</v>
      </c>
      <c r="M354" s="191"/>
      <c r="N354" s="191"/>
      <c r="O354" s="191"/>
      <c r="P354" s="191"/>
      <c r="Q354" s="191"/>
      <c r="R354" s="191"/>
      <c r="S354" s="191"/>
      <c r="T354" s="191"/>
      <c r="U354" s="191"/>
    </row>
    <row r="355" spans="1:21" x14ac:dyDescent="0.3">
      <c r="A355" s="195">
        <v>4160000</v>
      </c>
      <c r="B355" s="6">
        <v>214650</v>
      </c>
      <c r="C355" s="10">
        <v>186530</v>
      </c>
      <c r="D355" s="11">
        <v>126710</v>
      </c>
      <c r="E355" s="6">
        <v>107960</v>
      </c>
      <c r="F355" s="6">
        <v>90530</v>
      </c>
      <c r="G355" s="6">
        <v>77400</v>
      </c>
      <c r="H355" s="6">
        <v>64280</v>
      </c>
      <c r="I355" s="6">
        <v>51150</v>
      </c>
      <c r="J355" s="6">
        <v>51140</v>
      </c>
      <c r="K355" s="6">
        <v>38010</v>
      </c>
      <c r="L355" s="6">
        <v>28900</v>
      </c>
      <c r="M355" s="191"/>
      <c r="N355" s="191"/>
      <c r="O355" s="191"/>
      <c r="P355" s="191"/>
      <c r="Q355" s="191"/>
      <c r="R355" s="191"/>
      <c r="S355" s="191"/>
      <c r="T355" s="191"/>
      <c r="U355" s="191"/>
    </row>
    <row r="356" spans="1:21" x14ac:dyDescent="0.3">
      <c r="A356" s="195">
        <v>4180000</v>
      </c>
      <c r="B356" s="6">
        <v>217320</v>
      </c>
      <c r="C356" s="10">
        <v>189190</v>
      </c>
      <c r="D356" s="11">
        <v>129150</v>
      </c>
      <c r="E356" s="6">
        <v>110400</v>
      </c>
      <c r="F356" s="6">
        <v>92240</v>
      </c>
      <c r="G356" s="6">
        <v>79110</v>
      </c>
      <c r="H356" s="6">
        <v>65990</v>
      </c>
      <c r="I356" s="6">
        <v>52860</v>
      </c>
      <c r="J356" s="6">
        <v>52940</v>
      </c>
      <c r="K356" s="6">
        <v>39820</v>
      </c>
      <c r="L356" s="6">
        <v>29620</v>
      </c>
      <c r="M356" s="191"/>
      <c r="N356" s="191"/>
      <c r="O356" s="191"/>
      <c r="P356" s="191"/>
      <c r="Q356" s="191"/>
      <c r="R356" s="191"/>
      <c r="S356" s="191"/>
      <c r="T356" s="191"/>
      <c r="U356" s="191"/>
    </row>
    <row r="357" spans="1:21" x14ac:dyDescent="0.3">
      <c r="A357" s="195">
        <v>4200000</v>
      </c>
      <c r="B357" s="6">
        <v>219990</v>
      </c>
      <c r="C357" s="10">
        <v>191840</v>
      </c>
      <c r="D357" s="11">
        <v>131600</v>
      </c>
      <c r="E357" s="6">
        <v>112850</v>
      </c>
      <c r="F357" s="6">
        <v>94100</v>
      </c>
      <c r="G357" s="6">
        <v>80830</v>
      </c>
      <c r="H357" s="6">
        <v>67700</v>
      </c>
      <c r="I357" s="6">
        <v>54580</v>
      </c>
      <c r="J357" s="6">
        <v>54750</v>
      </c>
      <c r="K357" s="6">
        <v>41620</v>
      </c>
      <c r="L357" s="6">
        <v>30350</v>
      </c>
      <c r="M357" s="191"/>
      <c r="N357" s="191"/>
      <c r="O357" s="191"/>
      <c r="P357" s="191"/>
      <c r="Q357" s="191"/>
      <c r="R357" s="191"/>
      <c r="S357" s="191"/>
      <c r="T357" s="191"/>
      <c r="U357" s="191"/>
    </row>
    <row r="358" spans="1:21" x14ac:dyDescent="0.3">
      <c r="A358" s="195">
        <v>4220000</v>
      </c>
      <c r="B358" s="6">
        <v>222660</v>
      </c>
      <c r="C358" s="10">
        <v>194500</v>
      </c>
      <c r="D358" s="11">
        <v>134040</v>
      </c>
      <c r="E358" s="6">
        <v>115290</v>
      </c>
      <c r="F358" s="6">
        <v>96540</v>
      </c>
      <c r="G358" s="6">
        <v>82540</v>
      </c>
      <c r="H358" s="6">
        <v>69410</v>
      </c>
      <c r="I358" s="6">
        <v>56290</v>
      </c>
      <c r="J358" s="6">
        <v>56550</v>
      </c>
      <c r="K358" s="6">
        <v>43430</v>
      </c>
      <c r="L358" s="6">
        <v>31070</v>
      </c>
      <c r="M358" s="191"/>
      <c r="N358" s="191"/>
      <c r="O358" s="191"/>
      <c r="P358" s="191"/>
      <c r="Q358" s="191"/>
      <c r="R358" s="191"/>
      <c r="S358" s="191"/>
      <c r="T358" s="191"/>
      <c r="U358" s="191"/>
    </row>
    <row r="359" spans="1:21" x14ac:dyDescent="0.3">
      <c r="A359" s="195">
        <v>4240000</v>
      </c>
      <c r="B359" s="6">
        <v>225330</v>
      </c>
      <c r="C359" s="10">
        <v>197150</v>
      </c>
      <c r="D359" s="11">
        <v>136490</v>
      </c>
      <c r="E359" s="6">
        <v>117740</v>
      </c>
      <c r="F359" s="6">
        <v>98990</v>
      </c>
      <c r="G359" s="6">
        <v>84250</v>
      </c>
      <c r="H359" s="6">
        <v>71120</v>
      </c>
      <c r="I359" s="6">
        <v>58000</v>
      </c>
      <c r="J359" s="6">
        <v>58360</v>
      </c>
      <c r="K359" s="6">
        <v>45240</v>
      </c>
      <c r="L359" s="6">
        <v>32110</v>
      </c>
      <c r="M359" s="191"/>
      <c r="N359" s="191"/>
      <c r="O359" s="191"/>
      <c r="P359" s="191"/>
      <c r="Q359" s="191"/>
      <c r="R359" s="191"/>
      <c r="S359" s="191"/>
      <c r="T359" s="191"/>
      <c r="U359" s="191"/>
    </row>
    <row r="360" spans="1:21" x14ac:dyDescent="0.3">
      <c r="A360" s="195">
        <v>4260000</v>
      </c>
      <c r="B360" s="6">
        <v>228000</v>
      </c>
      <c r="C360" s="10">
        <v>199810</v>
      </c>
      <c r="D360" s="11">
        <v>138930</v>
      </c>
      <c r="E360" s="6">
        <v>120180</v>
      </c>
      <c r="F360" s="6">
        <v>101430</v>
      </c>
      <c r="G360" s="6">
        <v>85960</v>
      </c>
      <c r="H360" s="6">
        <v>72830</v>
      </c>
      <c r="I360" s="6">
        <v>59710</v>
      </c>
      <c r="J360" s="6">
        <v>60170</v>
      </c>
      <c r="K360" s="6">
        <v>47040</v>
      </c>
      <c r="L360" s="6">
        <v>33920</v>
      </c>
      <c r="M360" s="191"/>
      <c r="N360" s="191"/>
      <c r="O360" s="191"/>
      <c r="P360" s="191"/>
      <c r="Q360" s="191"/>
      <c r="R360" s="191"/>
      <c r="S360" s="191"/>
      <c r="T360" s="191"/>
      <c r="U360" s="191"/>
    </row>
    <row r="361" spans="1:21" x14ac:dyDescent="0.3">
      <c r="A361" s="195">
        <v>4280000</v>
      </c>
      <c r="B361" s="6">
        <v>230670</v>
      </c>
      <c r="C361" s="10">
        <v>202460</v>
      </c>
      <c r="D361" s="11">
        <v>141380</v>
      </c>
      <c r="E361" s="6">
        <v>122630</v>
      </c>
      <c r="F361" s="6">
        <v>103880</v>
      </c>
      <c r="G361" s="6">
        <v>87670</v>
      </c>
      <c r="H361" s="6">
        <v>74550</v>
      </c>
      <c r="I361" s="6">
        <v>61420</v>
      </c>
      <c r="J361" s="6">
        <v>61970</v>
      </c>
      <c r="K361" s="6">
        <v>48850</v>
      </c>
      <c r="L361" s="6">
        <v>35720</v>
      </c>
      <c r="M361" s="191"/>
      <c r="N361" s="191"/>
      <c r="O361" s="191"/>
      <c r="P361" s="191"/>
      <c r="Q361" s="191"/>
      <c r="R361" s="191"/>
      <c r="S361" s="191"/>
      <c r="T361" s="191"/>
      <c r="U361" s="191"/>
    </row>
    <row r="362" spans="1:21" x14ac:dyDescent="0.3">
      <c r="A362" s="195">
        <v>4300000</v>
      </c>
      <c r="B362" s="6">
        <v>233340</v>
      </c>
      <c r="C362" s="10">
        <v>205120</v>
      </c>
      <c r="D362" s="11">
        <v>143820</v>
      </c>
      <c r="E362" s="6">
        <v>125070</v>
      </c>
      <c r="F362" s="6">
        <v>106320</v>
      </c>
      <c r="G362" s="6">
        <v>89380</v>
      </c>
      <c r="H362" s="6">
        <v>76260</v>
      </c>
      <c r="I362" s="6">
        <v>63130</v>
      </c>
      <c r="J362" s="6">
        <v>63780</v>
      </c>
      <c r="K362" s="6">
        <v>50650</v>
      </c>
      <c r="L362" s="6">
        <v>37530</v>
      </c>
      <c r="M362" s="191"/>
      <c r="N362" s="191"/>
      <c r="O362" s="191"/>
      <c r="P362" s="191"/>
      <c r="Q362" s="191"/>
      <c r="R362" s="191"/>
      <c r="S362" s="191"/>
      <c r="T362" s="191"/>
      <c r="U362" s="191"/>
    </row>
    <row r="363" spans="1:21" x14ac:dyDescent="0.3">
      <c r="A363" s="195">
        <v>4320000</v>
      </c>
      <c r="B363" s="6">
        <v>236010</v>
      </c>
      <c r="C363" s="10">
        <v>207770</v>
      </c>
      <c r="D363" s="11">
        <v>146270</v>
      </c>
      <c r="E363" s="6">
        <v>127520</v>
      </c>
      <c r="F363" s="6">
        <v>108770</v>
      </c>
      <c r="G363" s="6">
        <v>91090</v>
      </c>
      <c r="H363" s="6">
        <v>77970</v>
      </c>
      <c r="I363" s="6">
        <v>64840</v>
      </c>
      <c r="J363" s="6">
        <v>65580</v>
      </c>
      <c r="K363" s="6">
        <v>52460</v>
      </c>
      <c r="L363" s="6">
        <v>39330</v>
      </c>
      <c r="M363" s="191"/>
      <c r="N363" s="191"/>
      <c r="O363" s="191"/>
      <c r="P363" s="191"/>
      <c r="Q363" s="191"/>
      <c r="R363" s="191"/>
      <c r="S363" s="191"/>
      <c r="T363" s="191"/>
      <c r="U363" s="191"/>
    </row>
    <row r="364" spans="1:21" x14ac:dyDescent="0.3">
      <c r="A364" s="195">
        <v>4340000</v>
      </c>
      <c r="B364" s="6">
        <v>238680</v>
      </c>
      <c r="C364" s="10">
        <v>210430</v>
      </c>
      <c r="D364" s="11">
        <v>148710</v>
      </c>
      <c r="E364" s="6">
        <v>129960</v>
      </c>
      <c r="F364" s="6">
        <v>111210</v>
      </c>
      <c r="G364" s="6">
        <v>92810</v>
      </c>
      <c r="H364" s="6">
        <v>79680</v>
      </c>
      <c r="I364" s="6">
        <v>66560</v>
      </c>
      <c r="J364" s="6">
        <v>67390</v>
      </c>
      <c r="K364" s="6">
        <v>54270</v>
      </c>
      <c r="L364" s="6">
        <v>41140</v>
      </c>
      <c r="M364" s="191"/>
      <c r="N364" s="191"/>
      <c r="O364" s="191"/>
      <c r="P364" s="191"/>
      <c r="Q364" s="191"/>
      <c r="R364" s="191"/>
      <c r="S364" s="191"/>
      <c r="T364" s="191"/>
      <c r="U364" s="191"/>
    </row>
    <row r="365" spans="1:21" x14ac:dyDescent="0.3">
      <c r="A365" s="195">
        <v>4360000</v>
      </c>
      <c r="B365" s="6">
        <v>241350</v>
      </c>
      <c r="C365" s="10">
        <v>213080</v>
      </c>
      <c r="D365" s="11">
        <v>151160</v>
      </c>
      <c r="E365" s="6">
        <v>132410</v>
      </c>
      <c r="F365" s="6">
        <v>113660</v>
      </c>
      <c r="G365" s="6">
        <v>94910</v>
      </c>
      <c r="H365" s="6">
        <v>81390</v>
      </c>
      <c r="I365" s="6">
        <v>68270</v>
      </c>
      <c r="J365" s="6">
        <v>69200</v>
      </c>
      <c r="K365" s="6">
        <v>56070</v>
      </c>
      <c r="L365" s="6">
        <v>42950</v>
      </c>
      <c r="M365" s="191"/>
      <c r="N365" s="191"/>
      <c r="O365" s="191"/>
      <c r="P365" s="191"/>
      <c r="Q365" s="191"/>
      <c r="R365" s="191"/>
      <c r="S365" s="191"/>
      <c r="T365" s="191"/>
      <c r="U365" s="191"/>
    </row>
    <row r="366" spans="1:21" x14ac:dyDescent="0.3">
      <c r="A366" s="195">
        <v>4380000</v>
      </c>
      <c r="B366" s="6">
        <v>244020</v>
      </c>
      <c r="C366" s="10">
        <v>215740</v>
      </c>
      <c r="D366" s="11">
        <v>153600</v>
      </c>
      <c r="E366" s="6">
        <v>134850</v>
      </c>
      <c r="F366" s="6">
        <v>116100</v>
      </c>
      <c r="G366" s="6">
        <v>97350</v>
      </c>
      <c r="H366" s="6">
        <v>83100</v>
      </c>
      <c r="I366" s="6">
        <v>69980</v>
      </c>
      <c r="J366" s="6">
        <v>71000</v>
      </c>
      <c r="K366" s="6">
        <v>57880</v>
      </c>
      <c r="L366" s="6">
        <v>44750</v>
      </c>
      <c r="M366" s="191"/>
      <c r="N366" s="191"/>
      <c r="O366" s="191"/>
      <c r="P366" s="191"/>
      <c r="Q366" s="191"/>
      <c r="R366" s="191"/>
      <c r="S366" s="191"/>
      <c r="T366" s="191"/>
      <c r="U366" s="191"/>
    </row>
    <row r="367" spans="1:21" x14ac:dyDescent="0.3">
      <c r="A367" s="195">
        <v>4400000</v>
      </c>
      <c r="B367" s="6">
        <v>246690</v>
      </c>
      <c r="C367" s="10">
        <v>218390</v>
      </c>
      <c r="D367" s="11">
        <v>156050</v>
      </c>
      <c r="E367" s="6">
        <v>137300</v>
      </c>
      <c r="F367" s="6">
        <v>118550</v>
      </c>
      <c r="G367" s="6">
        <v>99800</v>
      </c>
      <c r="H367" s="6">
        <v>84820</v>
      </c>
      <c r="I367" s="6">
        <v>71690</v>
      </c>
      <c r="J367" s="6">
        <v>72810</v>
      </c>
      <c r="K367" s="6">
        <v>59680</v>
      </c>
      <c r="L367" s="6">
        <v>46560</v>
      </c>
      <c r="M367" s="191"/>
      <c r="N367" s="191"/>
      <c r="O367" s="191"/>
      <c r="P367" s="191"/>
      <c r="Q367" s="191"/>
      <c r="R367" s="191"/>
      <c r="S367" s="191"/>
      <c r="T367" s="191"/>
      <c r="U367" s="191"/>
    </row>
    <row r="368" spans="1:21" x14ac:dyDescent="0.3">
      <c r="A368" s="195">
        <v>4420000</v>
      </c>
      <c r="B368" s="6">
        <v>249360</v>
      </c>
      <c r="C368" s="10">
        <v>221050</v>
      </c>
      <c r="D368" s="11">
        <v>158490</v>
      </c>
      <c r="E368" s="6">
        <v>139740</v>
      </c>
      <c r="F368" s="6">
        <v>120990</v>
      </c>
      <c r="G368" s="6">
        <v>102240</v>
      </c>
      <c r="H368" s="6">
        <v>86530</v>
      </c>
      <c r="I368" s="6">
        <v>73400</v>
      </c>
      <c r="J368" s="6">
        <v>74610</v>
      </c>
      <c r="K368" s="6">
        <v>61490</v>
      </c>
      <c r="L368" s="6">
        <v>48360</v>
      </c>
      <c r="M368" s="191"/>
      <c r="N368" s="191"/>
      <c r="O368" s="191"/>
      <c r="P368" s="191"/>
      <c r="Q368" s="191"/>
      <c r="R368" s="191"/>
      <c r="S368" s="191"/>
      <c r="T368" s="191"/>
      <c r="U368" s="191"/>
    </row>
    <row r="369" spans="1:21" x14ac:dyDescent="0.3">
      <c r="A369" s="195">
        <v>4440000</v>
      </c>
      <c r="B369" s="6">
        <v>252030</v>
      </c>
      <c r="C369" s="10">
        <v>223700</v>
      </c>
      <c r="D369" s="11">
        <v>160940</v>
      </c>
      <c r="E369" s="6">
        <v>142190</v>
      </c>
      <c r="F369" s="6">
        <v>123440</v>
      </c>
      <c r="G369" s="6">
        <v>104690</v>
      </c>
      <c r="H369" s="6">
        <v>88240</v>
      </c>
      <c r="I369" s="6">
        <v>75110</v>
      </c>
      <c r="J369" s="6">
        <v>76420</v>
      </c>
      <c r="K369" s="6">
        <v>63300</v>
      </c>
      <c r="L369" s="6">
        <v>50170</v>
      </c>
      <c r="M369" s="191"/>
      <c r="N369" s="191"/>
      <c r="O369" s="191"/>
      <c r="P369" s="191"/>
      <c r="Q369" s="191"/>
      <c r="R369" s="191"/>
      <c r="S369" s="191"/>
      <c r="T369" s="191"/>
      <c r="U369" s="191"/>
    </row>
    <row r="370" spans="1:21" x14ac:dyDescent="0.3">
      <c r="A370" s="195">
        <v>4460000</v>
      </c>
      <c r="B370" s="6">
        <v>254700</v>
      </c>
      <c r="C370" s="10">
        <v>226360</v>
      </c>
      <c r="D370" s="11">
        <v>163380</v>
      </c>
      <c r="E370" s="6">
        <v>144630</v>
      </c>
      <c r="F370" s="6">
        <v>125880</v>
      </c>
      <c r="G370" s="6">
        <v>107130</v>
      </c>
      <c r="H370" s="6">
        <v>89950</v>
      </c>
      <c r="I370" s="6">
        <v>76820</v>
      </c>
      <c r="J370" s="6">
        <v>78230</v>
      </c>
      <c r="K370" s="6">
        <v>65100</v>
      </c>
      <c r="L370" s="6">
        <v>51980</v>
      </c>
      <c r="M370" s="191"/>
      <c r="N370" s="191"/>
      <c r="O370" s="191"/>
      <c r="P370" s="191"/>
      <c r="Q370" s="191"/>
      <c r="R370" s="191"/>
      <c r="S370" s="191"/>
      <c r="T370" s="191"/>
      <c r="U370" s="191"/>
    </row>
    <row r="371" spans="1:21" x14ac:dyDescent="0.3">
      <c r="A371" s="195">
        <v>4480000</v>
      </c>
      <c r="B371" s="6">
        <v>257370</v>
      </c>
      <c r="C371" s="10">
        <v>229010</v>
      </c>
      <c r="D371" s="11">
        <v>165830</v>
      </c>
      <c r="E371" s="6">
        <v>147080</v>
      </c>
      <c r="F371" s="6">
        <v>128330</v>
      </c>
      <c r="G371" s="6">
        <v>109580</v>
      </c>
      <c r="H371" s="6">
        <v>91660</v>
      </c>
      <c r="I371" s="6">
        <v>78540</v>
      </c>
      <c r="J371" s="6">
        <v>80030</v>
      </c>
      <c r="K371" s="6">
        <v>66910</v>
      </c>
      <c r="L371" s="6">
        <v>53780</v>
      </c>
      <c r="M371" s="191"/>
      <c r="N371" s="191"/>
      <c r="O371" s="191"/>
      <c r="P371" s="191"/>
      <c r="Q371" s="191"/>
      <c r="R371" s="191"/>
      <c r="S371" s="191"/>
      <c r="T371" s="191"/>
      <c r="U371" s="191"/>
    </row>
    <row r="372" spans="1:21" x14ac:dyDescent="0.3">
      <c r="A372" s="195">
        <v>4500000</v>
      </c>
      <c r="B372" s="6">
        <v>260040</v>
      </c>
      <c r="C372" s="10">
        <v>231670</v>
      </c>
      <c r="D372" s="11">
        <v>168270</v>
      </c>
      <c r="E372" s="6">
        <v>149520</v>
      </c>
      <c r="F372" s="6">
        <v>130770</v>
      </c>
      <c r="G372" s="6">
        <v>112020</v>
      </c>
      <c r="H372" s="6">
        <v>93370</v>
      </c>
      <c r="I372" s="6">
        <v>80250</v>
      </c>
      <c r="J372" s="6">
        <v>81840</v>
      </c>
      <c r="K372" s="6">
        <v>68710</v>
      </c>
      <c r="L372" s="6">
        <v>55590</v>
      </c>
      <c r="M372" s="191"/>
      <c r="N372" s="191"/>
      <c r="O372" s="191"/>
      <c r="P372" s="191"/>
      <c r="Q372" s="191"/>
      <c r="R372" s="191"/>
      <c r="S372" s="191"/>
      <c r="T372" s="191"/>
      <c r="U372" s="191"/>
    </row>
    <row r="373" spans="1:21" x14ac:dyDescent="0.3">
      <c r="A373" s="195">
        <v>4520000</v>
      </c>
      <c r="B373" s="6">
        <v>262840</v>
      </c>
      <c r="C373" s="10">
        <v>234460</v>
      </c>
      <c r="D373" s="11">
        <v>170850</v>
      </c>
      <c r="E373" s="6">
        <v>152100</v>
      </c>
      <c r="F373" s="6">
        <v>133350</v>
      </c>
      <c r="G373" s="6">
        <v>114600</v>
      </c>
      <c r="H373" s="6">
        <v>95850</v>
      </c>
      <c r="I373" s="6">
        <v>82050</v>
      </c>
      <c r="J373" s="6">
        <v>83640</v>
      </c>
      <c r="K373" s="6">
        <v>70520</v>
      </c>
      <c r="L373" s="6">
        <v>57390</v>
      </c>
      <c r="M373" s="191"/>
      <c r="N373" s="191"/>
      <c r="O373" s="191"/>
      <c r="P373" s="191"/>
      <c r="Q373" s="191"/>
      <c r="R373" s="191"/>
      <c r="S373" s="191"/>
      <c r="T373" s="191"/>
      <c r="U373" s="191"/>
    </row>
    <row r="374" spans="1:21" x14ac:dyDescent="0.3">
      <c r="A374" s="195">
        <v>4540000</v>
      </c>
      <c r="B374" s="6">
        <v>265650</v>
      </c>
      <c r="C374" s="10">
        <v>237250</v>
      </c>
      <c r="D374" s="11">
        <v>173430</v>
      </c>
      <c r="E374" s="6">
        <v>154680</v>
      </c>
      <c r="F374" s="6">
        <v>135930</v>
      </c>
      <c r="G374" s="6">
        <v>117180</v>
      </c>
      <c r="H374" s="6">
        <v>98430</v>
      </c>
      <c r="I374" s="6">
        <v>83860</v>
      </c>
      <c r="J374" s="6">
        <v>85450</v>
      </c>
      <c r="K374" s="6">
        <v>72330</v>
      </c>
      <c r="L374" s="6">
        <v>59200</v>
      </c>
      <c r="M374" s="191"/>
      <c r="N374" s="191"/>
      <c r="O374" s="191"/>
      <c r="P374" s="191"/>
      <c r="Q374" s="191"/>
      <c r="R374" s="191"/>
      <c r="S374" s="191"/>
      <c r="T374" s="191"/>
      <c r="U374" s="191"/>
    </row>
    <row r="375" spans="1:21" x14ac:dyDescent="0.3">
      <c r="A375" s="195">
        <v>4560000</v>
      </c>
      <c r="B375" s="6">
        <v>268450</v>
      </c>
      <c r="C375" s="10">
        <v>240040</v>
      </c>
      <c r="D375" s="11">
        <v>176010</v>
      </c>
      <c r="E375" s="6">
        <v>157260</v>
      </c>
      <c r="F375" s="6">
        <v>138510</v>
      </c>
      <c r="G375" s="6">
        <v>119760</v>
      </c>
      <c r="H375" s="6">
        <v>101010</v>
      </c>
      <c r="I375" s="6">
        <v>85670</v>
      </c>
      <c r="J375" s="6">
        <v>87260</v>
      </c>
      <c r="K375" s="6">
        <v>74130</v>
      </c>
      <c r="L375" s="6">
        <v>61010</v>
      </c>
      <c r="M375" s="191"/>
      <c r="N375" s="191"/>
      <c r="O375" s="191"/>
      <c r="P375" s="191"/>
      <c r="Q375" s="191"/>
      <c r="R375" s="191"/>
      <c r="S375" s="191"/>
      <c r="T375" s="191"/>
      <c r="U375" s="191"/>
    </row>
    <row r="376" spans="1:21" x14ac:dyDescent="0.3">
      <c r="A376" s="195">
        <v>4580000</v>
      </c>
      <c r="B376" s="6">
        <v>271260</v>
      </c>
      <c r="C376" s="10">
        <v>242830</v>
      </c>
      <c r="D376" s="11">
        <v>178590</v>
      </c>
      <c r="E376" s="6">
        <v>159840</v>
      </c>
      <c r="F376" s="6">
        <v>141090</v>
      </c>
      <c r="G376" s="6">
        <v>122340</v>
      </c>
      <c r="H376" s="6">
        <v>103590</v>
      </c>
      <c r="I376" s="6">
        <v>87470</v>
      </c>
      <c r="J376" s="6">
        <v>89620</v>
      </c>
      <c r="K376" s="6">
        <v>75940</v>
      </c>
      <c r="L376" s="6">
        <v>62810</v>
      </c>
      <c r="M376" s="191"/>
      <c r="N376" s="191"/>
      <c r="O376" s="191"/>
      <c r="P376" s="191"/>
      <c r="Q376" s="191"/>
      <c r="R376" s="191"/>
      <c r="S376" s="191"/>
      <c r="T376" s="191"/>
      <c r="U376" s="191"/>
    </row>
    <row r="377" spans="1:21" x14ac:dyDescent="0.3">
      <c r="A377" s="195">
        <v>4600000</v>
      </c>
      <c r="B377" s="6">
        <v>276560</v>
      </c>
      <c r="C377" s="10">
        <v>248120</v>
      </c>
      <c r="D377" s="11">
        <v>183670</v>
      </c>
      <c r="E377" s="6">
        <v>164920</v>
      </c>
      <c r="F377" s="6">
        <v>146170</v>
      </c>
      <c r="G377" s="6">
        <v>127420</v>
      </c>
      <c r="H377" s="6">
        <v>108670</v>
      </c>
      <c r="I377" s="6">
        <v>89920</v>
      </c>
      <c r="J377" s="6">
        <v>92200</v>
      </c>
      <c r="K377" s="6">
        <v>77740</v>
      </c>
      <c r="L377" s="6">
        <v>64620</v>
      </c>
      <c r="M377" s="191"/>
      <c r="N377" s="191"/>
      <c r="O377" s="191"/>
      <c r="P377" s="191"/>
      <c r="Q377" s="191"/>
      <c r="R377" s="191"/>
      <c r="S377" s="191"/>
      <c r="T377" s="191"/>
      <c r="U377" s="191"/>
    </row>
    <row r="378" spans="1:21" x14ac:dyDescent="0.3">
      <c r="A378" s="195">
        <v>4620000</v>
      </c>
      <c r="B378" s="6">
        <v>279370</v>
      </c>
      <c r="C378" s="10">
        <v>250910</v>
      </c>
      <c r="D378" s="11">
        <v>186250</v>
      </c>
      <c r="E378" s="6">
        <v>167500</v>
      </c>
      <c r="F378" s="6">
        <v>148750</v>
      </c>
      <c r="G378" s="6">
        <v>130000</v>
      </c>
      <c r="H378" s="6">
        <v>111250</v>
      </c>
      <c r="I378" s="6">
        <v>92500</v>
      </c>
      <c r="J378" s="6">
        <v>94780</v>
      </c>
      <c r="K378" s="6">
        <v>79550</v>
      </c>
      <c r="L378" s="6">
        <v>66420</v>
      </c>
      <c r="M378" s="191"/>
      <c r="N378" s="191"/>
      <c r="O378" s="191"/>
      <c r="P378" s="191"/>
      <c r="Q378" s="191"/>
      <c r="R378" s="191"/>
      <c r="S378" s="191"/>
      <c r="T378" s="191"/>
      <c r="U378" s="191"/>
    </row>
    <row r="379" spans="1:21" x14ac:dyDescent="0.3">
      <c r="A379" s="195">
        <v>4640000</v>
      </c>
      <c r="B379" s="6">
        <v>282170</v>
      </c>
      <c r="C379" s="10">
        <v>253700</v>
      </c>
      <c r="D379" s="11">
        <v>188830</v>
      </c>
      <c r="E379" s="6">
        <v>170080</v>
      </c>
      <c r="F379" s="6">
        <v>151330</v>
      </c>
      <c r="G379" s="6">
        <v>132580</v>
      </c>
      <c r="H379" s="6">
        <v>113830</v>
      </c>
      <c r="I379" s="6">
        <v>95080</v>
      </c>
      <c r="J379" s="6">
        <v>97360</v>
      </c>
      <c r="K379" s="6">
        <v>81360</v>
      </c>
      <c r="L379" s="6">
        <v>68230</v>
      </c>
      <c r="M379" s="191"/>
      <c r="N379" s="191"/>
      <c r="O379" s="191"/>
      <c r="P379" s="191"/>
      <c r="Q379" s="191"/>
      <c r="R379" s="191"/>
      <c r="S379" s="191"/>
      <c r="T379" s="191"/>
      <c r="U379" s="191"/>
    </row>
    <row r="380" spans="1:21" x14ac:dyDescent="0.3">
      <c r="A380" s="195">
        <v>4660000</v>
      </c>
      <c r="B380" s="6">
        <v>284980</v>
      </c>
      <c r="C380" s="10">
        <v>256490</v>
      </c>
      <c r="D380" s="11">
        <v>191410</v>
      </c>
      <c r="E380" s="6">
        <v>172660</v>
      </c>
      <c r="F380" s="6">
        <v>153910</v>
      </c>
      <c r="G380" s="6">
        <v>135160</v>
      </c>
      <c r="H380" s="6">
        <v>116410</v>
      </c>
      <c r="I380" s="6">
        <v>97660</v>
      </c>
      <c r="J380" s="6">
        <v>99940</v>
      </c>
      <c r="K380" s="6">
        <v>83160</v>
      </c>
      <c r="L380" s="6">
        <v>70040</v>
      </c>
      <c r="M380" s="191"/>
      <c r="N380" s="191"/>
      <c r="O380" s="191"/>
      <c r="P380" s="191"/>
      <c r="Q380" s="191"/>
      <c r="R380" s="191"/>
      <c r="S380" s="191"/>
      <c r="T380" s="191"/>
      <c r="U380" s="191"/>
    </row>
    <row r="381" spans="1:21" x14ac:dyDescent="0.3">
      <c r="A381" s="195">
        <v>4680000</v>
      </c>
      <c r="B381" s="6">
        <v>287780</v>
      </c>
      <c r="C381" s="10">
        <v>259280</v>
      </c>
      <c r="D381" s="11">
        <v>193990</v>
      </c>
      <c r="E381" s="6">
        <v>175240</v>
      </c>
      <c r="F381" s="6">
        <v>156490</v>
      </c>
      <c r="G381" s="6">
        <v>137740</v>
      </c>
      <c r="H381" s="6">
        <v>118990</v>
      </c>
      <c r="I381" s="6">
        <v>100240</v>
      </c>
      <c r="J381" s="6">
        <v>102520</v>
      </c>
      <c r="K381" s="6">
        <v>84970</v>
      </c>
      <c r="L381" s="6">
        <v>71840</v>
      </c>
      <c r="M381" s="191"/>
      <c r="N381" s="191"/>
      <c r="O381" s="191"/>
      <c r="P381" s="191"/>
      <c r="Q381" s="191"/>
      <c r="R381" s="191"/>
      <c r="S381" s="191"/>
      <c r="T381" s="191"/>
      <c r="U381" s="191"/>
    </row>
    <row r="382" spans="1:21" x14ac:dyDescent="0.3">
      <c r="A382" s="195">
        <v>4700000</v>
      </c>
      <c r="B382" s="6">
        <v>290590</v>
      </c>
      <c r="C382" s="10">
        <v>262070</v>
      </c>
      <c r="D382" s="11">
        <v>196570</v>
      </c>
      <c r="E382" s="6">
        <v>177820</v>
      </c>
      <c r="F382" s="6">
        <v>159070</v>
      </c>
      <c r="G382" s="6">
        <v>140320</v>
      </c>
      <c r="H382" s="6">
        <v>121570</v>
      </c>
      <c r="I382" s="6">
        <v>102820</v>
      </c>
      <c r="J382" s="6">
        <v>105100</v>
      </c>
      <c r="K382" s="6">
        <v>86770</v>
      </c>
      <c r="L382" s="6">
        <v>73650</v>
      </c>
      <c r="M382" s="191"/>
      <c r="N382" s="191"/>
      <c r="O382" s="191"/>
      <c r="P382" s="191"/>
      <c r="Q382" s="191"/>
      <c r="R382" s="191"/>
      <c r="S382" s="191"/>
      <c r="T382" s="191"/>
      <c r="U382" s="191"/>
    </row>
    <row r="383" spans="1:21" x14ac:dyDescent="0.3">
      <c r="A383" s="195">
        <v>4720000</v>
      </c>
      <c r="B383" s="6">
        <v>293390</v>
      </c>
      <c r="C383" s="10">
        <v>264860</v>
      </c>
      <c r="D383" s="11">
        <v>199150</v>
      </c>
      <c r="E383" s="6">
        <v>180400</v>
      </c>
      <c r="F383" s="6">
        <v>161650</v>
      </c>
      <c r="G383" s="6">
        <v>142900</v>
      </c>
      <c r="H383" s="6">
        <v>124150</v>
      </c>
      <c r="I383" s="6">
        <v>105400</v>
      </c>
      <c r="J383" s="6">
        <v>107680</v>
      </c>
      <c r="K383" s="6">
        <v>88930</v>
      </c>
      <c r="L383" s="6">
        <v>75450</v>
      </c>
      <c r="M383" s="191"/>
      <c r="N383" s="191"/>
      <c r="O383" s="191"/>
      <c r="P383" s="191"/>
      <c r="Q383" s="191"/>
      <c r="R383" s="191"/>
      <c r="S383" s="191"/>
      <c r="T383" s="191"/>
      <c r="U383" s="191"/>
    </row>
    <row r="384" spans="1:21" x14ac:dyDescent="0.3">
      <c r="A384" s="195">
        <v>4740000</v>
      </c>
      <c r="B384" s="6">
        <v>296200</v>
      </c>
      <c r="C384" s="10">
        <v>267650</v>
      </c>
      <c r="D384" s="11">
        <v>201730</v>
      </c>
      <c r="E384" s="6">
        <v>182980</v>
      </c>
      <c r="F384" s="6">
        <v>164230</v>
      </c>
      <c r="G384" s="6">
        <v>145480</v>
      </c>
      <c r="H384" s="6">
        <v>126730</v>
      </c>
      <c r="I384" s="6">
        <v>107980</v>
      </c>
      <c r="J384" s="6">
        <v>110260</v>
      </c>
      <c r="K384" s="6">
        <v>91510</v>
      </c>
      <c r="L384" s="6">
        <v>77260</v>
      </c>
      <c r="M384" s="191"/>
      <c r="N384" s="191"/>
      <c r="O384" s="191"/>
      <c r="P384" s="191"/>
      <c r="Q384" s="191"/>
      <c r="R384" s="191"/>
      <c r="S384" s="191"/>
      <c r="T384" s="191"/>
      <c r="U384" s="191"/>
    </row>
    <row r="385" spans="1:21" x14ac:dyDescent="0.3">
      <c r="A385" s="195">
        <v>4760000</v>
      </c>
      <c r="B385" s="6">
        <v>299000</v>
      </c>
      <c r="C385" s="10">
        <v>270440</v>
      </c>
      <c r="D385" s="11">
        <v>204310</v>
      </c>
      <c r="E385" s="6">
        <v>185560</v>
      </c>
      <c r="F385" s="6">
        <v>166810</v>
      </c>
      <c r="G385" s="6">
        <v>148060</v>
      </c>
      <c r="H385" s="6">
        <v>129310</v>
      </c>
      <c r="I385" s="6">
        <v>110560</v>
      </c>
      <c r="J385" s="6">
        <v>112840</v>
      </c>
      <c r="K385" s="6">
        <v>94090</v>
      </c>
      <c r="L385" s="6">
        <v>79070</v>
      </c>
      <c r="M385" s="191"/>
      <c r="N385" s="191"/>
      <c r="O385" s="191"/>
      <c r="P385" s="191"/>
      <c r="Q385" s="191"/>
      <c r="R385" s="191"/>
      <c r="S385" s="191"/>
      <c r="T385" s="191"/>
      <c r="U385" s="191"/>
    </row>
    <row r="386" spans="1:21" x14ac:dyDescent="0.3">
      <c r="A386" s="195">
        <v>4780000</v>
      </c>
      <c r="B386" s="6">
        <v>301810</v>
      </c>
      <c r="C386" s="10">
        <v>273230</v>
      </c>
      <c r="D386" s="11">
        <v>206890</v>
      </c>
      <c r="E386" s="6">
        <v>188140</v>
      </c>
      <c r="F386" s="6">
        <v>169390</v>
      </c>
      <c r="G386" s="6">
        <v>150640</v>
      </c>
      <c r="H386" s="6">
        <v>131890</v>
      </c>
      <c r="I386" s="6">
        <v>113140</v>
      </c>
      <c r="J386" s="6">
        <v>115420</v>
      </c>
      <c r="K386" s="6">
        <v>96670</v>
      </c>
      <c r="L386" s="6">
        <v>80870</v>
      </c>
      <c r="M386" s="191"/>
      <c r="N386" s="191"/>
      <c r="O386" s="191"/>
      <c r="P386" s="191"/>
      <c r="Q386" s="191"/>
      <c r="R386" s="191"/>
      <c r="S386" s="191"/>
      <c r="T386" s="191"/>
      <c r="U386" s="191"/>
    </row>
    <row r="387" spans="1:21" x14ac:dyDescent="0.3">
      <c r="A387" s="195">
        <v>4800000</v>
      </c>
      <c r="B387" s="6">
        <v>304610</v>
      </c>
      <c r="C387" s="10">
        <v>276020</v>
      </c>
      <c r="D387" s="11">
        <v>209470</v>
      </c>
      <c r="E387" s="6">
        <v>190720</v>
      </c>
      <c r="F387" s="6">
        <v>171970</v>
      </c>
      <c r="G387" s="6">
        <v>153220</v>
      </c>
      <c r="H387" s="6">
        <v>134470</v>
      </c>
      <c r="I387" s="6">
        <v>115720</v>
      </c>
      <c r="J387" s="6">
        <v>118000</v>
      </c>
      <c r="K387" s="6">
        <v>99250</v>
      </c>
      <c r="L387" s="6">
        <v>82680</v>
      </c>
      <c r="M387" s="191"/>
      <c r="N387" s="191"/>
      <c r="O387" s="191"/>
      <c r="P387" s="191"/>
      <c r="Q387" s="191"/>
      <c r="R387" s="191"/>
      <c r="S387" s="191"/>
      <c r="T387" s="191"/>
      <c r="U387" s="191"/>
    </row>
    <row r="388" spans="1:21" x14ac:dyDescent="0.3">
      <c r="A388" s="195">
        <v>4820000</v>
      </c>
      <c r="B388" s="6">
        <v>307420</v>
      </c>
      <c r="C388" s="10">
        <v>278810</v>
      </c>
      <c r="D388" s="11">
        <v>212050</v>
      </c>
      <c r="E388" s="6">
        <v>193300</v>
      </c>
      <c r="F388" s="6">
        <v>174550</v>
      </c>
      <c r="G388" s="6">
        <v>155800</v>
      </c>
      <c r="H388" s="6">
        <v>137050</v>
      </c>
      <c r="I388" s="6">
        <v>118300</v>
      </c>
      <c r="J388" s="6">
        <v>120580</v>
      </c>
      <c r="K388" s="6">
        <v>101830</v>
      </c>
      <c r="L388" s="6">
        <v>84480</v>
      </c>
      <c r="M388" s="191"/>
      <c r="N388" s="191"/>
      <c r="O388" s="191"/>
      <c r="P388" s="191"/>
      <c r="Q388" s="191"/>
      <c r="R388" s="191"/>
      <c r="S388" s="191"/>
      <c r="T388" s="191"/>
      <c r="U388" s="191"/>
    </row>
    <row r="389" spans="1:21" x14ac:dyDescent="0.3">
      <c r="A389" s="195">
        <v>4840000</v>
      </c>
      <c r="B389" s="6">
        <v>310220</v>
      </c>
      <c r="C389" s="10">
        <v>281600</v>
      </c>
      <c r="D389" s="11">
        <v>214630</v>
      </c>
      <c r="E389" s="6">
        <v>195880</v>
      </c>
      <c r="F389" s="6">
        <v>177130</v>
      </c>
      <c r="G389" s="6">
        <v>158380</v>
      </c>
      <c r="H389" s="6">
        <v>139630</v>
      </c>
      <c r="I389" s="6">
        <v>120880</v>
      </c>
      <c r="J389" s="6">
        <v>123160</v>
      </c>
      <c r="K389" s="6">
        <v>104410</v>
      </c>
      <c r="L389" s="6">
        <v>86290</v>
      </c>
      <c r="M389" s="191"/>
      <c r="N389" s="191"/>
      <c r="O389" s="191"/>
      <c r="P389" s="191"/>
      <c r="Q389" s="191"/>
      <c r="R389" s="191"/>
      <c r="S389" s="191"/>
      <c r="T389" s="191"/>
      <c r="U389" s="191"/>
    </row>
    <row r="390" spans="1:21" x14ac:dyDescent="0.3">
      <c r="A390" s="195">
        <v>4860000</v>
      </c>
      <c r="B390" s="6">
        <v>313030</v>
      </c>
      <c r="C390" s="10">
        <v>284390</v>
      </c>
      <c r="D390" s="11">
        <v>217210</v>
      </c>
      <c r="E390" s="6">
        <v>198460</v>
      </c>
      <c r="F390" s="6">
        <v>179710</v>
      </c>
      <c r="G390" s="6">
        <v>160960</v>
      </c>
      <c r="H390" s="6">
        <v>142210</v>
      </c>
      <c r="I390" s="6">
        <v>123460</v>
      </c>
      <c r="J390" s="6">
        <v>125740</v>
      </c>
      <c r="K390" s="6">
        <v>106990</v>
      </c>
      <c r="L390" s="6">
        <v>88240</v>
      </c>
      <c r="M390" s="191"/>
      <c r="N390" s="191"/>
      <c r="O390" s="191"/>
      <c r="P390" s="191"/>
      <c r="Q390" s="191"/>
      <c r="R390" s="191"/>
      <c r="S390" s="191"/>
      <c r="T390" s="191"/>
      <c r="U390" s="191"/>
    </row>
    <row r="391" spans="1:21" x14ac:dyDescent="0.3">
      <c r="A391" s="195">
        <v>4880000</v>
      </c>
      <c r="B391" s="6">
        <v>315830</v>
      </c>
      <c r="C391" s="10">
        <v>287180</v>
      </c>
      <c r="D391" s="11">
        <v>219790</v>
      </c>
      <c r="E391" s="6">
        <v>201040</v>
      </c>
      <c r="F391" s="6">
        <v>182290</v>
      </c>
      <c r="G391" s="6">
        <v>163540</v>
      </c>
      <c r="H391" s="6">
        <v>144790</v>
      </c>
      <c r="I391" s="6">
        <v>126040</v>
      </c>
      <c r="J391" s="6">
        <v>128320</v>
      </c>
      <c r="K391" s="6">
        <v>109570</v>
      </c>
      <c r="L391" s="6">
        <v>90820</v>
      </c>
      <c r="M391" s="191"/>
      <c r="N391" s="191"/>
      <c r="O391" s="191"/>
      <c r="P391" s="191"/>
      <c r="Q391" s="191"/>
      <c r="R391" s="191"/>
      <c r="S391" s="191"/>
      <c r="T391" s="191"/>
      <c r="U391" s="191"/>
    </row>
    <row r="392" spans="1:21" x14ac:dyDescent="0.3">
      <c r="A392" s="195">
        <v>4900000</v>
      </c>
      <c r="B392" s="6">
        <v>318640</v>
      </c>
      <c r="C392" s="10">
        <v>289970</v>
      </c>
      <c r="D392" s="11">
        <v>222370</v>
      </c>
      <c r="E392" s="6">
        <v>203620</v>
      </c>
      <c r="F392" s="6">
        <v>184870</v>
      </c>
      <c r="G392" s="6">
        <v>166120</v>
      </c>
      <c r="H392" s="6">
        <v>147370</v>
      </c>
      <c r="I392" s="6">
        <v>128620</v>
      </c>
      <c r="J392" s="6">
        <v>130900</v>
      </c>
      <c r="K392" s="6">
        <v>112150</v>
      </c>
      <c r="L392" s="6">
        <v>93400</v>
      </c>
      <c r="M392" s="191"/>
      <c r="N392" s="191"/>
      <c r="O392" s="191"/>
      <c r="P392" s="191"/>
      <c r="Q392" s="191"/>
      <c r="R392" s="191"/>
      <c r="S392" s="191"/>
      <c r="T392" s="191"/>
      <c r="U392" s="191"/>
    </row>
    <row r="393" spans="1:21" x14ac:dyDescent="0.3">
      <c r="A393" s="195">
        <v>4920000</v>
      </c>
      <c r="B393" s="6">
        <v>321440</v>
      </c>
      <c r="C393" s="10">
        <v>292760</v>
      </c>
      <c r="D393" s="11">
        <v>224950</v>
      </c>
      <c r="E393" s="6">
        <v>206200</v>
      </c>
      <c r="F393" s="6">
        <v>187450</v>
      </c>
      <c r="G393" s="6">
        <v>168700</v>
      </c>
      <c r="H393" s="6">
        <v>149950</v>
      </c>
      <c r="I393" s="6">
        <v>131200</v>
      </c>
      <c r="J393" s="6">
        <v>133480</v>
      </c>
      <c r="K393" s="6">
        <v>114730</v>
      </c>
      <c r="L393" s="6">
        <v>95980</v>
      </c>
      <c r="M393" s="191"/>
      <c r="N393" s="191"/>
      <c r="O393" s="191"/>
      <c r="P393" s="191"/>
      <c r="Q393" s="191"/>
      <c r="R393" s="191"/>
      <c r="S393" s="191"/>
      <c r="T393" s="191"/>
      <c r="U393" s="191"/>
    </row>
    <row r="394" spans="1:21" x14ac:dyDescent="0.3">
      <c r="A394" s="195">
        <v>4940000</v>
      </c>
      <c r="B394" s="6">
        <v>324250</v>
      </c>
      <c r="C394" s="10">
        <v>295550</v>
      </c>
      <c r="D394" s="11">
        <v>227530</v>
      </c>
      <c r="E394" s="6">
        <v>208780</v>
      </c>
      <c r="F394" s="6">
        <v>190030</v>
      </c>
      <c r="G394" s="6">
        <v>171280</v>
      </c>
      <c r="H394" s="6">
        <v>152530</v>
      </c>
      <c r="I394" s="6">
        <v>133780</v>
      </c>
      <c r="J394" s="6">
        <v>136060</v>
      </c>
      <c r="K394" s="6">
        <v>117310</v>
      </c>
      <c r="L394" s="6">
        <v>98560</v>
      </c>
      <c r="M394" s="191"/>
      <c r="N394" s="191"/>
      <c r="O394" s="191"/>
      <c r="P394" s="191"/>
      <c r="Q394" s="191"/>
      <c r="R394" s="191"/>
      <c r="S394" s="191"/>
      <c r="T394" s="191"/>
      <c r="U394" s="191"/>
    </row>
    <row r="395" spans="1:21" x14ac:dyDescent="0.3">
      <c r="A395" s="195">
        <v>4960000</v>
      </c>
      <c r="B395" s="6">
        <v>327050</v>
      </c>
      <c r="C395" s="10">
        <v>298340</v>
      </c>
      <c r="D395" s="11">
        <v>230110</v>
      </c>
      <c r="E395" s="6">
        <v>211360</v>
      </c>
      <c r="F395" s="6">
        <v>192610</v>
      </c>
      <c r="G395" s="6">
        <v>173860</v>
      </c>
      <c r="H395" s="6">
        <v>155110</v>
      </c>
      <c r="I395" s="6">
        <v>136360</v>
      </c>
      <c r="J395" s="6">
        <v>138640</v>
      </c>
      <c r="K395" s="6">
        <v>119890</v>
      </c>
      <c r="L395" s="6">
        <v>101140</v>
      </c>
      <c r="M395" s="191"/>
      <c r="N395" s="191"/>
      <c r="O395" s="191"/>
      <c r="P395" s="191"/>
      <c r="Q395" s="191"/>
      <c r="R395" s="191"/>
      <c r="S395" s="191"/>
      <c r="T395" s="191"/>
      <c r="U395" s="191"/>
    </row>
    <row r="396" spans="1:21" x14ac:dyDescent="0.3">
      <c r="A396" s="195">
        <v>4980000</v>
      </c>
      <c r="B396" s="6">
        <v>329860</v>
      </c>
      <c r="C396" s="10">
        <v>301130</v>
      </c>
      <c r="D396" s="11">
        <v>232690</v>
      </c>
      <c r="E396" s="6">
        <v>213940</v>
      </c>
      <c r="F396" s="6">
        <v>195190</v>
      </c>
      <c r="G396" s="6">
        <v>176440</v>
      </c>
      <c r="H396" s="6">
        <v>157690</v>
      </c>
      <c r="I396" s="6">
        <v>138940</v>
      </c>
      <c r="J396" s="6">
        <v>141220</v>
      </c>
      <c r="K396" s="6">
        <v>122470</v>
      </c>
      <c r="L396" s="6">
        <v>103720</v>
      </c>
      <c r="M396" s="191"/>
      <c r="N396" s="191"/>
      <c r="O396" s="191"/>
      <c r="P396" s="191"/>
      <c r="Q396" s="191"/>
      <c r="R396" s="191"/>
      <c r="S396" s="191"/>
      <c r="T396" s="191"/>
      <c r="U396" s="191"/>
    </row>
    <row r="397" spans="1:21" x14ac:dyDescent="0.3">
      <c r="A397" s="195">
        <v>5000000</v>
      </c>
      <c r="B397" s="6">
        <v>332660</v>
      </c>
      <c r="C397" s="10">
        <v>303920</v>
      </c>
      <c r="D397" s="11">
        <v>235270</v>
      </c>
      <c r="E397" s="6">
        <v>216520</v>
      </c>
      <c r="F397" s="6">
        <v>197770</v>
      </c>
      <c r="G397" s="6">
        <v>179020</v>
      </c>
      <c r="H397" s="6">
        <v>160270</v>
      </c>
      <c r="I397" s="6">
        <v>141520</v>
      </c>
      <c r="J397" s="6">
        <v>143800</v>
      </c>
      <c r="K397" s="6">
        <v>125050</v>
      </c>
      <c r="L397" s="6">
        <v>106300</v>
      </c>
      <c r="M397" s="191"/>
      <c r="N397" s="191"/>
      <c r="O397" s="191"/>
      <c r="P397" s="191"/>
      <c r="Q397" s="191"/>
      <c r="R397" s="191"/>
      <c r="S397" s="191"/>
      <c r="T397" s="191"/>
      <c r="U397" s="191"/>
    </row>
    <row r="398" spans="1:21" x14ac:dyDescent="0.3">
      <c r="A398" s="195">
        <v>5020000</v>
      </c>
      <c r="B398" s="6">
        <v>335470</v>
      </c>
      <c r="C398" s="10">
        <v>306710</v>
      </c>
      <c r="D398" s="11">
        <v>237850</v>
      </c>
      <c r="E398" s="6">
        <v>219100</v>
      </c>
      <c r="F398" s="6">
        <v>200350</v>
      </c>
      <c r="G398" s="6">
        <v>181600</v>
      </c>
      <c r="H398" s="6">
        <v>162850</v>
      </c>
      <c r="I398" s="6">
        <v>144100</v>
      </c>
      <c r="J398" s="6">
        <v>146380</v>
      </c>
      <c r="K398" s="6">
        <v>127630</v>
      </c>
      <c r="L398" s="6">
        <v>108880</v>
      </c>
      <c r="M398" s="191"/>
      <c r="N398" s="191"/>
      <c r="O398" s="191"/>
      <c r="P398" s="191"/>
      <c r="Q398" s="191"/>
      <c r="R398" s="191"/>
      <c r="S398" s="191"/>
      <c r="T398" s="191"/>
      <c r="U398" s="191"/>
    </row>
    <row r="399" spans="1:21" x14ac:dyDescent="0.3">
      <c r="A399" s="195">
        <v>5040000</v>
      </c>
      <c r="B399" s="6">
        <v>338270</v>
      </c>
      <c r="C399" s="10">
        <v>309500</v>
      </c>
      <c r="D399" s="11">
        <v>240430</v>
      </c>
      <c r="E399" s="6">
        <v>221680</v>
      </c>
      <c r="F399" s="6">
        <v>202930</v>
      </c>
      <c r="G399" s="6">
        <v>184180</v>
      </c>
      <c r="H399" s="6">
        <v>165430</v>
      </c>
      <c r="I399" s="6">
        <v>146680</v>
      </c>
      <c r="J399" s="6">
        <v>148960</v>
      </c>
      <c r="K399" s="6">
        <v>130210</v>
      </c>
      <c r="L399" s="6">
        <v>111460</v>
      </c>
      <c r="M399" s="191"/>
      <c r="N399" s="191"/>
      <c r="O399" s="191"/>
      <c r="P399" s="191"/>
      <c r="Q399" s="191"/>
      <c r="R399" s="191"/>
      <c r="S399" s="191"/>
      <c r="T399" s="191"/>
      <c r="U399" s="191"/>
    </row>
    <row r="400" spans="1:21" x14ac:dyDescent="0.3">
      <c r="A400" s="195">
        <v>5060000</v>
      </c>
      <c r="B400" s="6">
        <v>341080</v>
      </c>
      <c r="C400" s="10">
        <v>312290</v>
      </c>
      <c r="D400" s="11">
        <v>243010</v>
      </c>
      <c r="E400" s="6">
        <v>224260</v>
      </c>
      <c r="F400" s="6">
        <v>205510</v>
      </c>
      <c r="G400" s="6">
        <v>186760</v>
      </c>
      <c r="H400" s="6">
        <v>168010</v>
      </c>
      <c r="I400" s="6">
        <v>149260</v>
      </c>
      <c r="J400" s="6">
        <v>151540</v>
      </c>
      <c r="K400" s="6">
        <v>132790</v>
      </c>
      <c r="L400" s="6">
        <v>114040</v>
      </c>
      <c r="M400" s="191"/>
      <c r="N400" s="191"/>
      <c r="O400" s="191"/>
      <c r="P400" s="191"/>
      <c r="Q400" s="191"/>
      <c r="R400" s="191"/>
      <c r="S400" s="191"/>
      <c r="T400" s="191"/>
      <c r="U400" s="191"/>
    </row>
    <row r="401" spans="1:21" x14ac:dyDescent="0.3">
      <c r="A401" s="195">
        <v>5080000</v>
      </c>
      <c r="B401" s="6">
        <v>343880</v>
      </c>
      <c r="C401" s="10">
        <v>315080</v>
      </c>
      <c r="D401" s="11">
        <v>245590</v>
      </c>
      <c r="E401" s="6">
        <v>226840</v>
      </c>
      <c r="F401" s="6">
        <v>208090</v>
      </c>
      <c r="G401" s="6">
        <v>189340</v>
      </c>
      <c r="H401" s="6">
        <v>170590</v>
      </c>
      <c r="I401" s="6">
        <v>151840</v>
      </c>
      <c r="J401" s="6">
        <v>154120</v>
      </c>
      <c r="K401" s="6">
        <v>135370</v>
      </c>
      <c r="L401" s="6">
        <v>116620</v>
      </c>
      <c r="M401" s="191"/>
      <c r="N401" s="191"/>
      <c r="O401" s="191"/>
      <c r="P401" s="191"/>
      <c r="Q401" s="191"/>
      <c r="R401" s="191"/>
      <c r="S401" s="191"/>
      <c r="T401" s="191"/>
      <c r="U401" s="191"/>
    </row>
    <row r="402" spans="1:21" x14ac:dyDescent="0.3">
      <c r="A402" s="195">
        <v>5100000</v>
      </c>
      <c r="B402" s="6">
        <v>346690</v>
      </c>
      <c r="C402" s="10">
        <v>317870</v>
      </c>
      <c r="D402" s="11">
        <v>248170</v>
      </c>
      <c r="E402" s="6">
        <v>229420</v>
      </c>
      <c r="F402" s="6">
        <v>210670</v>
      </c>
      <c r="G402" s="6">
        <v>191920</v>
      </c>
      <c r="H402" s="6">
        <v>173170</v>
      </c>
      <c r="I402" s="6">
        <v>154420</v>
      </c>
      <c r="J402" s="6">
        <v>156700</v>
      </c>
      <c r="K402" s="6">
        <v>137950</v>
      </c>
      <c r="L402" s="6">
        <v>119200</v>
      </c>
      <c r="M402" s="191"/>
      <c r="N402" s="191"/>
      <c r="O402" s="191"/>
      <c r="P402" s="191"/>
      <c r="Q402" s="191"/>
      <c r="R402" s="191"/>
      <c r="S402" s="191"/>
      <c r="T402" s="191"/>
      <c r="U402" s="191"/>
    </row>
    <row r="403" spans="1:21" x14ac:dyDescent="0.3">
      <c r="A403" s="195">
        <v>5120000</v>
      </c>
      <c r="B403" s="6">
        <v>349490</v>
      </c>
      <c r="C403" s="10">
        <v>320660</v>
      </c>
      <c r="D403" s="11">
        <v>250750</v>
      </c>
      <c r="E403" s="6">
        <v>232000</v>
      </c>
      <c r="F403" s="6">
        <v>213250</v>
      </c>
      <c r="G403" s="6">
        <v>194500</v>
      </c>
      <c r="H403" s="6">
        <v>175750</v>
      </c>
      <c r="I403" s="6">
        <v>157000</v>
      </c>
      <c r="J403" s="6">
        <v>159280</v>
      </c>
      <c r="K403" s="6">
        <v>140530</v>
      </c>
      <c r="L403" s="6">
        <v>121780</v>
      </c>
      <c r="M403" s="191"/>
      <c r="N403" s="191"/>
      <c r="O403" s="191"/>
      <c r="P403" s="191"/>
      <c r="Q403" s="191"/>
      <c r="R403" s="191"/>
      <c r="S403" s="191"/>
      <c r="T403" s="191"/>
      <c r="U403" s="191"/>
    </row>
    <row r="404" spans="1:21" x14ac:dyDescent="0.3">
      <c r="A404" s="195">
        <v>5140000</v>
      </c>
      <c r="B404" s="6">
        <v>352300</v>
      </c>
      <c r="C404" s="10">
        <v>323450</v>
      </c>
      <c r="D404" s="11">
        <v>253330</v>
      </c>
      <c r="E404" s="6">
        <v>234580</v>
      </c>
      <c r="F404" s="6">
        <v>215830</v>
      </c>
      <c r="G404" s="6">
        <v>197080</v>
      </c>
      <c r="H404" s="6">
        <v>178330</v>
      </c>
      <c r="I404" s="6">
        <v>159580</v>
      </c>
      <c r="J404" s="6">
        <v>161860</v>
      </c>
      <c r="K404" s="6">
        <v>143110</v>
      </c>
      <c r="L404" s="6">
        <v>124360</v>
      </c>
      <c r="M404" s="191"/>
      <c r="N404" s="191"/>
      <c r="O404" s="191"/>
      <c r="P404" s="191"/>
      <c r="Q404" s="191"/>
      <c r="R404" s="191"/>
      <c r="S404" s="191"/>
      <c r="T404" s="191"/>
      <c r="U404" s="191"/>
    </row>
    <row r="405" spans="1:21" x14ac:dyDescent="0.3">
      <c r="A405" s="195">
        <v>5160000</v>
      </c>
      <c r="B405" s="6">
        <v>355100</v>
      </c>
      <c r="C405" s="10">
        <v>326240</v>
      </c>
      <c r="D405" s="11">
        <v>255910</v>
      </c>
      <c r="E405" s="6">
        <v>237160</v>
      </c>
      <c r="F405" s="6">
        <v>218410</v>
      </c>
      <c r="G405" s="6">
        <v>199660</v>
      </c>
      <c r="H405" s="6">
        <v>180910</v>
      </c>
      <c r="I405" s="6">
        <v>162160</v>
      </c>
      <c r="J405" s="6">
        <v>164440</v>
      </c>
      <c r="K405" s="6">
        <v>145690</v>
      </c>
      <c r="L405" s="6">
        <v>126940</v>
      </c>
      <c r="M405" s="191"/>
      <c r="N405" s="191"/>
      <c r="O405" s="191"/>
      <c r="P405" s="191"/>
      <c r="Q405" s="191"/>
      <c r="R405" s="191"/>
      <c r="S405" s="191"/>
      <c r="T405" s="191"/>
      <c r="U405" s="191"/>
    </row>
    <row r="406" spans="1:21" x14ac:dyDescent="0.3">
      <c r="A406" s="195">
        <v>5180000</v>
      </c>
      <c r="B406" s="6">
        <v>357910</v>
      </c>
      <c r="C406" s="10">
        <v>329030</v>
      </c>
      <c r="D406" s="11">
        <v>258490</v>
      </c>
      <c r="E406" s="6">
        <v>239740</v>
      </c>
      <c r="F406" s="6">
        <v>220990</v>
      </c>
      <c r="G406" s="6">
        <v>202240</v>
      </c>
      <c r="H406" s="6">
        <v>183490</v>
      </c>
      <c r="I406" s="6">
        <v>164740</v>
      </c>
      <c r="J406" s="6">
        <v>167020</v>
      </c>
      <c r="K406" s="6">
        <v>148270</v>
      </c>
      <c r="L406" s="6">
        <v>129520</v>
      </c>
      <c r="M406" s="191"/>
      <c r="N406" s="191"/>
      <c r="O406" s="191"/>
      <c r="P406" s="191"/>
      <c r="Q406" s="191"/>
      <c r="R406" s="191"/>
      <c r="S406" s="191"/>
      <c r="T406" s="191"/>
      <c r="U406" s="191"/>
    </row>
    <row r="407" spans="1:21" x14ac:dyDescent="0.3">
      <c r="A407" s="195">
        <v>5200000</v>
      </c>
      <c r="B407" s="6">
        <v>360710</v>
      </c>
      <c r="C407" s="10">
        <v>331820</v>
      </c>
      <c r="D407" s="11">
        <v>261070</v>
      </c>
      <c r="E407" s="6">
        <v>242320</v>
      </c>
      <c r="F407" s="6">
        <v>223570</v>
      </c>
      <c r="G407" s="6">
        <v>204820</v>
      </c>
      <c r="H407" s="6">
        <v>186070</v>
      </c>
      <c r="I407" s="6">
        <v>167320</v>
      </c>
      <c r="J407" s="6">
        <v>169600</v>
      </c>
      <c r="K407" s="6">
        <v>150850</v>
      </c>
      <c r="L407" s="6">
        <v>132100</v>
      </c>
      <c r="M407" s="191"/>
      <c r="N407" s="191"/>
      <c r="O407" s="191"/>
      <c r="P407" s="191"/>
      <c r="Q407" s="191"/>
      <c r="R407" s="191"/>
      <c r="S407" s="191"/>
      <c r="T407" s="191"/>
      <c r="U407" s="191"/>
    </row>
    <row r="408" spans="1:21" x14ac:dyDescent="0.3">
      <c r="A408" s="195">
        <v>5220000</v>
      </c>
      <c r="B408" s="6">
        <v>363520</v>
      </c>
      <c r="C408" s="10">
        <v>334610</v>
      </c>
      <c r="D408" s="11">
        <v>263650</v>
      </c>
      <c r="E408" s="6">
        <v>244900</v>
      </c>
      <c r="F408" s="6">
        <v>226150</v>
      </c>
      <c r="G408" s="6">
        <v>207400</v>
      </c>
      <c r="H408" s="6">
        <v>188650</v>
      </c>
      <c r="I408" s="6">
        <v>169900</v>
      </c>
      <c r="J408" s="6">
        <v>172180</v>
      </c>
      <c r="K408" s="6">
        <v>153430</v>
      </c>
      <c r="L408" s="6">
        <v>134680</v>
      </c>
      <c r="M408" s="191"/>
      <c r="N408" s="191"/>
      <c r="O408" s="191"/>
      <c r="P408" s="191"/>
      <c r="Q408" s="191"/>
      <c r="R408" s="191"/>
      <c r="S408" s="191"/>
      <c r="T408" s="191"/>
      <c r="U408" s="191"/>
    </row>
    <row r="409" spans="1:21" x14ac:dyDescent="0.3">
      <c r="A409" s="195">
        <v>5240000</v>
      </c>
      <c r="B409" s="6">
        <v>366320</v>
      </c>
      <c r="C409" s="10">
        <v>337400</v>
      </c>
      <c r="D409" s="11">
        <v>266230</v>
      </c>
      <c r="E409" s="6">
        <v>247480</v>
      </c>
      <c r="F409" s="6">
        <v>228730</v>
      </c>
      <c r="G409" s="6">
        <v>209980</v>
      </c>
      <c r="H409" s="6">
        <v>191230</v>
      </c>
      <c r="I409" s="6">
        <v>172480</v>
      </c>
      <c r="J409" s="6">
        <v>174760</v>
      </c>
      <c r="K409" s="6">
        <v>156010</v>
      </c>
      <c r="L409" s="6">
        <v>137260</v>
      </c>
      <c r="M409" s="191"/>
      <c r="N409" s="191"/>
      <c r="O409" s="191"/>
      <c r="P409" s="191"/>
      <c r="Q409" s="191"/>
      <c r="R409" s="191"/>
      <c r="S409" s="191"/>
      <c r="T409" s="191"/>
      <c r="U409" s="191"/>
    </row>
    <row r="410" spans="1:21" x14ac:dyDescent="0.3">
      <c r="A410" s="195">
        <v>5260000</v>
      </c>
      <c r="B410" s="6">
        <v>369130</v>
      </c>
      <c r="C410" s="10">
        <v>340190</v>
      </c>
      <c r="D410" s="11">
        <v>268810</v>
      </c>
      <c r="E410" s="6">
        <v>250060</v>
      </c>
      <c r="F410" s="6">
        <v>231310</v>
      </c>
      <c r="G410" s="6">
        <v>212560</v>
      </c>
      <c r="H410" s="6">
        <v>193810</v>
      </c>
      <c r="I410" s="6">
        <v>175060</v>
      </c>
      <c r="J410" s="6">
        <v>177340</v>
      </c>
      <c r="K410" s="6">
        <v>158590</v>
      </c>
      <c r="L410" s="6">
        <v>139840</v>
      </c>
      <c r="M410" s="191"/>
      <c r="N410" s="191"/>
      <c r="O410" s="191"/>
      <c r="P410" s="191"/>
      <c r="Q410" s="191"/>
      <c r="R410" s="191"/>
      <c r="S410" s="191"/>
      <c r="T410" s="191"/>
      <c r="U410" s="191"/>
    </row>
    <row r="411" spans="1:21" x14ac:dyDescent="0.3">
      <c r="A411" s="195">
        <v>5280000</v>
      </c>
      <c r="B411" s="6">
        <v>371930</v>
      </c>
      <c r="C411" s="10">
        <v>342980</v>
      </c>
      <c r="D411" s="11">
        <v>271390</v>
      </c>
      <c r="E411" s="6">
        <v>252640</v>
      </c>
      <c r="F411" s="6">
        <v>233890</v>
      </c>
      <c r="G411" s="6">
        <v>215140</v>
      </c>
      <c r="H411" s="6">
        <v>196390</v>
      </c>
      <c r="I411" s="6">
        <v>177640</v>
      </c>
      <c r="J411" s="6">
        <v>179920</v>
      </c>
      <c r="K411" s="6">
        <v>161170</v>
      </c>
      <c r="L411" s="6">
        <v>142420</v>
      </c>
      <c r="M411" s="191"/>
      <c r="N411" s="191"/>
      <c r="O411" s="191"/>
      <c r="P411" s="191"/>
      <c r="Q411" s="191"/>
      <c r="R411" s="191"/>
      <c r="S411" s="191"/>
      <c r="T411" s="191"/>
      <c r="U411" s="191"/>
    </row>
    <row r="412" spans="1:21" x14ac:dyDescent="0.3">
      <c r="A412" s="195">
        <v>5300000</v>
      </c>
      <c r="B412" s="6">
        <v>374740</v>
      </c>
      <c r="C412" s="10">
        <v>345770</v>
      </c>
      <c r="D412" s="11">
        <v>273970</v>
      </c>
      <c r="E412" s="6">
        <v>255220</v>
      </c>
      <c r="F412" s="6">
        <v>236470</v>
      </c>
      <c r="G412" s="6">
        <v>217720</v>
      </c>
      <c r="H412" s="6">
        <v>198970</v>
      </c>
      <c r="I412" s="6">
        <v>180220</v>
      </c>
      <c r="J412" s="6">
        <v>182500</v>
      </c>
      <c r="K412" s="6">
        <v>163750</v>
      </c>
      <c r="L412" s="6">
        <v>145000</v>
      </c>
      <c r="M412" s="191"/>
      <c r="N412" s="191"/>
      <c r="O412" s="191"/>
      <c r="P412" s="191"/>
      <c r="Q412" s="191"/>
      <c r="R412" s="191"/>
      <c r="S412" s="191"/>
      <c r="T412" s="191"/>
      <c r="U412" s="191"/>
    </row>
    <row r="413" spans="1:21" x14ac:dyDescent="0.3">
      <c r="A413" s="195">
        <v>5320000</v>
      </c>
      <c r="B413" s="6">
        <v>377540</v>
      </c>
      <c r="C413" s="10">
        <v>348560</v>
      </c>
      <c r="D413" s="11">
        <v>276550</v>
      </c>
      <c r="E413" s="6">
        <v>257800</v>
      </c>
      <c r="F413" s="6">
        <v>239050</v>
      </c>
      <c r="G413" s="6">
        <v>220300</v>
      </c>
      <c r="H413" s="6">
        <v>201550</v>
      </c>
      <c r="I413" s="6">
        <v>182800</v>
      </c>
      <c r="J413" s="6">
        <v>185080</v>
      </c>
      <c r="K413" s="6">
        <v>166330</v>
      </c>
      <c r="L413" s="6">
        <v>147580</v>
      </c>
      <c r="M413" s="191"/>
      <c r="N413" s="191"/>
      <c r="O413" s="191"/>
      <c r="P413" s="191"/>
      <c r="Q413" s="191"/>
      <c r="R413" s="191"/>
      <c r="S413" s="191"/>
      <c r="T413" s="191"/>
      <c r="U413" s="191"/>
    </row>
    <row r="414" spans="1:21" x14ac:dyDescent="0.3">
      <c r="A414" s="195">
        <v>5340000</v>
      </c>
      <c r="B414" s="6">
        <v>380350</v>
      </c>
      <c r="C414" s="10">
        <v>351350</v>
      </c>
      <c r="D414" s="11">
        <v>279130</v>
      </c>
      <c r="E414" s="6">
        <v>260380</v>
      </c>
      <c r="F414" s="6">
        <v>241630</v>
      </c>
      <c r="G414" s="6">
        <v>222880</v>
      </c>
      <c r="H414" s="6">
        <v>204130</v>
      </c>
      <c r="I414" s="6">
        <v>185380</v>
      </c>
      <c r="J414" s="6">
        <v>187660</v>
      </c>
      <c r="K414" s="6">
        <v>168910</v>
      </c>
      <c r="L414" s="6">
        <v>150160</v>
      </c>
      <c r="M414" s="191"/>
      <c r="N414" s="191"/>
      <c r="O414" s="191"/>
      <c r="P414" s="191"/>
      <c r="Q414" s="191"/>
      <c r="R414" s="191"/>
      <c r="S414" s="191"/>
      <c r="T414" s="191"/>
      <c r="U414" s="191"/>
    </row>
    <row r="415" spans="1:21" x14ac:dyDescent="0.3">
      <c r="A415" s="195">
        <v>5360000</v>
      </c>
      <c r="B415" s="6">
        <v>383150</v>
      </c>
      <c r="C415" s="10">
        <v>354140</v>
      </c>
      <c r="D415" s="11">
        <v>281710</v>
      </c>
      <c r="E415" s="6">
        <v>262960</v>
      </c>
      <c r="F415" s="6">
        <v>244210</v>
      </c>
      <c r="G415" s="6">
        <v>225460</v>
      </c>
      <c r="H415" s="6">
        <v>206710</v>
      </c>
      <c r="I415" s="6">
        <v>187960</v>
      </c>
      <c r="J415" s="6">
        <v>190240</v>
      </c>
      <c r="K415" s="6">
        <v>171490</v>
      </c>
      <c r="L415" s="6">
        <v>152740</v>
      </c>
      <c r="M415" s="191"/>
      <c r="N415" s="191"/>
      <c r="O415" s="191"/>
      <c r="P415" s="191"/>
      <c r="Q415" s="191"/>
      <c r="R415" s="191"/>
      <c r="S415" s="191"/>
      <c r="T415" s="191"/>
      <c r="U415" s="191"/>
    </row>
    <row r="416" spans="1:21" x14ac:dyDescent="0.3">
      <c r="A416" s="195">
        <v>5380000</v>
      </c>
      <c r="B416" s="6">
        <v>385960</v>
      </c>
      <c r="C416" s="10">
        <v>356930</v>
      </c>
      <c r="D416" s="11">
        <v>284290</v>
      </c>
      <c r="E416" s="6">
        <v>265540</v>
      </c>
      <c r="F416" s="6">
        <v>246790</v>
      </c>
      <c r="G416" s="6">
        <v>228040</v>
      </c>
      <c r="H416" s="6">
        <v>209290</v>
      </c>
      <c r="I416" s="6">
        <v>190540</v>
      </c>
      <c r="J416" s="6">
        <v>192820</v>
      </c>
      <c r="K416" s="6">
        <v>174070</v>
      </c>
      <c r="L416" s="6">
        <v>155320</v>
      </c>
      <c r="M416" s="191"/>
      <c r="N416" s="191"/>
      <c r="O416" s="191"/>
      <c r="P416" s="191"/>
      <c r="Q416" s="191"/>
      <c r="R416" s="191"/>
      <c r="S416" s="191"/>
      <c r="T416" s="191"/>
      <c r="U416" s="191"/>
    </row>
    <row r="417" spans="1:21" x14ac:dyDescent="0.3">
      <c r="A417" s="195">
        <v>5400000</v>
      </c>
      <c r="B417" s="6">
        <v>388760</v>
      </c>
      <c r="C417" s="10">
        <v>359720</v>
      </c>
      <c r="D417" s="11">
        <v>286870</v>
      </c>
      <c r="E417" s="6">
        <v>268120</v>
      </c>
      <c r="F417" s="6">
        <v>249370</v>
      </c>
      <c r="G417" s="6">
        <v>230620</v>
      </c>
      <c r="H417" s="6">
        <v>211870</v>
      </c>
      <c r="I417" s="6">
        <v>193120</v>
      </c>
      <c r="J417" s="6">
        <v>195400</v>
      </c>
      <c r="K417" s="6">
        <v>176650</v>
      </c>
      <c r="L417" s="6">
        <v>157900</v>
      </c>
      <c r="M417" s="191"/>
      <c r="N417" s="191"/>
      <c r="O417" s="191"/>
      <c r="P417" s="191"/>
      <c r="Q417" s="191"/>
      <c r="R417" s="191"/>
      <c r="S417" s="191"/>
      <c r="T417" s="191"/>
      <c r="U417" s="191"/>
    </row>
    <row r="418" spans="1:21" x14ac:dyDescent="0.3">
      <c r="A418" s="195">
        <v>5420000</v>
      </c>
      <c r="B418" s="6">
        <v>391570</v>
      </c>
      <c r="C418" s="10">
        <v>362510</v>
      </c>
      <c r="D418" s="11">
        <v>289450</v>
      </c>
      <c r="E418" s="6">
        <v>270700</v>
      </c>
      <c r="F418" s="6">
        <v>251950</v>
      </c>
      <c r="G418" s="6">
        <v>233200</v>
      </c>
      <c r="H418" s="6">
        <v>214450</v>
      </c>
      <c r="I418" s="6">
        <v>195700</v>
      </c>
      <c r="J418" s="6">
        <v>197980</v>
      </c>
      <c r="K418" s="6">
        <v>179230</v>
      </c>
      <c r="L418" s="6">
        <v>160480</v>
      </c>
      <c r="M418" s="191"/>
      <c r="N418" s="191"/>
      <c r="O418" s="191"/>
      <c r="P418" s="191"/>
      <c r="Q418" s="191"/>
      <c r="R418" s="191"/>
      <c r="S418" s="191"/>
      <c r="T418" s="191"/>
      <c r="U418" s="191"/>
    </row>
    <row r="419" spans="1:21" x14ac:dyDescent="0.3">
      <c r="A419" s="195">
        <v>5440000</v>
      </c>
      <c r="B419" s="6">
        <v>394370</v>
      </c>
      <c r="C419" s="10">
        <v>365300</v>
      </c>
      <c r="D419" s="11">
        <v>292030</v>
      </c>
      <c r="E419" s="6">
        <v>273280</v>
      </c>
      <c r="F419" s="6">
        <v>254530</v>
      </c>
      <c r="G419" s="6">
        <v>235780</v>
      </c>
      <c r="H419" s="6">
        <v>217030</v>
      </c>
      <c r="I419" s="6">
        <v>198280</v>
      </c>
      <c r="J419" s="6">
        <v>200560</v>
      </c>
      <c r="K419" s="6">
        <v>181810</v>
      </c>
      <c r="L419" s="6">
        <v>163060</v>
      </c>
      <c r="M419" s="191"/>
      <c r="N419" s="191"/>
      <c r="O419" s="191"/>
      <c r="P419" s="191"/>
      <c r="Q419" s="191"/>
      <c r="R419" s="191"/>
      <c r="S419" s="191"/>
      <c r="T419" s="191"/>
      <c r="U419" s="191"/>
    </row>
    <row r="420" spans="1:21" x14ac:dyDescent="0.3">
      <c r="A420" s="195">
        <v>5460000</v>
      </c>
      <c r="B420" s="6">
        <v>397180</v>
      </c>
      <c r="C420" s="10">
        <v>368090</v>
      </c>
      <c r="D420" s="11">
        <v>294610</v>
      </c>
      <c r="E420" s="6">
        <v>275860</v>
      </c>
      <c r="F420" s="6">
        <v>257110</v>
      </c>
      <c r="G420" s="6">
        <v>238360</v>
      </c>
      <c r="H420" s="6">
        <v>219610</v>
      </c>
      <c r="I420" s="6">
        <v>200860</v>
      </c>
      <c r="J420" s="6">
        <v>203140</v>
      </c>
      <c r="K420" s="6">
        <v>184390</v>
      </c>
      <c r="L420" s="6">
        <v>165640</v>
      </c>
      <c r="M420" s="191"/>
      <c r="N420" s="191"/>
      <c r="O420" s="191"/>
      <c r="P420" s="191"/>
      <c r="Q420" s="191"/>
      <c r="R420" s="191"/>
      <c r="S420" s="191"/>
      <c r="T420" s="191"/>
      <c r="U420" s="191"/>
    </row>
    <row r="421" spans="1:21" x14ac:dyDescent="0.3">
      <c r="A421" s="195">
        <v>5480000</v>
      </c>
      <c r="B421" s="6">
        <v>399980</v>
      </c>
      <c r="C421" s="10">
        <v>370880</v>
      </c>
      <c r="D421" s="11">
        <v>297190</v>
      </c>
      <c r="E421" s="6">
        <v>278440</v>
      </c>
      <c r="F421" s="6">
        <v>259690</v>
      </c>
      <c r="G421" s="6">
        <v>240940</v>
      </c>
      <c r="H421" s="6">
        <v>222190</v>
      </c>
      <c r="I421" s="6">
        <v>203440</v>
      </c>
      <c r="J421" s="6">
        <v>205720</v>
      </c>
      <c r="K421" s="6">
        <v>186970</v>
      </c>
      <c r="L421" s="6">
        <v>168220</v>
      </c>
      <c r="M421" s="191"/>
      <c r="N421" s="191"/>
      <c r="O421" s="191"/>
      <c r="P421" s="191"/>
      <c r="Q421" s="191"/>
      <c r="R421" s="191"/>
      <c r="S421" s="191"/>
      <c r="T421" s="191"/>
      <c r="U421" s="191"/>
    </row>
    <row r="422" spans="1:21" x14ac:dyDescent="0.3">
      <c r="A422" s="195">
        <v>5500000</v>
      </c>
      <c r="B422" s="6">
        <v>402790</v>
      </c>
      <c r="C422" s="10">
        <v>373670</v>
      </c>
      <c r="D422" s="11">
        <v>299770</v>
      </c>
      <c r="E422" s="6">
        <v>281020</v>
      </c>
      <c r="F422" s="6">
        <v>262270</v>
      </c>
      <c r="G422" s="6">
        <v>243520</v>
      </c>
      <c r="H422" s="6">
        <v>224770</v>
      </c>
      <c r="I422" s="6">
        <v>206020</v>
      </c>
      <c r="J422" s="6">
        <v>208300</v>
      </c>
      <c r="K422" s="6">
        <v>189550</v>
      </c>
      <c r="L422" s="6">
        <v>170800</v>
      </c>
      <c r="M422" s="191"/>
      <c r="N422" s="191"/>
      <c r="O422" s="191"/>
      <c r="P422" s="191"/>
      <c r="Q422" s="191"/>
      <c r="R422" s="191"/>
      <c r="S422" s="191"/>
      <c r="T422" s="191"/>
      <c r="U422" s="191"/>
    </row>
    <row r="423" spans="1:21" x14ac:dyDescent="0.3">
      <c r="A423" s="195">
        <v>5520000</v>
      </c>
      <c r="B423" s="6">
        <v>405590</v>
      </c>
      <c r="C423" s="10">
        <v>376460</v>
      </c>
      <c r="D423" s="11">
        <v>302350</v>
      </c>
      <c r="E423" s="6">
        <v>283600</v>
      </c>
      <c r="F423" s="6">
        <v>264850</v>
      </c>
      <c r="G423" s="6">
        <v>246100</v>
      </c>
      <c r="H423" s="6">
        <v>227350</v>
      </c>
      <c r="I423" s="6">
        <v>208600</v>
      </c>
      <c r="J423" s="6">
        <v>210880</v>
      </c>
      <c r="K423" s="6">
        <v>192130</v>
      </c>
      <c r="L423" s="6">
        <v>173380</v>
      </c>
      <c r="M423" s="191"/>
      <c r="N423" s="191"/>
      <c r="O423" s="191"/>
      <c r="P423" s="191"/>
      <c r="Q423" s="191"/>
      <c r="R423" s="191"/>
      <c r="S423" s="191"/>
      <c r="T423" s="191"/>
      <c r="U423" s="191"/>
    </row>
    <row r="424" spans="1:21" x14ac:dyDescent="0.3">
      <c r="A424" s="195">
        <v>5540000</v>
      </c>
      <c r="B424" s="6">
        <v>408400</v>
      </c>
      <c r="C424" s="10">
        <v>379250</v>
      </c>
      <c r="D424" s="11">
        <v>304930</v>
      </c>
      <c r="E424" s="6">
        <v>286180</v>
      </c>
      <c r="F424" s="6">
        <v>267430</v>
      </c>
      <c r="G424" s="6">
        <v>248680</v>
      </c>
      <c r="H424" s="6">
        <v>229930</v>
      </c>
      <c r="I424" s="6">
        <v>211180</v>
      </c>
      <c r="J424" s="6">
        <v>213460</v>
      </c>
      <c r="K424" s="6">
        <v>194710</v>
      </c>
      <c r="L424" s="6">
        <v>175960</v>
      </c>
      <c r="M424" s="191"/>
      <c r="N424" s="191"/>
      <c r="O424" s="191"/>
      <c r="P424" s="191"/>
      <c r="Q424" s="191"/>
      <c r="R424" s="191"/>
      <c r="S424" s="191"/>
      <c r="T424" s="191"/>
      <c r="U424" s="191"/>
    </row>
    <row r="425" spans="1:21" x14ac:dyDescent="0.3">
      <c r="A425" s="195">
        <v>5560000</v>
      </c>
      <c r="B425" s="6">
        <v>411200</v>
      </c>
      <c r="C425" s="10">
        <v>382040</v>
      </c>
      <c r="D425" s="11">
        <v>307510</v>
      </c>
      <c r="E425" s="6">
        <v>288760</v>
      </c>
      <c r="F425" s="6">
        <v>270010</v>
      </c>
      <c r="G425" s="6">
        <v>251260</v>
      </c>
      <c r="H425" s="6">
        <v>232510</v>
      </c>
      <c r="I425" s="6">
        <v>213760</v>
      </c>
      <c r="J425" s="6">
        <v>216040</v>
      </c>
      <c r="K425" s="6">
        <v>197290</v>
      </c>
      <c r="L425" s="6">
        <v>178540</v>
      </c>
      <c r="M425" s="191"/>
      <c r="N425" s="191"/>
      <c r="O425" s="191"/>
      <c r="P425" s="191"/>
      <c r="Q425" s="191"/>
      <c r="R425" s="191"/>
      <c r="S425" s="191"/>
      <c r="T425" s="191"/>
      <c r="U425" s="191"/>
    </row>
    <row r="426" spans="1:21" x14ac:dyDescent="0.3">
      <c r="A426" s="195">
        <v>5580000</v>
      </c>
      <c r="B426" s="6">
        <v>414010</v>
      </c>
      <c r="C426" s="10">
        <v>384830</v>
      </c>
      <c r="D426" s="11">
        <v>310090</v>
      </c>
      <c r="E426" s="6">
        <v>291340</v>
      </c>
      <c r="F426" s="6">
        <v>272590</v>
      </c>
      <c r="G426" s="6">
        <v>253840</v>
      </c>
      <c r="H426" s="6">
        <v>235090</v>
      </c>
      <c r="I426" s="6">
        <v>216340</v>
      </c>
      <c r="J426" s="6">
        <v>218620</v>
      </c>
      <c r="K426" s="6">
        <v>199870</v>
      </c>
      <c r="L426" s="6">
        <v>181120</v>
      </c>
      <c r="M426" s="191"/>
      <c r="N426" s="191"/>
      <c r="O426" s="191"/>
      <c r="P426" s="191"/>
      <c r="Q426" s="191"/>
      <c r="R426" s="191"/>
      <c r="S426" s="191"/>
      <c r="T426" s="191"/>
      <c r="U426" s="191"/>
    </row>
    <row r="427" spans="1:21" x14ac:dyDescent="0.3">
      <c r="A427" s="195">
        <v>5600000</v>
      </c>
      <c r="B427" s="6">
        <v>416810</v>
      </c>
      <c r="C427" s="10">
        <v>387620</v>
      </c>
      <c r="D427" s="11">
        <v>312670</v>
      </c>
      <c r="E427" s="6">
        <v>293920</v>
      </c>
      <c r="F427" s="6">
        <v>275170</v>
      </c>
      <c r="G427" s="6">
        <v>256420</v>
      </c>
      <c r="H427" s="6">
        <v>237670</v>
      </c>
      <c r="I427" s="6">
        <v>218920</v>
      </c>
      <c r="J427" s="6">
        <v>221200</v>
      </c>
      <c r="K427" s="6">
        <v>202450</v>
      </c>
      <c r="L427" s="6">
        <v>183700</v>
      </c>
      <c r="M427" s="191"/>
      <c r="N427" s="191"/>
      <c r="O427" s="191"/>
      <c r="P427" s="191"/>
      <c r="Q427" s="191"/>
      <c r="R427" s="191"/>
      <c r="S427" s="191"/>
      <c r="T427" s="191"/>
      <c r="U427" s="191"/>
    </row>
    <row r="428" spans="1:21" x14ac:dyDescent="0.3">
      <c r="A428" s="195">
        <v>5620000</v>
      </c>
      <c r="B428" s="6">
        <v>419620</v>
      </c>
      <c r="C428" s="10">
        <v>390410</v>
      </c>
      <c r="D428" s="11">
        <v>315250</v>
      </c>
      <c r="E428" s="6">
        <v>296500</v>
      </c>
      <c r="F428" s="6">
        <v>277750</v>
      </c>
      <c r="G428" s="6">
        <v>259000</v>
      </c>
      <c r="H428" s="6">
        <v>240250</v>
      </c>
      <c r="I428" s="6">
        <v>221500</v>
      </c>
      <c r="J428" s="6">
        <v>223780</v>
      </c>
      <c r="K428" s="6">
        <v>205030</v>
      </c>
      <c r="L428" s="6">
        <v>186280</v>
      </c>
      <c r="M428" s="191"/>
      <c r="N428" s="191"/>
      <c r="O428" s="191"/>
      <c r="P428" s="191"/>
      <c r="Q428" s="191"/>
      <c r="R428" s="191"/>
      <c r="S428" s="191"/>
      <c r="T428" s="191"/>
      <c r="U428" s="191"/>
    </row>
    <row r="429" spans="1:21" x14ac:dyDescent="0.3">
      <c r="A429" s="195">
        <v>5640000</v>
      </c>
      <c r="B429" s="6">
        <v>422420</v>
      </c>
      <c r="C429" s="10">
        <v>393200</v>
      </c>
      <c r="D429" s="11">
        <v>317830</v>
      </c>
      <c r="E429" s="6">
        <v>299080</v>
      </c>
      <c r="F429" s="6">
        <v>280330</v>
      </c>
      <c r="G429" s="6">
        <v>261580</v>
      </c>
      <c r="H429" s="6">
        <v>242830</v>
      </c>
      <c r="I429" s="6">
        <v>224080</v>
      </c>
      <c r="J429" s="6">
        <v>226360</v>
      </c>
      <c r="K429" s="6">
        <v>207610</v>
      </c>
      <c r="L429" s="6">
        <v>188860</v>
      </c>
      <c r="M429" s="191"/>
      <c r="N429" s="191"/>
      <c r="O429" s="191"/>
      <c r="P429" s="191"/>
      <c r="Q429" s="191"/>
      <c r="R429" s="191"/>
      <c r="S429" s="191"/>
      <c r="T429" s="191"/>
      <c r="U429" s="191"/>
    </row>
    <row r="430" spans="1:21" x14ac:dyDescent="0.3">
      <c r="A430" s="195">
        <v>5660000</v>
      </c>
      <c r="B430" s="6">
        <v>425230</v>
      </c>
      <c r="C430" s="10">
        <v>395990</v>
      </c>
      <c r="D430" s="11">
        <v>320410</v>
      </c>
      <c r="E430" s="6">
        <v>301660</v>
      </c>
      <c r="F430" s="6">
        <v>282910</v>
      </c>
      <c r="G430" s="6">
        <v>264160</v>
      </c>
      <c r="H430" s="6">
        <v>245410</v>
      </c>
      <c r="I430" s="6">
        <v>226660</v>
      </c>
      <c r="J430" s="6">
        <v>228940</v>
      </c>
      <c r="K430" s="6">
        <v>210190</v>
      </c>
      <c r="L430" s="6">
        <v>191440</v>
      </c>
      <c r="M430" s="191"/>
      <c r="N430" s="191"/>
      <c r="O430" s="191"/>
      <c r="P430" s="191"/>
      <c r="Q430" s="191"/>
      <c r="R430" s="191"/>
      <c r="S430" s="191"/>
      <c r="T430" s="191"/>
      <c r="U430" s="191"/>
    </row>
    <row r="431" spans="1:21" x14ac:dyDescent="0.3">
      <c r="A431" s="195">
        <v>5680000</v>
      </c>
      <c r="B431" s="6">
        <v>428030</v>
      </c>
      <c r="C431" s="10">
        <v>398780</v>
      </c>
      <c r="D431" s="11">
        <v>322990</v>
      </c>
      <c r="E431" s="6">
        <v>304240</v>
      </c>
      <c r="F431" s="6">
        <v>285490</v>
      </c>
      <c r="G431" s="6">
        <v>266740</v>
      </c>
      <c r="H431" s="6">
        <v>247990</v>
      </c>
      <c r="I431" s="6">
        <v>229240</v>
      </c>
      <c r="J431" s="6">
        <v>231520</v>
      </c>
      <c r="K431" s="6">
        <v>212770</v>
      </c>
      <c r="L431" s="6">
        <v>194020</v>
      </c>
      <c r="M431" s="191"/>
      <c r="N431" s="191"/>
      <c r="O431" s="191"/>
      <c r="P431" s="191"/>
      <c r="Q431" s="191"/>
      <c r="R431" s="191"/>
      <c r="S431" s="191"/>
      <c r="T431" s="191"/>
      <c r="U431" s="191"/>
    </row>
    <row r="432" spans="1:21" x14ac:dyDescent="0.3">
      <c r="A432" s="195">
        <v>5700000</v>
      </c>
      <c r="B432" s="6">
        <v>430840</v>
      </c>
      <c r="C432" s="10">
        <v>401570</v>
      </c>
      <c r="D432" s="11">
        <v>325570</v>
      </c>
      <c r="E432" s="6">
        <v>306820</v>
      </c>
      <c r="F432" s="6">
        <v>288070</v>
      </c>
      <c r="G432" s="6">
        <v>269320</v>
      </c>
      <c r="H432" s="6">
        <v>250570</v>
      </c>
      <c r="I432" s="6">
        <v>231820</v>
      </c>
      <c r="J432" s="6">
        <v>234100</v>
      </c>
      <c r="K432" s="6">
        <v>215350</v>
      </c>
      <c r="L432" s="6">
        <v>196600</v>
      </c>
      <c r="M432" s="191"/>
      <c r="N432" s="191"/>
      <c r="O432" s="191"/>
      <c r="P432" s="191"/>
      <c r="Q432" s="191"/>
      <c r="R432" s="191"/>
      <c r="S432" s="191"/>
      <c r="T432" s="191"/>
      <c r="U432" s="191"/>
    </row>
    <row r="433" spans="1:21" x14ac:dyDescent="0.3">
      <c r="A433" s="195">
        <v>5720000</v>
      </c>
      <c r="B433" s="6">
        <v>433640</v>
      </c>
      <c r="C433" s="10">
        <v>404360</v>
      </c>
      <c r="D433" s="11">
        <v>328150</v>
      </c>
      <c r="E433" s="6">
        <v>309400</v>
      </c>
      <c r="F433" s="6">
        <v>290650</v>
      </c>
      <c r="G433" s="6">
        <v>271900</v>
      </c>
      <c r="H433" s="6">
        <v>253150</v>
      </c>
      <c r="I433" s="6">
        <v>234400</v>
      </c>
      <c r="J433" s="6">
        <v>236680</v>
      </c>
      <c r="K433" s="6">
        <v>217930</v>
      </c>
      <c r="L433" s="6">
        <v>199180</v>
      </c>
      <c r="M433" s="191"/>
      <c r="N433" s="191"/>
      <c r="O433" s="191"/>
      <c r="P433" s="191"/>
      <c r="Q433" s="191"/>
      <c r="R433" s="191"/>
      <c r="S433" s="191"/>
      <c r="T433" s="191"/>
      <c r="U433" s="191"/>
    </row>
    <row r="434" spans="1:21" x14ac:dyDescent="0.3">
      <c r="A434" s="195">
        <v>5740000</v>
      </c>
      <c r="B434" s="6">
        <v>436450</v>
      </c>
      <c r="C434" s="10">
        <v>407150</v>
      </c>
      <c r="D434" s="11">
        <v>330730</v>
      </c>
      <c r="E434" s="6">
        <v>311980</v>
      </c>
      <c r="F434" s="6">
        <v>293230</v>
      </c>
      <c r="G434" s="6">
        <v>274480</v>
      </c>
      <c r="H434" s="6">
        <v>255730</v>
      </c>
      <c r="I434" s="6">
        <v>236980</v>
      </c>
      <c r="J434" s="6">
        <v>239260</v>
      </c>
      <c r="K434" s="6">
        <v>220510</v>
      </c>
      <c r="L434" s="6">
        <v>201760</v>
      </c>
      <c r="M434" s="191"/>
      <c r="N434" s="191"/>
      <c r="O434" s="191"/>
      <c r="P434" s="191"/>
      <c r="Q434" s="191"/>
      <c r="R434" s="191"/>
      <c r="S434" s="191"/>
      <c r="T434" s="191"/>
      <c r="U434" s="191"/>
    </row>
    <row r="435" spans="1:21" x14ac:dyDescent="0.3">
      <c r="A435" s="195">
        <v>5760000</v>
      </c>
      <c r="B435" s="6">
        <v>439250</v>
      </c>
      <c r="C435" s="10">
        <v>409940</v>
      </c>
      <c r="D435" s="11">
        <v>333310</v>
      </c>
      <c r="E435" s="6">
        <v>314560</v>
      </c>
      <c r="F435" s="6">
        <v>295810</v>
      </c>
      <c r="G435" s="6">
        <v>277060</v>
      </c>
      <c r="H435" s="6">
        <v>258310</v>
      </c>
      <c r="I435" s="6">
        <v>239560</v>
      </c>
      <c r="J435" s="6">
        <v>241840</v>
      </c>
      <c r="K435" s="6">
        <v>223090</v>
      </c>
      <c r="L435" s="6">
        <v>204340</v>
      </c>
      <c r="M435" s="191"/>
      <c r="N435" s="191"/>
      <c r="O435" s="191"/>
      <c r="P435" s="191"/>
      <c r="Q435" s="191"/>
      <c r="R435" s="191"/>
      <c r="S435" s="191"/>
      <c r="T435" s="191"/>
      <c r="U435" s="191"/>
    </row>
    <row r="436" spans="1:21" x14ac:dyDescent="0.3">
      <c r="A436" s="195">
        <v>5780000</v>
      </c>
      <c r="B436" s="6">
        <v>442060</v>
      </c>
      <c r="C436" s="10">
        <v>412730</v>
      </c>
      <c r="D436" s="11">
        <v>335890</v>
      </c>
      <c r="E436" s="6">
        <v>317140</v>
      </c>
      <c r="F436" s="6">
        <v>298390</v>
      </c>
      <c r="G436" s="6">
        <v>279640</v>
      </c>
      <c r="H436" s="6">
        <v>260890</v>
      </c>
      <c r="I436" s="6">
        <v>242140</v>
      </c>
      <c r="J436" s="6">
        <v>244420</v>
      </c>
      <c r="K436" s="6">
        <v>225670</v>
      </c>
      <c r="L436" s="6">
        <v>206920</v>
      </c>
      <c r="M436" s="191"/>
      <c r="N436" s="191"/>
      <c r="O436" s="191"/>
      <c r="P436" s="191"/>
      <c r="Q436" s="191"/>
      <c r="R436" s="191"/>
      <c r="S436" s="191"/>
      <c r="T436" s="191"/>
      <c r="U436" s="191"/>
    </row>
    <row r="437" spans="1:21" x14ac:dyDescent="0.3">
      <c r="A437" s="195">
        <v>5800000</v>
      </c>
      <c r="B437" s="6">
        <v>444860</v>
      </c>
      <c r="C437" s="10">
        <v>415520</v>
      </c>
      <c r="D437" s="11">
        <v>338470</v>
      </c>
      <c r="E437" s="6">
        <v>319720</v>
      </c>
      <c r="F437" s="6">
        <v>300970</v>
      </c>
      <c r="G437" s="6">
        <v>282220</v>
      </c>
      <c r="H437" s="6">
        <v>263470</v>
      </c>
      <c r="I437" s="6">
        <v>244720</v>
      </c>
      <c r="J437" s="6">
        <v>247000</v>
      </c>
      <c r="K437" s="6">
        <v>228250</v>
      </c>
      <c r="L437" s="6">
        <v>209500</v>
      </c>
      <c r="M437" s="191"/>
      <c r="N437" s="191"/>
      <c r="O437" s="191"/>
      <c r="P437" s="191"/>
      <c r="Q437" s="191"/>
      <c r="R437" s="191"/>
      <c r="S437" s="191"/>
      <c r="T437" s="191"/>
      <c r="U437" s="191"/>
    </row>
    <row r="438" spans="1:21" x14ac:dyDescent="0.3">
      <c r="A438" s="195">
        <v>5820000</v>
      </c>
      <c r="B438" s="6">
        <v>447670</v>
      </c>
      <c r="C438" s="10">
        <v>418310</v>
      </c>
      <c r="D438" s="11">
        <v>341050</v>
      </c>
      <c r="E438" s="6">
        <v>322300</v>
      </c>
      <c r="F438" s="6">
        <v>303550</v>
      </c>
      <c r="G438" s="6">
        <v>284800</v>
      </c>
      <c r="H438" s="6">
        <v>266050</v>
      </c>
      <c r="I438" s="6">
        <v>247300</v>
      </c>
      <c r="J438" s="6">
        <v>249580</v>
      </c>
      <c r="K438" s="6">
        <v>230830</v>
      </c>
      <c r="L438" s="6">
        <v>212080</v>
      </c>
      <c r="M438" s="191"/>
      <c r="N438" s="191"/>
      <c r="O438" s="191"/>
      <c r="P438" s="191"/>
      <c r="Q438" s="191"/>
      <c r="R438" s="191"/>
      <c r="S438" s="191"/>
      <c r="T438" s="191"/>
      <c r="U438" s="191"/>
    </row>
    <row r="439" spans="1:21" x14ac:dyDescent="0.3">
      <c r="A439" s="195">
        <v>5840000</v>
      </c>
      <c r="B439" s="6">
        <v>450470</v>
      </c>
      <c r="C439" s="10">
        <v>421100</v>
      </c>
      <c r="D439" s="11">
        <v>343630</v>
      </c>
      <c r="E439" s="6">
        <v>324880</v>
      </c>
      <c r="F439" s="6">
        <v>306130</v>
      </c>
      <c r="G439" s="6">
        <v>287380</v>
      </c>
      <c r="H439" s="6">
        <v>268630</v>
      </c>
      <c r="I439" s="6">
        <v>249880</v>
      </c>
      <c r="J439" s="6">
        <v>278040</v>
      </c>
      <c r="K439" s="6">
        <v>259290</v>
      </c>
      <c r="L439" s="6">
        <v>240540</v>
      </c>
      <c r="M439" s="191"/>
      <c r="N439" s="191"/>
      <c r="O439" s="191"/>
      <c r="P439" s="191"/>
      <c r="Q439" s="191"/>
      <c r="R439" s="191"/>
      <c r="S439" s="191"/>
      <c r="T439" s="191"/>
      <c r="U439" s="191"/>
    </row>
    <row r="440" spans="1:21" x14ac:dyDescent="0.3">
      <c r="A440" s="195">
        <v>5860000</v>
      </c>
      <c r="B440" s="6">
        <v>470380</v>
      </c>
      <c r="C440" s="10">
        <v>441000</v>
      </c>
      <c r="D440" s="11">
        <v>372100</v>
      </c>
      <c r="E440" s="6">
        <v>353350</v>
      </c>
      <c r="F440" s="6">
        <v>334600</v>
      </c>
      <c r="G440" s="6">
        <v>315850</v>
      </c>
      <c r="H440" s="6">
        <v>297100</v>
      </c>
      <c r="I440" s="6">
        <v>278350</v>
      </c>
      <c r="J440" s="6">
        <v>283180</v>
      </c>
      <c r="K440" s="6">
        <v>264430</v>
      </c>
      <c r="L440" s="6">
        <v>245680</v>
      </c>
      <c r="M440" s="191"/>
      <c r="N440" s="191"/>
      <c r="O440" s="191"/>
      <c r="P440" s="191"/>
      <c r="Q440" s="191"/>
      <c r="R440" s="191"/>
      <c r="S440" s="191"/>
      <c r="T440" s="191"/>
      <c r="U440" s="191"/>
    </row>
    <row r="441" spans="1:21" x14ac:dyDescent="0.3">
      <c r="A441" s="195">
        <v>5880000</v>
      </c>
      <c r="B441" s="6">
        <v>475720</v>
      </c>
      <c r="C441" s="10">
        <v>446320</v>
      </c>
      <c r="D441" s="11">
        <v>377240</v>
      </c>
      <c r="E441" s="6">
        <v>358490</v>
      </c>
      <c r="F441" s="6">
        <v>339740</v>
      </c>
      <c r="G441" s="6">
        <v>320990</v>
      </c>
      <c r="H441" s="6">
        <v>302240</v>
      </c>
      <c r="I441" s="6">
        <v>283490</v>
      </c>
      <c r="J441" s="6">
        <v>285820</v>
      </c>
      <c r="K441" s="6">
        <v>267070</v>
      </c>
      <c r="L441" s="6">
        <v>248320</v>
      </c>
      <c r="M441" s="191"/>
      <c r="N441" s="191"/>
      <c r="O441" s="191"/>
      <c r="P441" s="191"/>
      <c r="Q441" s="191"/>
      <c r="R441" s="191"/>
      <c r="S441" s="191"/>
      <c r="T441" s="191"/>
      <c r="U441" s="191"/>
    </row>
    <row r="442" spans="1:21" x14ac:dyDescent="0.3">
      <c r="A442" s="195">
        <v>5900000</v>
      </c>
      <c r="B442" s="6">
        <v>478690</v>
      </c>
      <c r="C442" s="10">
        <v>449140</v>
      </c>
      <c r="D442" s="11">
        <v>379880</v>
      </c>
      <c r="E442" s="6">
        <v>361130</v>
      </c>
      <c r="F442" s="6">
        <v>342380</v>
      </c>
      <c r="G442" s="6">
        <v>323630</v>
      </c>
      <c r="H442" s="6">
        <v>304880</v>
      </c>
      <c r="I442" s="6">
        <v>286130</v>
      </c>
      <c r="J442" s="6">
        <v>288460</v>
      </c>
      <c r="K442" s="6">
        <v>269710</v>
      </c>
      <c r="L442" s="6">
        <v>250960</v>
      </c>
      <c r="M442" s="191"/>
      <c r="N442" s="191"/>
      <c r="O442" s="191"/>
      <c r="P442" s="191"/>
      <c r="Q442" s="191"/>
      <c r="R442" s="191"/>
      <c r="S442" s="191"/>
      <c r="T442" s="191"/>
      <c r="U442" s="191"/>
    </row>
    <row r="443" spans="1:21" x14ac:dyDescent="0.3">
      <c r="A443" s="195">
        <v>5920000</v>
      </c>
      <c r="B443" s="6">
        <v>483220</v>
      </c>
      <c r="C443" s="10">
        <v>451960</v>
      </c>
      <c r="D443" s="11">
        <v>382520</v>
      </c>
      <c r="E443" s="6">
        <v>363770</v>
      </c>
      <c r="F443" s="6">
        <v>345020</v>
      </c>
      <c r="G443" s="6">
        <v>326270</v>
      </c>
      <c r="H443" s="6">
        <v>307520</v>
      </c>
      <c r="I443" s="6">
        <v>288770</v>
      </c>
      <c r="J443" s="6">
        <v>291100</v>
      </c>
      <c r="K443" s="6">
        <v>272350</v>
      </c>
      <c r="L443" s="6">
        <v>253600</v>
      </c>
      <c r="M443" s="191"/>
      <c r="N443" s="191"/>
      <c r="O443" s="191"/>
      <c r="P443" s="191"/>
      <c r="Q443" s="191"/>
      <c r="R443" s="191"/>
      <c r="S443" s="191"/>
      <c r="T443" s="191"/>
      <c r="U443" s="191"/>
    </row>
    <row r="444" spans="1:21" x14ac:dyDescent="0.3">
      <c r="A444" s="195">
        <v>5940000</v>
      </c>
      <c r="B444" s="6">
        <v>487760</v>
      </c>
      <c r="C444" s="10">
        <v>454780</v>
      </c>
      <c r="D444" s="11">
        <v>385160</v>
      </c>
      <c r="E444" s="6">
        <v>366410</v>
      </c>
      <c r="F444" s="6">
        <v>347660</v>
      </c>
      <c r="G444" s="6">
        <v>328910</v>
      </c>
      <c r="H444" s="6">
        <v>310160</v>
      </c>
      <c r="I444" s="6">
        <v>291410</v>
      </c>
      <c r="J444" s="6">
        <v>293740</v>
      </c>
      <c r="K444" s="6">
        <v>274990</v>
      </c>
      <c r="L444" s="6">
        <v>256240</v>
      </c>
      <c r="M444" s="191"/>
      <c r="N444" s="191"/>
      <c r="O444" s="191"/>
      <c r="P444" s="191"/>
      <c r="Q444" s="191"/>
      <c r="R444" s="191"/>
      <c r="S444" s="191"/>
      <c r="T444" s="191"/>
      <c r="U444" s="191"/>
    </row>
    <row r="445" spans="1:21" x14ac:dyDescent="0.3">
      <c r="A445" s="195">
        <v>5960000</v>
      </c>
      <c r="B445" s="6">
        <v>492300</v>
      </c>
      <c r="C445" s="10">
        <v>457600</v>
      </c>
      <c r="D445" s="11">
        <v>387800</v>
      </c>
      <c r="E445" s="6">
        <v>369050</v>
      </c>
      <c r="F445" s="6">
        <v>350300</v>
      </c>
      <c r="G445" s="6">
        <v>331550</v>
      </c>
      <c r="H445" s="6">
        <v>312800</v>
      </c>
      <c r="I445" s="6">
        <v>294050</v>
      </c>
      <c r="J445" s="6">
        <v>296380</v>
      </c>
      <c r="K445" s="6">
        <v>277630</v>
      </c>
      <c r="L445" s="6">
        <v>258880</v>
      </c>
      <c r="M445" s="191"/>
      <c r="N445" s="191"/>
      <c r="O445" s="191"/>
      <c r="P445" s="191"/>
      <c r="Q445" s="191"/>
      <c r="R445" s="191"/>
      <c r="S445" s="191"/>
      <c r="T445" s="191"/>
      <c r="U445" s="191"/>
    </row>
    <row r="446" spans="1:21" x14ac:dyDescent="0.3">
      <c r="A446" s="195">
        <v>5980000</v>
      </c>
      <c r="B446" s="6">
        <v>496830</v>
      </c>
      <c r="C446" s="10">
        <v>460420</v>
      </c>
      <c r="D446" s="11">
        <v>390440</v>
      </c>
      <c r="E446" s="6">
        <v>371690</v>
      </c>
      <c r="F446" s="6">
        <v>352940</v>
      </c>
      <c r="G446" s="6">
        <v>334190</v>
      </c>
      <c r="H446" s="6">
        <v>315440</v>
      </c>
      <c r="I446" s="6">
        <v>296690</v>
      </c>
      <c r="J446" s="6">
        <v>299020</v>
      </c>
      <c r="K446" s="6">
        <v>280270</v>
      </c>
      <c r="L446" s="6">
        <v>261520</v>
      </c>
      <c r="M446" s="191"/>
      <c r="N446" s="191"/>
      <c r="O446" s="191"/>
      <c r="P446" s="191"/>
      <c r="Q446" s="191"/>
      <c r="R446" s="191"/>
      <c r="S446" s="191"/>
      <c r="T446" s="191"/>
      <c r="U446" s="191"/>
    </row>
    <row r="447" spans="1:21" x14ac:dyDescent="0.3">
      <c r="A447" s="195">
        <v>6000000</v>
      </c>
      <c r="B447" s="6">
        <v>501370</v>
      </c>
      <c r="C447" s="10">
        <v>463240</v>
      </c>
      <c r="D447" s="11">
        <v>393080</v>
      </c>
      <c r="E447" s="6">
        <v>374330</v>
      </c>
      <c r="F447" s="6">
        <v>355580</v>
      </c>
      <c r="G447" s="6">
        <v>336830</v>
      </c>
      <c r="H447" s="6">
        <v>318080</v>
      </c>
      <c r="I447" s="6">
        <v>299330</v>
      </c>
      <c r="J447" s="6">
        <v>301660</v>
      </c>
      <c r="K447" s="6">
        <v>282910</v>
      </c>
      <c r="L447" s="6">
        <v>264160</v>
      </c>
      <c r="M447" s="191"/>
      <c r="N447" s="191"/>
      <c r="O447" s="191"/>
      <c r="P447" s="191"/>
      <c r="Q447" s="191"/>
      <c r="R447" s="191"/>
      <c r="S447" s="191"/>
      <c r="T447" s="191"/>
      <c r="U447" s="191"/>
    </row>
    <row r="448" spans="1:21" x14ac:dyDescent="0.3">
      <c r="A448" s="195">
        <v>6020000</v>
      </c>
      <c r="B448" s="6">
        <v>505900</v>
      </c>
      <c r="C448" s="10">
        <v>466060</v>
      </c>
      <c r="D448" s="11">
        <v>395720</v>
      </c>
      <c r="E448" s="6">
        <v>376970</v>
      </c>
      <c r="F448" s="6">
        <v>358220</v>
      </c>
      <c r="G448" s="6">
        <v>339470</v>
      </c>
      <c r="H448" s="6">
        <v>320720</v>
      </c>
      <c r="I448" s="6">
        <v>301970</v>
      </c>
      <c r="J448" s="6">
        <v>304300</v>
      </c>
      <c r="K448" s="6">
        <v>285550</v>
      </c>
      <c r="L448" s="6">
        <v>266800</v>
      </c>
      <c r="M448" s="191"/>
      <c r="N448" s="191"/>
      <c r="O448" s="191"/>
      <c r="P448" s="191"/>
      <c r="Q448" s="191"/>
      <c r="R448" s="191"/>
      <c r="S448" s="191"/>
      <c r="T448" s="191"/>
      <c r="U448" s="191"/>
    </row>
    <row r="449" spans="1:21" x14ac:dyDescent="0.3">
      <c r="A449" s="195">
        <v>6040000</v>
      </c>
      <c r="B449" s="6">
        <v>510440</v>
      </c>
      <c r="C449" s="10">
        <v>468880</v>
      </c>
      <c r="D449" s="11">
        <v>398360</v>
      </c>
      <c r="E449" s="6">
        <v>379610</v>
      </c>
      <c r="F449" s="6">
        <v>360860</v>
      </c>
      <c r="G449" s="6">
        <v>342110</v>
      </c>
      <c r="H449" s="6">
        <v>323360</v>
      </c>
      <c r="I449" s="6">
        <v>304610</v>
      </c>
      <c r="J449" s="6">
        <v>306940</v>
      </c>
      <c r="K449" s="6">
        <v>288190</v>
      </c>
      <c r="L449" s="6">
        <v>269440</v>
      </c>
      <c r="M449" s="191"/>
      <c r="N449" s="191"/>
      <c r="O449" s="191"/>
      <c r="P449" s="191"/>
      <c r="Q449" s="191"/>
      <c r="R449" s="191"/>
      <c r="S449" s="191"/>
      <c r="T449" s="191"/>
      <c r="U449" s="191"/>
    </row>
    <row r="450" spans="1:21" x14ac:dyDescent="0.3">
      <c r="A450" s="195">
        <v>6060000</v>
      </c>
      <c r="B450" s="6">
        <v>514980</v>
      </c>
      <c r="C450" s="10">
        <v>471700</v>
      </c>
      <c r="D450" s="11">
        <v>401000</v>
      </c>
      <c r="E450" s="6">
        <v>382250</v>
      </c>
      <c r="F450" s="6">
        <v>363500</v>
      </c>
      <c r="G450" s="6">
        <v>344750</v>
      </c>
      <c r="H450" s="6">
        <v>326000</v>
      </c>
      <c r="I450" s="6">
        <v>307250</v>
      </c>
      <c r="J450" s="6">
        <v>309580</v>
      </c>
      <c r="K450" s="6">
        <v>290830</v>
      </c>
      <c r="L450" s="6">
        <v>272080</v>
      </c>
      <c r="M450" s="191"/>
      <c r="N450" s="191"/>
      <c r="O450" s="191"/>
      <c r="P450" s="191"/>
      <c r="Q450" s="191"/>
      <c r="R450" s="191"/>
      <c r="S450" s="191"/>
      <c r="T450" s="191"/>
      <c r="U450" s="191"/>
    </row>
    <row r="451" spans="1:21" x14ac:dyDescent="0.3">
      <c r="A451" s="195">
        <v>6080000</v>
      </c>
      <c r="B451" s="6">
        <v>519510</v>
      </c>
      <c r="C451" s="10">
        <v>474520</v>
      </c>
      <c r="D451" s="11">
        <v>403640</v>
      </c>
      <c r="E451" s="6">
        <v>384890</v>
      </c>
      <c r="F451" s="6">
        <v>366140</v>
      </c>
      <c r="G451" s="6">
        <v>347390</v>
      </c>
      <c r="H451" s="6">
        <v>328640</v>
      </c>
      <c r="I451" s="6">
        <v>309890</v>
      </c>
      <c r="J451" s="6">
        <v>312220</v>
      </c>
      <c r="K451" s="6">
        <v>293470</v>
      </c>
      <c r="L451" s="6">
        <v>274720</v>
      </c>
      <c r="M451" s="191"/>
      <c r="N451" s="191"/>
      <c r="O451" s="191"/>
      <c r="P451" s="191"/>
      <c r="Q451" s="191"/>
      <c r="R451" s="191"/>
      <c r="S451" s="191"/>
      <c r="T451" s="191"/>
      <c r="U451" s="191"/>
    </row>
    <row r="452" spans="1:21" x14ac:dyDescent="0.3">
      <c r="A452" s="195">
        <v>6100000</v>
      </c>
      <c r="B452" s="6">
        <v>524050</v>
      </c>
      <c r="C452" s="10">
        <v>477340</v>
      </c>
      <c r="D452" s="11">
        <v>406280</v>
      </c>
      <c r="E452" s="6">
        <v>387530</v>
      </c>
      <c r="F452" s="6">
        <v>368780</v>
      </c>
      <c r="G452" s="6">
        <v>350030</v>
      </c>
      <c r="H452" s="6">
        <v>331280</v>
      </c>
      <c r="I452" s="6">
        <v>312530</v>
      </c>
      <c r="J452" s="6">
        <v>314860</v>
      </c>
      <c r="K452" s="6">
        <v>296110</v>
      </c>
      <c r="L452" s="6">
        <v>277360</v>
      </c>
      <c r="M452" s="191"/>
      <c r="N452" s="191"/>
      <c r="O452" s="191"/>
      <c r="P452" s="191"/>
      <c r="Q452" s="191"/>
      <c r="R452" s="191"/>
      <c r="S452" s="191"/>
      <c r="T452" s="191"/>
      <c r="U452" s="191"/>
    </row>
    <row r="453" spans="1:21" x14ac:dyDescent="0.3">
      <c r="A453" s="195">
        <v>6120000</v>
      </c>
      <c r="B453" s="6">
        <v>528580</v>
      </c>
      <c r="C453" s="10">
        <v>481250</v>
      </c>
      <c r="D453" s="11">
        <v>408920</v>
      </c>
      <c r="E453" s="6">
        <v>390170</v>
      </c>
      <c r="F453" s="6">
        <v>371420</v>
      </c>
      <c r="G453" s="6">
        <v>352670</v>
      </c>
      <c r="H453" s="6">
        <v>333920</v>
      </c>
      <c r="I453" s="6">
        <v>315170</v>
      </c>
      <c r="J453" s="6">
        <v>317500</v>
      </c>
      <c r="K453" s="6">
        <v>298750</v>
      </c>
      <c r="L453" s="6">
        <v>280000</v>
      </c>
      <c r="M453" s="191"/>
      <c r="N453" s="191"/>
      <c r="O453" s="191"/>
      <c r="P453" s="191"/>
      <c r="Q453" s="191"/>
      <c r="R453" s="191"/>
      <c r="S453" s="191"/>
      <c r="T453" s="191"/>
      <c r="U453" s="191"/>
    </row>
    <row r="454" spans="1:21" x14ac:dyDescent="0.3">
      <c r="A454" s="195">
        <v>6140000</v>
      </c>
      <c r="B454" s="6">
        <v>533120</v>
      </c>
      <c r="C454" s="10">
        <v>485760</v>
      </c>
      <c r="D454" s="11">
        <v>411560</v>
      </c>
      <c r="E454" s="6">
        <v>392810</v>
      </c>
      <c r="F454" s="6">
        <v>374060</v>
      </c>
      <c r="G454" s="6">
        <v>355310</v>
      </c>
      <c r="H454" s="6">
        <v>336560</v>
      </c>
      <c r="I454" s="6">
        <v>317810</v>
      </c>
      <c r="J454" s="6">
        <v>320140</v>
      </c>
      <c r="K454" s="6">
        <v>301390</v>
      </c>
      <c r="L454" s="6">
        <v>282640</v>
      </c>
      <c r="M454" s="191"/>
      <c r="N454" s="191"/>
      <c r="O454" s="191"/>
      <c r="P454" s="191"/>
      <c r="Q454" s="191"/>
      <c r="R454" s="191"/>
      <c r="S454" s="191"/>
      <c r="T454" s="191"/>
      <c r="U454" s="191"/>
    </row>
    <row r="455" spans="1:21" x14ac:dyDescent="0.3">
      <c r="A455" s="195">
        <v>6160000</v>
      </c>
      <c r="B455" s="6">
        <v>537660</v>
      </c>
      <c r="C455" s="10">
        <v>490280</v>
      </c>
      <c r="D455" s="11">
        <v>414200</v>
      </c>
      <c r="E455" s="6">
        <v>395450</v>
      </c>
      <c r="F455" s="6">
        <v>376700</v>
      </c>
      <c r="G455" s="6">
        <v>357950</v>
      </c>
      <c r="H455" s="6">
        <v>339200</v>
      </c>
      <c r="I455" s="6">
        <v>320450</v>
      </c>
      <c r="J455" s="6">
        <v>322780</v>
      </c>
      <c r="K455" s="6">
        <v>304030</v>
      </c>
      <c r="L455" s="6">
        <v>285280</v>
      </c>
      <c r="M455" s="191"/>
      <c r="N455" s="191"/>
      <c r="O455" s="191"/>
      <c r="P455" s="191"/>
      <c r="Q455" s="191"/>
      <c r="R455" s="191"/>
      <c r="S455" s="191"/>
      <c r="T455" s="191"/>
      <c r="U455" s="191"/>
    </row>
    <row r="456" spans="1:21" x14ac:dyDescent="0.3">
      <c r="A456" s="195">
        <v>6180000</v>
      </c>
      <c r="B456" s="6">
        <v>542190</v>
      </c>
      <c r="C456" s="10">
        <v>494790</v>
      </c>
      <c r="D456" s="11">
        <v>416840</v>
      </c>
      <c r="E456" s="6">
        <v>398090</v>
      </c>
      <c r="F456" s="6">
        <v>379340</v>
      </c>
      <c r="G456" s="6">
        <v>360590</v>
      </c>
      <c r="H456" s="6">
        <v>341840</v>
      </c>
      <c r="I456" s="6">
        <v>323090</v>
      </c>
      <c r="J456" s="6">
        <v>325420</v>
      </c>
      <c r="K456" s="6">
        <v>306670</v>
      </c>
      <c r="L456" s="6">
        <v>287920</v>
      </c>
      <c r="M456" s="191"/>
      <c r="N456" s="191"/>
      <c r="O456" s="191"/>
      <c r="P456" s="191"/>
      <c r="Q456" s="191"/>
      <c r="R456" s="191"/>
      <c r="S456" s="191"/>
      <c r="T456" s="191"/>
      <c r="U456" s="191"/>
    </row>
    <row r="457" spans="1:21" x14ac:dyDescent="0.3">
      <c r="A457" s="195">
        <v>6200000</v>
      </c>
      <c r="B457" s="6">
        <v>546730</v>
      </c>
      <c r="C457" s="10">
        <v>499300</v>
      </c>
      <c r="D457" s="11">
        <v>419480</v>
      </c>
      <c r="E457" s="6">
        <v>400730</v>
      </c>
      <c r="F457" s="6">
        <v>381980</v>
      </c>
      <c r="G457" s="6">
        <v>363230</v>
      </c>
      <c r="H457" s="6">
        <v>344480</v>
      </c>
      <c r="I457" s="6">
        <v>325730</v>
      </c>
      <c r="J457" s="6">
        <v>328060</v>
      </c>
      <c r="K457" s="6">
        <v>309310</v>
      </c>
      <c r="L457" s="6">
        <v>290560</v>
      </c>
      <c r="M457" s="191"/>
      <c r="N457" s="191"/>
      <c r="O457" s="191"/>
      <c r="P457" s="191"/>
      <c r="Q457" s="191"/>
      <c r="R457" s="191"/>
      <c r="S457" s="191"/>
      <c r="T457" s="191"/>
      <c r="U457" s="191"/>
    </row>
    <row r="458" spans="1:21" x14ac:dyDescent="0.3">
      <c r="A458" s="195">
        <v>6220000</v>
      </c>
      <c r="B458" s="6">
        <v>551260</v>
      </c>
      <c r="C458" s="10">
        <v>503810</v>
      </c>
      <c r="D458" s="11">
        <v>422120</v>
      </c>
      <c r="E458" s="6">
        <v>403370</v>
      </c>
      <c r="F458" s="6">
        <v>384620</v>
      </c>
      <c r="G458" s="6">
        <v>365870</v>
      </c>
      <c r="H458" s="6">
        <v>347120</v>
      </c>
      <c r="I458" s="6">
        <v>328370</v>
      </c>
      <c r="J458" s="6">
        <v>330700</v>
      </c>
      <c r="K458" s="6">
        <v>311950</v>
      </c>
      <c r="L458" s="6">
        <v>293200</v>
      </c>
      <c r="M458" s="191"/>
      <c r="N458" s="191"/>
      <c r="O458" s="191"/>
      <c r="P458" s="191"/>
      <c r="Q458" s="191"/>
      <c r="R458" s="191"/>
      <c r="S458" s="191"/>
      <c r="T458" s="191"/>
      <c r="U458" s="191"/>
    </row>
    <row r="459" spans="1:21" x14ac:dyDescent="0.3">
      <c r="A459" s="195">
        <v>6240000</v>
      </c>
      <c r="B459" s="6">
        <v>555800</v>
      </c>
      <c r="C459" s="10">
        <v>508320</v>
      </c>
      <c r="D459" s="11">
        <v>424760</v>
      </c>
      <c r="E459" s="6">
        <v>406010</v>
      </c>
      <c r="F459" s="6">
        <v>387260</v>
      </c>
      <c r="G459" s="6">
        <v>368510</v>
      </c>
      <c r="H459" s="6">
        <v>349760</v>
      </c>
      <c r="I459" s="6">
        <v>331010</v>
      </c>
      <c r="J459" s="6">
        <v>333340</v>
      </c>
      <c r="K459" s="6">
        <v>314590</v>
      </c>
      <c r="L459" s="6">
        <v>295840</v>
      </c>
      <c r="M459" s="191"/>
      <c r="N459" s="191"/>
      <c r="O459" s="191"/>
      <c r="P459" s="191"/>
      <c r="Q459" s="191"/>
      <c r="R459" s="191"/>
      <c r="S459" s="191"/>
      <c r="T459" s="191"/>
      <c r="U459" s="191"/>
    </row>
    <row r="460" spans="1:21" x14ac:dyDescent="0.3">
      <c r="A460" s="195">
        <v>6260000</v>
      </c>
      <c r="B460" s="6">
        <v>560340</v>
      </c>
      <c r="C460" s="10">
        <v>512840</v>
      </c>
      <c r="D460" s="11">
        <v>427400</v>
      </c>
      <c r="E460" s="6">
        <v>408650</v>
      </c>
      <c r="F460" s="6">
        <v>389900</v>
      </c>
      <c r="G460" s="6">
        <v>371150</v>
      </c>
      <c r="H460" s="6">
        <v>352400</v>
      </c>
      <c r="I460" s="6">
        <v>333650</v>
      </c>
      <c r="J460" s="6">
        <v>335980</v>
      </c>
      <c r="K460" s="6">
        <v>317230</v>
      </c>
      <c r="L460" s="6">
        <v>298480</v>
      </c>
      <c r="M460" s="191"/>
      <c r="N460" s="191"/>
      <c r="O460" s="191"/>
      <c r="P460" s="191"/>
      <c r="Q460" s="191"/>
      <c r="R460" s="191"/>
      <c r="S460" s="191"/>
      <c r="T460" s="191"/>
      <c r="U460" s="191"/>
    </row>
    <row r="461" spans="1:21" x14ac:dyDescent="0.3">
      <c r="A461" s="195">
        <v>6280000</v>
      </c>
      <c r="B461" s="6">
        <v>564870</v>
      </c>
      <c r="C461" s="10">
        <v>517350</v>
      </c>
      <c r="D461" s="11">
        <v>430040</v>
      </c>
      <c r="E461" s="6">
        <v>411290</v>
      </c>
      <c r="F461" s="6">
        <v>392540</v>
      </c>
      <c r="G461" s="6">
        <v>373790</v>
      </c>
      <c r="H461" s="6">
        <v>355040</v>
      </c>
      <c r="I461" s="6">
        <v>336290</v>
      </c>
      <c r="J461" s="6">
        <v>338620</v>
      </c>
      <c r="K461" s="6">
        <v>319870</v>
      </c>
      <c r="L461" s="6">
        <v>301120</v>
      </c>
      <c r="M461" s="191"/>
      <c r="N461" s="191"/>
      <c r="O461" s="191"/>
      <c r="P461" s="191"/>
      <c r="Q461" s="191"/>
      <c r="R461" s="191"/>
      <c r="S461" s="191"/>
      <c r="T461" s="191"/>
      <c r="U461" s="191"/>
    </row>
    <row r="462" spans="1:21" x14ac:dyDescent="0.3">
      <c r="A462" s="195">
        <v>6300000</v>
      </c>
      <c r="B462" s="6">
        <v>569410</v>
      </c>
      <c r="C462" s="10">
        <v>521860</v>
      </c>
      <c r="D462" s="11">
        <v>432680</v>
      </c>
      <c r="E462" s="6">
        <v>413930</v>
      </c>
      <c r="F462" s="6">
        <v>395180</v>
      </c>
      <c r="G462" s="6">
        <v>376430</v>
      </c>
      <c r="H462" s="6">
        <v>357680</v>
      </c>
      <c r="I462" s="6">
        <v>338930</v>
      </c>
      <c r="J462" s="6">
        <v>341260</v>
      </c>
      <c r="K462" s="6">
        <v>322510</v>
      </c>
      <c r="L462" s="6">
        <v>303760</v>
      </c>
      <c r="M462" s="191"/>
      <c r="N462" s="191"/>
      <c r="O462" s="191"/>
      <c r="P462" s="191"/>
      <c r="Q462" s="191"/>
      <c r="R462" s="191"/>
      <c r="S462" s="191"/>
      <c r="T462" s="191"/>
      <c r="U462" s="191"/>
    </row>
    <row r="463" spans="1:21" x14ac:dyDescent="0.3">
      <c r="A463" s="195">
        <v>6320000</v>
      </c>
      <c r="B463" s="6">
        <v>573940</v>
      </c>
      <c r="C463" s="10">
        <v>526370</v>
      </c>
      <c r="D463" s="11">
        <v>435320</v>
      </c>
      <c r="E463" s="6">
        <v>416570</v>
      </c>
      <c r="F463" s="6">
        <v>397820</v>
      </c>
      <c r="G463" s="6">
        <v>379070</v>
      </c>
      <c r="H463" s="6">
        <v>360320</v>
      </c>
      <c r="I463" s="6">
        <v>341570</v>
      </c>
      <c r="J463" s="6">
        <v>343900</v>
      </c>
      <c r="K463" s="6">
        <v>325150</v>
      </c>
      <c r="L463" s="6">
        <v>306400</v>
      </c>
      <c r="M463" s="191"/>
      <c r="N463" s="191"/>
      <c r="O463" s="191"/>
      <c r="P463" s="191"/>
      <c r="Q463" s="191"/>
      <c r="R463" s="191"/>
      <c r="S463" s="191"/>
      <c r="T463" s="191"/>
      <c r="U463" s="191"/>
    </row>
    <row r="464" spans="1:21" x14ac:dyDescent="0.3">
      <c r="A464" s="195">
        <v>6340000</v>
      </c>
      <c r="B464" s="6">
        <v>578480</v>
      </c>
      <c r="C464" s="10">
        <v>530880</v>
      </c>
      <c r="D464" s="11">
        <v>437960</v>
      </c>
      <c r="E464" s="6">
        <v>419210</v>
      </c>
      <c r="F464" s="6">
        <v>400460</v>
      </c>
      <c r="G464" s="6">
        <v>381710</v>
      </c>
      <c r="H464" s="6">
        <v>362960</v>
      </c>
      <c r="I464" s="6">
        <v>344210</v>
      </c>
      <c r="J464" s="6">
        <v>346540</v>
      </c>
      <c r="K464" s="6">
        <v>327790</v>
      </c>
      <c r="L464" s="6">
        <v>309040</v>
      </c>
      <c r="M464" s="191"/>
      <c r="N464" s="191"/>
      <c r="O464" s="191"/>
      <c r="P464" s="191"/>
      <c r="Q464" s="191"/>
      <c r="R464" s="191"/>
      <c r="S464" s="191"/>
      <c r="T464" s="191"/>
      <c r="U464" s="191"/>
    </row>
    <row r="465" spans="1:21" x14ac:dyDescent="0.3">
      <c r="A465" s="195">
        <v>6360000</v>
      </c>
      <c r="B465" s="6">
        <v>583020</v>
      </c>
      <c r="C465" s="10">
        <v>535400</v>
      </c>
      <c r="D465" s="11">
        <v>440600</v>
      </c>
      <c r="E465" s="6">
        <v>421850</v>
      </c>
      <c r="F465" s="6">
        <v>403100</v>
      </c>
      <c r="G465" s="6">
        <v>384350</v>
      </c>
      <c r="H465" s="6">
        <v>365600</v>
      </c>
      <c r="I465" s="6">
        <v>346850</v>
      </c>
      <c r="J465" s="6">
        <v>349180</v>
      </c>
      <c r="K465" s="6">
        <v>330430</v>
      </c>
      <c r="L465" s="6">
        <v>311680</v>
      </c>
      <c r="M465" s="191"/>
      <c r="N465" s="191"/>
      <c r="O465" s="191"/>
      <c r="P465" s="191"/>
      <c r="Q465" s="191"/>
      <c r="R465" s="191"/>
      <c r="S465" s="191"/>
      <c r="T465" s="191"/>
      <c r="U465" s="191"/>
    </row>
    <row r="466" spans="1:21" x14ac:dyDescent="0.3">
      <c r="A466" s="195">
        <v>6380000</v>
      </c>
      <c r="B466" s="6">
        <v>587550</v>
      </c>
      <c r="C466" s="10">
        <v>539910</v>
      </c>
      <c r="D466" s="11">
        <v>443240</v>
      </c>
      <c r="E466" s="6">
        <v>424490</v>
      </c>
      <c r="F466" s="6">
        <v>405740</v>
      </c>
      <c r="G466" s="6">
        <v>386990</v>
      </c>
      <c r="H466" s="6">
        <v>368240</v>
      </c>
      <c r="I466" s="6">
        <v>349490</v>
      </c>
      <c r="J466" s="6">
        <v>351820</v>
      </c>
      <c r="K466" s="6">
        <v>333070</v>
      </c>
      <c r="L466" s="6">
        <v>314320</v>
      </c>
      <c r="M466" s="191"/>
      <c r="N466" s="191"/>
      <c r="O466" s="191"/>
      <c r="P466" s="191"/>
      <c r="Q466" s="191"/>
      <c r="R466" s="191"/>
      <c r="S466" s="191"/>
      <c r="T466" s="191"/>
      <c r="U466" s="191"/>
    </row>
    <row r="467" spans="1:21" x14ac:dyDescent="0.3">
      <c r="A467" s="195">
        <v>6400000</v>
      </c>
      <c r="B467" s="6">
        <v>592090</v>
      </c>
      <c r="C467" s="10">
        <v>544420</v>
      </c>
      <c r="D467" s="11">
        <v>445880</v>
      </c>
      <c r="E467" s="6">
        <v>427130</v>
      </c>
      <c r="F467" s="6">
        <v>408380</v>
      </c>
      <c r="G467" s="6">
        <v>389630</v>
      </c>
      <c r="H467" s="6">
        <v>370880</v>
      </c>
      <c r="I467" s="6">
        <v>352130</v>
      </c>
      <c r="J467" s="6">
        <v>354460</v>
      </c>
      <c r="K467" s="6">
        <v>335710</v>
      </c>
      <c r="L467" s="6">
        <v>316960</v>
      </c>
      <c r="M467" s="191"/>
      <c r="N467" s="191"/>
      <c r="O467" s="191"/>
      <c r="P467" s="191"/>
      <c r="Q467" s="191"/>
      <c r="R467" s="191"/>
      <c r="S467" s="191"/>
      <c r="T467" s="191"/>
      <c r="U467" s="191"/>
    </row>
    <row r="468" spans="1:21" x14ac:dyDescent="0.3">
      <c r="A468" s="195">
        <v>6420000</v>
      </c>
      <c r="B468" s="6">
        <v>596620</v>
      </c>
      <c r="C468" s="10">
        <v>548930</v>
      </c>
      <c r="D468" s="11">
        <v>448520</v>
      </c>
      <c r="E468" s="6">
        <v>429770</v>
      </c>
      <c r="F468" s="6">
        <v>411020</v>
      </c>
      <c r="G468" s="6">
        <v>392270</v>
      </c>
      <c r="H468" s="6">
        <v>373520</v>
      </c>
      <c r="I468" s="6">
        <v>354770</v>
      </c>
      <c r="J468" s="6">
        <v>357100</v>
      </c>
      <c r="K468" s="6">
        <v>338350</v>
      </c>
      <c r="L468" s="6">
        <v>319600</v>
      </c>
      <c r="M468" s="191"/>
      <c r="N468" s="191"/>
      <c r="O468" s="191"/>
      <c r="P468" s="191"/>
      <c r="Q468" s="191"/>
      <c r="R468" s="191"/>
      <c r="S468" s="191"/>
      <c r="T468" s="191"/>
      <c r="U468" s="191"/>
    </row>
    <row r="469" spans="1:21" x14ac:dyDescent="0.3">
      <c r="A469" s="195">
        <v>6440000</v>
      </c>
      <c r="B469" s="6">
        <v>601160</v>
      </c>
      <c r="C469" s="10">
        <v>553440</v>
      </c>
      <c r="D469" s="11">
        <v>451160</v>
      </c>
      <c r="E469" s="6">
        <v>432410</v>
      </c>
      <c r="F469" s="6">
        <v>413660</v>
      </c>
      <c r="G469" s="6">
        <v>394910</v>
      </c>
      <c r="H469" s="6">
        <v>376160</v>
      </c>
      <c r="I469" s="6">
        <v>357410</v>
      </c>
      <c r="J469" s="6">
        <v>359740</v>
      </c>
      <c r="K469" s="6">
        <v>340990</v>
      </c>
      <c r="L469" s="6">
        <v>322240</v>
      </c>
      <c r="M469" s="191"/>
      <c r="N469" s="191"/>
      <c r="O469" s="191"/>
      <c r="P469" s="191"/>
      <c r="Q469" s="191"/>
      <c r="R469" s="191"/>
      <c r="S469" s="191"/>
      <c r="T469" s="191"/>
      <c r="U469" s="191"/>
    </row>
    <row r="470" spans="1:21" x14ac:dyDescent="0.3">
      <c r="A470" s="195">
        <v>6460000</v>
      </c>
      <c r="B470" s="6">
        <v>605700</v>
      </c>
      <c r="C470" s="10">
        <v>557960</v>
      </c>
      <c r="D470" s="11">
        <v>453800</v>
      </c>
      <c r="E470" s="6">
        <v>435050</v>
      </c>
      <c r="F470" s="6">
        <v>416300</v>
      </c>
      <c r="G470" s="6">
        <v>397550</v>
      </c>
      <c r="H470" s="6">
        <v>378800</v>
      </c>
      <c r="I470" s="6">
        <v>360050</v>
      </c>
      <c r="J470" s="6">
        <v>362380</v>
      </c>
      <c r="K470" s="6">
        <v>343630</v>
      </c>
      <c r="L470" s="6">
        <v>324880</v>
      </c>
      <c r="M470" s="191"/>
      <c r="N470" s="191"/>
      <c r="O470" s="191"/>
      <c r="P470" s="191"/>
      <c r="Q470" s="191"/>
      <c r="R470" s="191"/>
      <c r="S470" s="191"/>
      <c r="T470" s="191"/>
      <c r="U470" s="191"/>
    </row>
    <row r="471" spans="1:21" x14ac:dyDescent="0.3">
      <c r="A471" s="195">
        <v>6480000</v>
      </c>
      <c r="B471" s="6">
        <v>610230</v>
      </c>
      <c r="C471" s="10">
        <v>562470</v>
      </c>
      <c r="D471" s="11">
        <v>456440</v>
      </c>
      <c r="E471" s="6">
        <v>437690</v>
      </c>
      <c r="F471" s="6">
        <v>418940</v>
      </c>
      <c r="G471" s="6">
        <v>400190</v>
      </c>
      <c r="H471" s="6">
        <v>381440</v>
      </c>
      <c r="I471" s="6">
        <v>362690</v>
      </c>
      <c r="J471" s="6">
        <v>365020</v>
      </c>
      <c r="K471" s="6">
        <v>346270</v>
      </c>
      <c r="L471" s="6">
        <v>327520</v>
      </c>
      <c r="M471" s="191"/>
      <c r="N471" s="191"/>
      <c r="O471" s="191"/>
      <c r="P471" s="191"/>
      <c r="Q471" s="191"/>
      <c r="R471" s="191"/>
      <c r="S471" s="191"/>
      <c r="T471" s="191"/>
      <c r="U471" s="191"/>
    </row>
    <row r="472" spans="1:21" x14ac:dyDescent="0.3">
      <c r="A472" s="195">
        <v>6500000</v>
      </c>
      <c r="B472" s="6">
        <v>614770</v>
      </c>
      <c r="C472" s="10">
        <v>566980</v>
      </c>
      <c r="D472" s="11">
        <v>459080</v>
      </c>
      <c r="E472" s="6">
        <v>440330</v>
      </c>
      <c r="F472" s="6">
        <v>421580</v>
      </c>
      <c r="G472" s="6">
        <v>402830</v>
      </c>
      <c r="H472" s="6">
        <v>384080</v>
      </c>
      <c r="I472" s="6">
        <v>365330</v>
      </c>
      <c r="J472" s="6">
        <v>367660</v>
      </c>
      <c r="K472" s="6">
        <v>348910</v>
      </c>
      <c r="L472" s="6">
        <v>330160</v>
      </c>
      <c r="M472" s="191"/>
      <c r="N472" s="191"/>
      <c r="O472" s="191"/>
      <c r="P472" s="191"/>
      <c r="Q472" s="191"/>
      <c r="R472" s="191"/>
      <c r="S472" s="191"/>
      <c r="T472" s="191"/>
      <c r="U472" s="191"/>
    </row>
    <row r="473" spans="1:21" x14ac:dyDescent="0.3">
      <c r="A473" s="195">
        <v>6520000</v>
      </c>
      <c r="B473" s="6">
        <v>619300</v>
      </c>
      <c r="C473" s="10">
        <v>571490</v>
      </c>
      <c r="D473" s="11">
        <v>461720</v>
      </c>
      <c r="E473" s="6">
        <v>442970</v>
      </c>
      <c r="F473" s="6">
        <v>424220</v>
      </c>
      <c r="G473" s="6">
        <v>405470</v>
      </c>
      <c r="H473" s="6">
        <v>386720</v>
      </c>
      <c r="I473" s="6">
        <v>367970</v>
      </c>
      <c r="J473" s="6">
        <v>370300</v>
      </c>
      <c r="K473" s="6">
        <v>351550</v>
      </c>
      <c r="L473" s="6">
        <v>332800</v>
      </c>
      <c r="M473" s="191"/>
      <c r="N473" s="191"/>
      <c r="O473" s="191"/>
      <c r="P473" s="191"/>
      <c r="Q473" s="191"/>
      <c r="R473" s="191"/>
      <c r="S473" s="191"/>
      <c r="T473" s="191"/>
      <c r="U473" s="191"/>
    </row>
    <row r="474" spans="1:21" x14ac:dyDescent="0.3">
      <c r="A474" s="195">
        <v>6540000</v>
      </c>
      <c r="B474" s="6">
        <v>623840</v>
      </c>
      <c r="C474" s="10">
        <v>576000</v>
      </c>
      <c r="D474" s="11">
        <v>464360</v>
      </c>
      <c r="E474" s="6">
        <v>445610</v>
      </c>
      <c r="F474" s="6">
        <v>426860</v>
      </c>
      <c r="G474" s="6">
        <v>408110</v>
      </c>
      <c r="H474" s="6">
        <v>389360</v>
      </c>
      <c r="I474" s="6">
        <v>370610</v>
      </c>
      <c r="J474" s="6">
        <v>372940</v>
      </c>
      <c r="K474" s="6">
        <v>354190</v>
      </c>
      <c r="L474" s="6">
        <v>335440</v>
      </c>
      <c r="M474" s="191"/>
      <c r="N474" s="191"/>
      <c r="O474" s="191"/>
      <c r="P474" s="191"/>
      <c r="Q474" s="191"/>
      <c r="R474" s="191"/>
      <c r="S474" s="191"/>
      <c r="T474" s="191"/>
      <c r="U474" s="191"/>
    </row>
    <row r="475" spans="1:21" x14ac:dyDescent="0.3">
      <c r="A475" s="195">
        <v>6560000</v>
      </c>
      <c r="B475" s="6">
        <v>628380</v>
      </c>
      <c r="C475" s="10">
        <v>580520</v>
      </c>
      <c r="D475" s="11">
        <v>467000</v>
      </c>
      <c r="E475" s="6">
        <v>448250</v>
      </c>
      <c r="F475" s="6">
        <v>429500</v>
      </c>
      <c r="G475" s="6">
        <v>410750</v>
      </c>
      <c r="H475" s="6">
        <v>392000</v>
      </c>
      <c r="I475" s="6">
        <v>373250</v>
      </c>
      <c r="J475" s="6">
        <v>375580</v>
      </c>
      <c r="K475" s="6">
        <v>356830</v>
      </c>
      <c r="L475" s="6">
        <v>338080</v>
      </c>
      <c r="M475" s="191"/>
      <c r="N475" s="191"/>
      <c r="O475" s="191"/>
      <c r="P475" s="191"/>
      <c r="Q475" s="191"/>
      <c r="R475" s="191"/>
      <c r="S475" s="191"/>
      <c r="T475" s="191"/>
      <c r="U475" s="191"/>
    </row>
    <row r="476" spans="1:21" x14ac:dyDescent="0.3">
      <c r="A476" s="195">
        <v>6580000</v>
      </c>
      <c r="B476" s="6">
        <v>632910</v>
      </c>
      <c r="C476" s="10">
        <v>585030</v>
      </c>
      <c r="D476" s="11">
        <v>469640</v>
      </c>
      <c r="E476" s="6">
        <v>450890</v>
      </c>
      <c r="F476" s="6">
        <v>432140</v>
      </c>
      <c r="G476" s="6">
        <v>413390</v>
      </c>
      <c r="H476" s="6">
        <v>394640</v>
      </c>
      <c r="I476" s="6">
        <v>375890</v>
      </c>
      <c r="J476" s="6">
        <v>378220</v>
      </c>
      <c r="K476" s="6">
        <v>359470</v>
      </c>
      <c r="L476" s="6">
        <v>340720</v>
      </c>
      <c r="M476" s="191"/>
      <c r="N476" s="191"/>
      <c r="O476" s="191"/>
      <c r="P476" s="191"/>
      <c r="Q476" s="191"/>
      <c r="R476" s="191"/>
      <c r="S476" s="191"/>
      <c r="T476" s="191"/>
      <c r="U476" s="191"/>
    </row>
    <row r="477" spans="1:21" x14ac:dyDescent="0.3">
      <c r="A477" s="195">
        <v>6600000</v>
      </c>
      <c r="B477" s="6">
        <v>637450</v>
      </c>
      <c r="C477" s="10">
        <v>589540</v>
      </c>
      <c r="D477" s="11">
        <v>472280</v>
      </c>
      <c r="E477" s="6">
        <v>453530</v>
      </c>
      <c r="F477" s="6">
        <v>434780</v>
      </c>
      <c r="G477" s="6">
        <v>416030</v>
      </c>
      <c r="H477" s="6">
        <v>397280</v>
      </c>
      <c r="I477" s="6">
        <v>378530</v>
      </c>
      <c r="J477" s="6">
        <v>380860</v>
      </c>
      <c r="K477" s="6">
        <v>362110</v>
      </c>
      <c r="L477" s="6">
        <v>343360</v>
      </c>
      <c r="M477" s="191"/>
      <c r="N477" s="191"/>
      <c r="O477" s="191"/>
      <c r="P477" s="191"/>
      <c r="Q477" s="191"/>
      <c r="R477" s="191"/>
      <c r="S477" s="191"/>
      <c r="T477" s="191"/>
      <c r="U477" s="191"/>
    </row>
    <row r="478" spans="1:21" x14ac:dyDescent="0.3">
      <c r="A478" s="195">
        <v>6620000</v>
      </c>
      <c r="B478" s="6">
        <v>641980</v>
      </c>
      <c r="C478" s="10">
        <v>594050</v>
      </c>
      <c r="D478" s="11">
        <v>474920</v>
      </c>
      <c r="E478" s="6">
        <v>456170</v>
      </c>
      <c r="F478" s="6">
        <v>437420</v>
      </c>
      <c r="G478" s="6">
        <v>418670</v>
      </c>
      <c r="H478" s="6">
        <v>399920</v>
      </c>
      <c r="I478" s="6">
        <v>381170</v>
      </c>
      <c r="J478" s="6">
        <v>383500</v>
      </c>
      <c r="K478" s="6">
        <v>364750</v>
      </c>
      <c r="L478" s="6">
        <v>346000</v>
      </c>
      <c r="M478" s="191"/>
      <c r="N478" s="191"/>
      <c r="O478" s="191"/>
      <c r="P478" s="191"/>
      <c r="Q478" s="191"/>
      <c r="R478" s="191"/>
      <c r="S478" s="191"/>
      <c r="T478" s="191"/>
      <c r="U478" s="191"/>
    </row>
    <row r="479" spans="1:21" x14ac:dyDescent="0.3">
      <c r="A479" s="195">
        <v>6640000</v>
      </c>
      <c r="B479" s="6">
        <v>646520</v>
      </c>
      <c r="C479" s="10">
        <v>598560</v>
      </c>
      <c r="D479" s="11">
        <v>477560</v>
      </c>
      <c r="E479" s="6">
        <v>458810</v>
      </c>
      <c r="F479" s="6">
        <v>440060</v>
      </c>
      <c r="G479" s="6">
        <v>421310</v>
      </c>
      <c r="H479" s="6">
        <v>402560</v>
      </c>
      <c r="I479" s="6">
        <v>383810</v>
      </c>
      <c r="J479" s="6">
        <v>386140</v>
      </c>
      <c r="K479" s="6">
        <v>367390</v>
      </c>
      <c r="L479" s="6">
        <v>348640</v>
      </c>
      <c r="M479" s="191"/>
      <c r="N479" s="191"/>
      <c r="O479" s="191"/>
      <c r="P479" s="191"/>
      <c r="Q479" s="191"/>
      <c r="R479" s="191"/>
      <c r="S479" s="191"/>
      <c r="T479" s="191"/>
      <c r="U479" s="191"/>
    </row>
    <row r="480" spans="1:21" x14ac:dyDescent="0.3">
      <c r="A480" s="195">
        <v>6660000</v>
      </c>
      <c r="B480" s="6">
        <v>651060</v>
      </c>
      <c r="C480" s="10">
        <v>603080</v>
      </c>
      <c r="D480" s="11">
        <v>481320</v>
      </c>
      <c r="E480" s="6">
        <v>461450</v>
      </c>
      <c r="F480" s="6">
        <v>442700</v>
      </c>
      <c r="G480" s="6">
        <v>423950</v>
      </c>
      <c r="H480" s="6">
        <v>405200</v>
      </c>
      <c r="I480" s="6">
        <v>386450</v>
      </c>
      <c r="J480" s="6">
        <v>388780</v>
      </c>
      <c r="K480" s="6">
        <v>370030</v>
      </c>
      <c r="L480" s="6">
        <v>351280</v>
      </c>
      <c r="M480" s="191"/>
      <c r="N480" s="191"/>
      <c r="O480" s="191"/>
      <c r="P480" s="191"/>
      <c r="Q480" s="191"/>
      <c r="R480" s="191"/>
      <c r="S480" s="191"/>
      <c r="T480" s="191"/>
      <c r="U480" s="191"/>
    </row>
    <row r="481" spans="1:21" x14ac:dyDescent="0.3">
      <c r="A481" s="195">
        <v>6680000</v>
      </c>
      <c r="B481" s="6">
        <v>655590</v>
      </c>
      <c r="C481" s="10">
        <v>607590</v>
      </c>
      <c r="D481" s="11">
        <v>485540</v>
      </c>
      <c r="E481" s="6">
        <v>464090</v>
      </c>
      <c r="F481" s="6">
        <v>445340</v>
      </c>
      <c r="G481" s="6">
        <v>426590</v>
      </c>
      <c r="H481" s="6">
        <v>407840</v>
      </c>
      <c r="I481" s="6">
        <v>389090</v>
      </c>
      <c r="J481" s="6">
        <v>391420</v>
      </c>
      <c r="K481" s="6">
        <v>372670</v>
      </c>
      <c r="L481" s="6">
        <v>353920</v>
      </c>
      <c r="M481" s="191"/>
      <c r="N481" s="191"/>
      <c r="O481" s="191"/>
      <c r="P481" s="191"/>
      <c r="Q481" s="191"/>
      <c r="R481" s="191"/>
      <c r="S481" s="191"/>
      <c r="T481" s="191"/>
      <c r="U481" s="191"/>
    </row>
    <row r="482" spans="1:21" x14ac:dyDescent="0.3">
      <c r="A482" s="195">
        <v>6700000</v>
      </c>
      <c r="B482" s="6">
        <v>660130</v>
      </c>
      <c r="C482" s="10">
        <v>612100</v>
      </c>
      <c r="D482" s="11">
        <v>489760</v>
      </c>
      <c r="E482" s="6">
        <v>466730</v>
      </c>
      <c r="F482" s="6">
        <v>447980</v>
      </c>
      <c r="G482" s="6">
        <v>429230</v>
      </c>
      <c r="H482" s="6">
        <v>410480</v>
      </c>
      <c r="I482" s="6">
        <v>391730</v>
      </c>
      <c r="J482" s="6">
        <v>394060</v>
      </c>
      <c r="K482" s="6">
        <v>375310</v>
      </c>
      <c r="L482" s="6">
        <v>356560</v>
      </c>
      <c r="M482" s="191"/>
      <c r="N482" s="191"/>
      <c r="O482" s="191"/>
      <c r="P482" s="191"/>
      <c r="Q482" s="191"/>
      <c r="R482" s="191"/>
      <c r="S482" s="191"/>
      <c r="T482" s="191"/>
      <c r="U482" s="191"/>
    </row>
    <row r="483" spans="1:21" x14ac:dyDescent="0.3">
      <c r="A483" s="195">
        <v>6720000</v>
      </c>
      <c r="B483" s="6">
        <v>664660</v>
      </c>
      <c r="C483" s="10">
        <v>616610</v>
      </c>
      <c r="D483" s="11">
        <v>493990</v>
      </c>
      <c r="E483" s="6">
        <v>469370</v>
      </c>
      <c r="F483" s="6">
        <v>450620</v>
      </c>
      <c r="G483" s="6">
        <v>431870</v>
      </c>
      <c r="H483" s="6">
        <v>413120</v>
      </c>
      <c r="I483" s="6">
        <v>394370</v>
      </c>
      <c r="J483" s="6">
        <v>396700</v>
      </c>
      <c r="K483" s="6">
        <v>377950</v>
      </c>
      <c r="L483" s="6">
        <v>359200</v>
      </c>
      <c r="M483" s="191"/>
      <c r="N483" s="191"/>
      <c r="O483" s="191"/>
      <c r="P483" s="191"/>
      <c r="Q483" s="191"/>
      <c r="R483" s="191"/>
      <c r="S483" s="191"/>
      <c r="T483" s="191"/>
      <c r="U483" s="191"/>
    </row>
    <row r="484" spans="1:21" x14ac:dyDescent="0.3">
      <c r="A484" s="195">
        <v>6740000</v>
      </c>
      <c r="B484" s="6">
        <v>669200</v>
      </c>
      <c r="C484" s="10">
        <v>621120</v>
      </c>
      <c r="D484" s="11">
        <v>498210</v>
      </c>
      <c r="E484" s="6">
        <v>472010</v>
      </c>
      <c r="F484" s="6">
        <v>453260</v>
      </c>
      <c r="G484" s="6">
        <v>434510</v>
      </c>
      <c r="H484" s="6">
        <v>415760</v>
      </c>
      <c r="I484" s="6">
        <v>397010</v>
      </c>
      <c r="J484" s="6">
        <v>399340</v>
      </c>
      <c r="K484" s="6">
        <v>380590</v>
      </c>
      <c r="L484" s="6">
        <v>361840</v>
      </c>
      <c r="M484" s="191"/>
      <c r="N484" s="191"/>
      <c r="O484" s="191"/>
      <c r="P484" s="191"/>
      <c r="Q484" s="191"/>
      <c r="R484" s="191"/>
      <c r="S484" s="191"/>
      <c r="T484" s="191"/>
      <c r="U484" s="191"/>
    </row>
    <row r="485" spans="1:21" x14ac:dyDescent="0.3">
      <c r="A485" s="195">
        <v>6760000</v>
      </c>
      <c r="B485" s="6">
        <v>673740</v>
      </c>
      <c r="C485" s="10">
        <v>625640</v>
      </c>
      <c r="D485" s="11">
        <v>502440</v>
      </c>
      <c r="E485" s="6">
        <v>474650</v>
      </c>
      <c r="F485" s="6">
        <v>455900</v>
      </c>
      <c r="G485" s="6">
        <v>437150</v>
      </c>
      <c r="H485" s="6">
        <v>418400</v>
      </c>
      <c r="I485" s="6">
        <v>399650</v>
      </c>
      <c r="J485" s="6">
        <v>401980</v>
      </c>
      <c r="K485" s="6">
        <v>383230</v>
      </c>
      <c r="L485" s="6">
        <v>364480</v>
      </c>
      <c r="M485" s="191"/>
      <c r="N485" s="191"/>
      <c r="O485" s="191"/>
      <c r="P485" s="191"/>
      <c r="Q485" s="191"/>
      <c r="R485" s="191"/>
      <c r="S485" s="191"/>
      <c r="T485" s="191"/>
      <c r="U485" s="191"/>
    </row>
    <row r="486" spans="1:21" x14ac:dyDescent="0.3">
      <c r="A486" s="195">
        <v>6780000</v>
      </c>
      <c r="B486" s="6">
        <v>678270</v>
      </c>
      <c r="C486" s="10">
        <v>630150</v>
      </c>
      <c r="D486" s="11">
        <v>506660</v>
      </c>
      <c r="E486" s="6">
        <v>477290</v>
      </c>
      <c r="F486" s="6">
        <v>458540</v>
      </c>
      <c r="G486" s="6">
        <v>439790</v>
      </c>
      <c r="H486" s="6">
        <v>421040</v>
      </c>
      <c r="I486" s="6">
        <v>402290</v>
      </c>
      <c r="J486" s="6">
        <v>404620</v>
      </c>
      <c r="K486" s="6">
        <v>385870</v>
      </c>
      <c r="L486" s="6">
        <v>367120</v>
      </c>
      <c r="M486" s="191"/>
      <c r="N486" s="191"/>
      <c r="O486" s="191"/>
      <c r="P486" s="191"/>
      <c r="Q486" s="191"/>
      <c r="R486" s="191"/>
      <c r="S486" s="191"/>
      <c r="T486" s="191"/>
      <c r="U486" s="191"/>
    </row>
    <row r="487" spans="1:21" x14ac:dyDescent="0.3">
      <c r="A487" s="195">
        <v>6800000</v>
      </c>
      <c r="B487" s="6">
        <v>682810</v>
      </c>
      <c r="C487" s="10">
        <v>634660</v>
      </c>
      <c r="D487" s="11">
        <v>510880</v>
      </c>
      <c r="E487" s="6">
        <v>480880</v>
      </c>
      <c r="F487" s="6">
        <v>461180</v>
      </c>
      <c r="G487" s="6">
        <v>442430</v>
      </c>
      <c r="H487" s="6">
        <v>423680</v>
      </c>
      <c r="I487" s="6">
        <v>404930</v>
      </c>
      <c r="J487" s="6">
        <v>407260</v>
      </c>
      <c r="K487" s="6">
        <v>388510</v>
      </c>
      <c r="L487" s="6">
        <v>369760</v>
      </c>
      <c r="M487" s="191"/>
      <c r="N487" s="191"/>
      <c r="O487" s="191"/>
      <c r="P487" s="191"/>
      <c r="Q487" s="191"/>
      <c r="R487" s="191"/>
      <c r="S487" s="191"/>
      <c r="T487" s="191"/>
      <c r="U487" s="191"/>
    </row>
    <row r="488" spans="1:21" x14ac:dyDescent="0.3">
      <c r="A488" s="195">
        <v>6820000</v>
      </c>
      <c r="B488" s="6">
        <v>687340</v>
      </c>
      <c r="C488" s="10">
        <v>639170</v>
      </c>
      <c r="D488" s="11">
        <v>515110</v>
      </c>
      <c r="E488" s="6">
        <v>485110</v>
      </c>
      <c r="F488" s="6">
        <v>463820</v>
      </c>
      <c r="G488" s="6">
        <v>445070</v>
      </c>
      <c r="H488" s="6">
        <v>426320</v>
      </c>
      <c r="I488" s="6">
        <v>407570</v>
      </c>
      <c r="J488" s="6">
        <v>409900</v>
      </c>
      <c r="K488" s="6">
        <v>391150</v>
      </c>
      <c r="L488" s="6">
        <v>372400</v>
      </c>
      <c r="M488" s="191"/>
      <c r="N488" s="191"/>
      <c r="O488" s="191"/>
      <c r="P488" s="191"/>
      <c r="Q488" s="191"/>
      <c r="R488" s="191"/>
      <c r="S488" s="191"/>
      <c r="T488" s="191"/>
      <c r="U488" s="191"/>
    </row>
    <row r="489" spans="1:21" x14ac:dyDescent="0.3">
      <c r="A489" s="195">
        <v>6840000</v>
      </c>
      <c r="B489" s="6">
        <v>691880</v>
      </c>
      <c r="C489" s="10">
        <v>643680</v>
      </c>
      <c r="D489" s="11">
        <v>519330</v>
      </c>
      <c r="E489" s="6">
        <v>489330</v>
      </c>
      <c r="F489" s="6">
        <v>466460</v>
      </c>
      <c r="G489" s="6">
        <v>447710</v>
      </c>
      <c r="H489" s="6">
        <v>428960</v>
      </c>
      <c r="I489" s="6">
        <v>410210</v>
      </c>
      <c r="J489" s="6">
        <v>412540</v>
      </c>
      <c r="K489" s="6">
        <v>393790</v>
      </c>
      <c r="L489" s="6">
        <v>375040</v>
      </c>
      <c r="M489" s="191"/>
      <c r="N489" s="191"/>
      <c r="O489" s="191"/>
      <c r="P489" s="191"/>
      <c r="Q489" s="191"/>
      <c r="R489" s="191"/>
      <c r="S489" s="191"/>
      <c r="T489" s="191"/>
      <c r="U489" s="191"/>
    </row>
    <row r="490" spans="1:21" x14ac:dyDescent="0.3">
      <c r="A490" s="195">
        <v>6860000</v>
      </c>
      <c r="B490" s="6">
        <v>696420</v>
      </c>
      <c r="C490" s="10">
        <v>648200</v>
      </c>
      <c r="D490" s="11">
        <v>523560</v>
      </c>
      <c r="E490" s="6">
        <v>493560</v>
      </c>
      <c r="F490" s="6">
        <v>469100</v>
      </c>
      <c r="G490" s="6">
        <v>450350</v>
      </c>
      <c r="H490" s="6">
        <v>431600</v>
      </c>
      <c r="I490" s="6">
        <v>412850</v>
      </c>
      <c r="J490" s="6">
        <v>415180</v>
      </c>
      <c r="K490" s="6">
        <v>396430</v>
      </c>
      <c r="L490" s="6">
        <v>377680</v>
      </c>
      <c r="M490" s="191"/>
      <c r="N490" s="191"/>
      <c r="O490" s="191"/>
      <c r="P490" s="191"/>
      <c r="Q490" s="191"/>
      <c r="R490" s="191"/>
      <c r="S490" s="191"/>
      <c r="T490" s="191"/>
      <c r="U490" s="191"/>
    </row>
    <row r="491" spans="1:21" x14ac:dyDescent="0.3">
      <c r="A491" s="195">
        <v>6880000</v>
      </c>
      <c r="B491" s="6">
        <v>700950</v>
      </c>
      <c r="C491" s="10">
        <v>652710</v>
      </c>
      <c r="D491" s="11">
        <v>527780</v>
      </c>
      <c r="E491" s="6">
        <v>497780</v>
      </c>
      <c r="F491" s="6">
        <v>471740</v>
      </c>
      <c r="G491" s="6">
        <v>452990</v>
      </c>
      <c r="H491" s="6">
        <v>434240</v>
      </c>
      <c r="I491" s="6">
        <v>415490</v>
      </c>
      <c r="J491" s="6">
        <v>417820</v>
      </c>
      <c r="K491" s="6">
        <v>399070</v>
      </c>
      <c r="L491" s="6">
        <v>380320</v>
      </c>
      <c r="M491" s="191"/>
      <c r="N491" s="191"/>
      <c r="O491" s="191"/>
      <c r="P491" s="191"/>
      <c r="Q491" s="191"/>
      <c r="R491" s="191"/>
      <c r="S491" s="191"/>
      <c r="T491" s="191"/>
      <c r="U491" s="191"/>
    </row>
    <row r="492" spans="1:21" x14ac:dyDescent="0.3">
      <c r="A492" s="195">
        <v>6900000</v>
      </c>
      <c r="B492" s="6">
        <v>705490</v>
      </c>
      <c r="C492" s="10">
        <v>657220</v>
      </c>
      <c r="D492" s="11">
        <v>532000</v>
      </c>
      <c r="E492" s="6">
        <v>502000</v>
      </c>
      <c r="F492" s="6">
        <v>474380</v>
      </c>
      <c r="G492" s="6">
        <v>455630</v>
      </c>
      <c r="H492" s="6">
        <v>436880</v>
      </c>
      <c r="I492" s="6">
        <v>418130</v>
      </c>
      <c r="J492" s="6">
        <v>420460</v>
      </c>
      <c r="K492" s="6">
        <v>401710</v>
      </c>
      <c r="L492" s="6">
        <v>382960</v>
      </c>
      <c r="M492" s="191"/>
      <c r="N492" s="191"/>
      <c r="O492" s="191"/>
      <c r="P492" s="191"/>
      <c r="Q492" s="191"/>
      <c r="R492" s="191"/>
      <c r="S492" s="191"/>
      <c r="T492" s="191"/>
      <c r="U492" s="191"/>
    </row>
    <row r="493" spans="1:21" x14ac:dyDescent="0.3">
      <c r="A493" s="195">
        <v>6920000</v>
      </c>
      <c r="B493" s="6">
        <v>710020</v>
      </c>
      <c r="C493" s="10">
        <v>661730</v>
      </c>
      <c r="D493" s="11">
        <v>536230</v>
      </c>
      <c r="E493" s="6">
        <v>506230</v>
      </c>
      <c r="F493" s="6">
        <v>477020</v>
      </c>
      <c r="G493" s="6">
        <v>458270</v>
      </c>
      <c r="H493" s="6">
        <v>439520</v>
      </c>
      <c r="I493" s="6">
        <v>420770</v>
      </c>
      <c r="J493" s="6">
        <v>423100</v>
      </c>
      <c r="K493" s="6">
        <v>404350</v>
      </c>
      <c r="L493" s="6">
        <v>385600</v>
      </c>
      <c r="M493" s="191"/>
      <c r="N493" s="191"/>
      <c r="O493" s="191"/>
      <c r="P493" s="191"/>
      <c r="Q493" s="191"/>
      <c r="R493" s="191"/>
      <c r="S493" s="191"/>
      <c r="T493" s="191"/>
      <c r="U493" s="191"/>
    </row>
    <row r="494" spans="1:21" x14ac:dyDescent="0.3">
      <c r="A494" s="195">
        <v>6940000</v>
      </c>
      <c r="B494" s="6">
        <v>714560</v>
      </c>
      <c r="C494" s="10">
        <v>666240</v>
      </c>
      <c r="D494" s="11">
        <v>540450</v>
      </c>
      <c r="E494" s="6">
        <v>510450</v>
      </c>
      <c r="F494" s="6">
        <v>480450</v>
      </c>
      <c r="G494" s="6">
        <v>460910</v>
      </c>
      <c r="H494" s="6">
        <v>442160</v>
      </c>
      <c r="I494" s="6">
        <v>423410</v>
      </c>
      <c r="J494" s="6">
        <v>425740</v>
      </c>
      <c r="K494" s="6">
        <v>406990</v>
      </c>
      <c r="L494" s="6">
        <v>388240</v>
      </c>
      <c r="M494" s="191"/>
      <c r="N494" s="191"/>
      <c r="O494" s="191"/>
      <c r="P494" s="191"/>
      <c r="Q494" s="191"/>
      <c r="R494" s="191"/>
      <c r="S494" s="191"/>
      <c r="T494" s="191"/>
      <c r="U494" s="191"/>
    </row>
    <row r="495" spans="1:21" x14ac:dyDescent="0.3">
      <c r="A495" s="195">
        <v>6960000</v>
      </c>
      <c r="B495" s="6">
        <v>719100</v>
      </c>
      <c r="C495" s="10">
        <v>670760</v>
      </c>
      <c r="D495" s="11">
        <v>544680</v>
      </c>
      <c r="E495" s="6">
        <v>514680</v>
      </c>
      <c r="F495" s="6">
        <v>484680</v>
      </c>
      <c r="G495" s="6">
        <v>463550</v>
      </c>
      <c r="H495" s="6">
        <v>444800</v>
      </c>
      <c r="I495" s="6">
        <v>426050</v>
      </c>
      <c r="J495" s="6">
        <v>428380</v>
      </c>
      <c r="K495" s="6">
        <v>409630</v>
      </c>
      <c r="L495" s="6">
        <v>390880</v>
      </c>
      <c r="M495" s="191"/>
      <c r="N495" s="191"/>
      <c r="O495" s="191"/>
      <c r="P495" s="191"/>
      <c r="Q495" s="191"/>
      <c r="R495" s="191"/>
      <c r="S495" s="191"/>
      <c r="T495" s="191"/>
      <c r="U495" s="191"/>
    </row>
    <row r="496" spans="1:21" x14ac:dyDescent="0.3">
      <c r="A496" s="195">
        <v>6980000</v>
      </c>
      <c r="B496" s="6">
        <v>723630</v>
      </c>
      <c r="C496" s="10">
        <v>675270</v>
      </c>
      <c r="D496" s="11">
        <v>548900</v>
      </c>
      <c r="E496" s="6">
        <v>518900</v>
      </c>
      <c r="F496" s="6">
        <v>488900</v>
      </c>
      <c r="G496" s="6">
        <v>466190</v>
      </c>
      <c r="H496" s="6">
        <v>447440</v>
      </c>
      <c r="I496" s="6">
        <v>428690</v>
      </c>
      <c r="J496" s="6">
        <v>431020</v>
      </c>
      <c r="K496" s="6">
        <v>412270</v>
      </c>
      <c r="L496" s="6">
        <v>393520</v>
      </c>
      <c r="M496" s="191"/>
      <c r="N496" s="191"/>
      <c r="O496" s="191"/>
      <c r="P496" s="191"/>
      <c r="Q496" s="191"/>
      <c r="R496" s="191"/>
      <c r="S496" s="191"/>
      <c r="T496" s="191"/>
      <c r="U496" s="191"/>
    </row>
    <row r="497" spans="1:21" x14ac:dyDescent="0.3">
      <c r="A497" s="195">
        <v>7000000</v>
      </c>
      <c r="B497" s="6">
        <v>728170</v>
      </c>
      <c r="C497" s="10">
        <v>679780</v>
      </c>
      <c r="D497" s="11">
        <v>553120</v>
      </c>
      <c r="E497" s="6">
        <v>523120</v>
      </c>
      <c r="F497" s="6">
        <v>493120</v>
      </c>
      <c r="G497" s="6">
        <v>468830</v>
      </c>
      <c r="H497" s="6">
        <v>450080</v>
      </c>
      <c r="I497" s="6">
        <v>431330</v>
      </c>
      <c r="J497" s="6">
        <v>433660</v>
      </c>
      <c r="K497" s="6">
        <v>414910</v>
      </c>
      <c r="L497" s="6">
        <v>396160</v>
      </c>
      <c r="M497" s="191"/>
      <c r="N497" s="191"/>
      <c r="O497" s="191"/>
      <c r="P497" s="191"/>
      <c r="Q497" s="191"/>
      <c r="R497" s="191"/>
      <c r="S497" s="191"/>
      <c r="T497" s="191"/>
      <c r="U497" s="191"/>
    </row>
    <row r="498" spans="1:21" x14ac:dyDescent="0.3">
      <c r="A498" s="195">
        <v>7020000</v>
      </c>
      <c r="B498" s="6">
        <v>732700</v>
      </c>
      <c r="C498" s="10">
        <v>684290</v>
      </c>
      <c r="D498" s="11">
        <v>557350</v>
      </c>
      <c r="E498" s="6">
        <v>527350</v>
      </c>
      <c r="F498" s="6">
        <v>497350</v>
      </c>
      <c r="G498" s="6">
        <v>471470</v>
      </c>
      <c r="H498" s="6">
        <v>452720</v>
      </c>
      <c r="I498" s="6">
        <v>433970</v>
      </c>
      <c r="J498" s="6">
        <v>436300</v>
      </c>
      <c r="K498" s="6">
        <v>417550</v>
      </c>
      <c r="L498" s="6">
        <v>398800</v>
      </c>
      <c r="M498" s="191"/>
      <c r="N498" s="191"/>
      <c r="O498" s="191"/>
      <c r="P498" s="191"/>
      <c r="Q498" s="191"/>
      <c r="R498" s="191"/>
      <c r="S498" s="191"/>
      <c r="T498" s="191"/>
      <c r="U498" s="191"/>
    </row>
    <row r="499" spans="1:21" x14ac:dyDescent="0.3">
      <c r="A499" s="195">
        <v>7040000</v>
      </c>
      <c r="B499" s="6">
        <v>737240</v>
      </c>
      <c r="C499" s="10">
        <v>688800</v>
      </c>
      <c r="D499" s="11">
        <v>561570</v>
      </c>
      <c r="E499" s="6">
        <v>531570</v>
      </c>
      <c r="F499" s="6">
        <v>501570</v>
      </c>
      <c r="G499" s="6">
        <v>474110</v>
      </c>
      <c r="H499" s="6">
        <v>455360</v>
      </c>
      <c r="I499" s="6">
        <v>436610</v>
      </c>
      <c r="J499" s="6">
        <v>438940</v>
      </c>
      <c r="K499" s="6">
        <v>420190</v>
      </c>
      <c r="L499" s="6">
        <v>401440</v>
      </c>
      <c r="M499" s="191"/>
      <c r="N499" s="191"/>
      <c r="O499" s="191"/>
      <c r="P499" s="191"/>
      <c r="Q499" s="191"/>
      <c r="R499" s="191"/>
      <c r="S499" s="191"/>
      <c r="T499" s="191"/>
      <c r="U499" s="191"/>
    </row>
    <row r="500" spans="1:21" x14ac:dyDescent="0.3">
      <c r="A500" s="195">
        <v>7060000</v>
      </c>
      <c r="B500" s="6">
        <v>741780</v>
      </c>
      <c r="C500" s="10">
        <v>693320</v>
      </c>
      <c r="D500" s="11">
        <v>565800</v>
      </c>
      <c r="E500" s="6">
        <v>535800</v>
      </c>
      <c r="F500" s="6">
        <v>505800</v>
      </c>
      <c r="G500" s="6">
        <v>476750</v>
      </c>
      <c r="H500" s="6">
        <v>458000</v>
      </c>
      <c r="I500" s="6">
        <v>439250</v>
      </c>
      <c r="J500" s="6">
        <v>441580</v>
      </c>
      <c r="K500" s="6">
        <v>422830</v>
      </c>
      <c r="L500" s="6">
        <v>404080</v>
      </c>
      <c r="M500" s="191"/>
      <c r="N500" s="191"/>
      <c r="O500" s="191"/>
      <c r="P500" s="191"/>
      <c r="Q500" s="191"/>
      <c r="R500" s="191"/>
      <c r="S500" s="191"/>
      <c r="T500" s="191"/>
      <c r="U500" s="191"/>
    </row>
    <row r="501" spans="1:21" x14ac:dyDescent="0.3">
      <c r="A501" s="195">
        <v>7080000</v>
      </c>
      <c r="B501" s="6">
        <v>746310</v>
      </c>
      <c r="C501" s="10">
        <v>697830</v>
      </c>
      <c r="D501" s="11">
        <v>570020</v>
      </c>
      <c r="E501" s="6">
        <v>540020</v>
      </c>
      <c r="F501" s="6">
        <v>510020</v>
      </c>
      <c r="G501" s="6">
        <v>480020</v>
      </c>
      <c r="H501" s="6">
        <v>460640</v>
      </c>
      <c r="I501" s="6">
        <v>441890</v>
      </c>
      <c r="J501" s="6">
        <v>444750</v>
      </c>
      <c r="K501" s="6">
        <v>425470</v>
      </c>
      <c r="L501" s="6">
        <v>406720</v>
      </c>
      <c r="M501" s="191"/>
      <c r="N501" s="191"/>
      <c r="O501" s="191"/>
      <c r="P501" s="191"/>
      <c r="Q501" s="191"/>
      <c r="R501" s="191"/>
      <c r="S501" s="191"/>
      <c r="T501" s="191"/>
      <c r="U501" s="191"/>
    </row>
    <row r="502" spans="1:21" x14ac:dyDescent="0.3">
      <c r="A502" s="195">
        <v>7100000</v>
      </c>
      <c r="B502" s="6">
        <v>750850</v>
      </c>
      <c r="C502" s="10">
        <v>702340</v>
      </c>
      <c r="D502" s="11">
        <v>574240</v>
      </c>
      <c r="E502" s="6">
        <v>544240</v>
      </c>
      <c r="F502" s="6">
        <v>514240</v>
      </c>
      <c r="G502" s="6">
        <v>484240</v>
      </c>
      <c r="H502" s="6">
        <v>463280</v>
      </c>
      <c r="I502" s="6">
        <v>444530</v>
      </c>
      <c r="J502" s="6">
        <v>448980</v>
      </c>
      <c r="K502" s="6">
        <v>428110</v>
      </c>
      <c r="L502" s="6">
        <v>409360</v>
      </c>
      <c r="M502" s="191"/>
      <c r="N502" s="191"/>
      <c r="O502" s="191"/>
      <c r="P502" s="191"/>
      <c r="Q502" s="191"/>
      <c r="R502" s="191"/>
      <c r="S502" s="191"/>
      <c r="T502" s="191"/>
      <c r="U502" s="191"/>
    </row>
    <row r="503" spans="1:21" x14ac:dyDescent="0.3">
      <c r="A503" s="195">
        <v>712000</v>
      </c>
      <c r="B503" s="6">
        <v>755380</v>
      </c>
      <c r="C503" s="10">
        <v>706850</v>
      </c>
      <c r="D503" s="11">
        <v>578470</v>
      </c>
      <c r="E503" s="6">
        <v>548470</v>
      </c>
      <c r="F503" s="6">
        <v>518470</v>
      </c>
      <c r="G503" s="6">
        <v>488470</v>
      </c>
      <c r="H503" s="6">
        <v>465920</v>
      </c>
      <c r="I503" s="6">
        <v>447170</v>
      </c>
      <c r="J503" s="6">
        <v>453200</v>
      </c>
      <c r="K503" s="6">
        <v>430750</v>
      </c>
      <c r="L503" s="6">
        <v>412000</v>
      </c>
      <c r="M503" s="191"/>
      <c r="N503" s="191"/>
      <c r="O503" s="191"/>
      <c r="P503" s="191"/>
      <c r="Q503" s="191"/>
      <c r="R503" s="191"/>
      <c r="S503" s="191"/>
      <c r="T503" s="191"/>
      <c r="U503" s="191"/>
    </row>
    <row r="504" spans="1:21" x14ac:dyDescent="0.3">
      <c r="A504" s="195">
        <v>7140000</v>
      </c>
      <c r="B504" s="6">
        <v>759920</v>
      </c>
      <c r="C504" s="10">
        <v>711360</v>
      </c>
      <c r="D504" s="11">
        <v>582690</v>
      </c>
      <c r="E504" s="6">
        <v>552690</v>
      </c>
      <c r="F504" s="6">
        <v>522690</v>
      </c>
      <c r="G504" s="6">
        <v>492690</v>
      </c>
      <c r="H504" s="6">
        <v>468560</v>
      </c>
      <c r="I504" s="6">
        <v>449810</v>
      </c>
      <c r="J504" s="6">
        <v>457420</v>
      </c>
      <c r="K504" s="6">
        <v>433390</v>
      </c>
      <c r="L504" s="6">
        <v>414640</v>
      </c>
      <c r="M504" s="191"/>
      <c r="N504" s="191"/>
      <c r="O504" s="191"/>
      <c r="P504" s="191"/>
      <c r="Q504" s="191"/>
      <c r="R504" s="191"/>
      <c r="S504" s="191"/>
      <c r="T504" s="191"/>
      <c r="U504" s="191"/>
    </row>
    <row r="505" spans="1:21" x14ac:dyDescent="0.3">
      <c r="A505" s="195">
        <v>7160000</v>
      </c>
      <c r="B505" s="6">
        <v>764460</v>
      </c>
      <c r="C505" s="10">
        <v>715880</v>
      </c>
      <c r="D505" s="11">
        <v>586920</v>
      </c>
      <c r="E505" s="6">
        <v>556920</v>
      </c>
      <c r="F505" s="6">
        <v>526920</v>
      </c>
      <c r="G505" s="6">
        <v>496920</v>
      </c>
      <c r="H505" s="6">
        <v>471200</v>
      </c>
      <c r="I505" s="6">
        <v>452450</v>
      </c>
      <c r="J505" s="6">
        <v>461650</v>
      </c>
      <c r="K505" s="6">
        <v>436030</v>
      </c>
      <c r="L505" s="6">
        <v>417280</v>
      </c>
      <c r="M505" s="191"/>
      <c r="N505" s="191"/>
      <c r="O505" s="191"/>
      <c r="P505" s="191"/>
      <c r="Q505" s="191"/>
      <c r="R505" s="191"/>
      <c r="S505" s="191"/>
      <c r="T505" s="191"/>
      <c r="U505" s="191"/>
    </row>
    <row r="506" spans="1:21" x14ac:dyDescent="0.3">
      <c r="A506" s="195">
        <v>7180000</v>
      </c>
      <c r="B506" s="6">
        <v>768990</v>
      </c>
      <c r="C506" s="10">
        <v>720390</v>
      </c>
      <c r="D506" s="11">
        <v>591140</v>
      </c>
      <c r="E506" s="6">
        <v>561140</v>
      </c>
      <c r="F506" s="6">
        <v>531140</v>
      </c>
      <c r="G506" s="6">
        <v>501140</v>
      </c>
      <c r="H506" s="6">
        <v>473840</v>
      </c>
      <c r="I506" s="6">
        <v>455090</v>
      </c>
      <c r="J506" s="6">
        <v>465870</v>
      </c>
      <c r="K506" s="6">
        <v>438670</v>
      </c>
      <c r="L506" s="6">
        <v>419920</v>
      </c>
      <c r="M506" s="191"/>
      <c r="N506" s="191"/>
      <c r="O506" s="191"/>
      <c r="P506" s="191"/>
      <c r="Q506" s="191"/>
      <c r="R506" s="191"/>
      <c r="S506" s="191"/>
      <c r="T506" s="191"/>
      <c r="U506" s="191"/>
    </row>
    <row r="507" spans="1:21" x14ac:dyDescent="0.3">
      <c r="A507" s="195">
        <v>7200000</v>
      </c>
      <c r="B507" s="6">
        <v>773530</v>
      </c>
      <c r="C507" s="10">
        <v>724900</v>
      </c>
      <c r="D507" s="11">
        <v>595360</v>
      </c>
      <c r="E507" s="6">
        <v>565360</v>
      </c>
      <c r="F507" s="6">
        <v>535360</v>
      </c>
      <c r="G507" s="6">
        <v>505360</v>
      </c>
      <c r="H507" s="6">
        <v>476480</v>
      </c>
      <c r="I507" s="6">
        <v>457730</v>
      </c>
      <c r="J507" s="6">
        <v>470100</v>
      </c>
      <c r="K507" s="6">
        <v>441310</v>
      </c>
      <c r="L507" s="6">
        <v>422560</v>
      </c>
      <c r="M507" s="191"/>
      <c r="N507" s="191"/>
      <c r="O507" s="191"/>
      <c r="P507" s="191"/>
      <c r="Q507" s="191"/>
      <c r="R507" s="191"/>
      <c r="S507" s="191"/>
      <c r="T507" s="191"/>
      <c r="U507" s="191"/>
    </row>
    <row r="508" spans="1:21" x14ac:dyDescent="0.3">
      <c r="A508" s="195">
        <v>7220000</v>
      </c>
      <c r="B508" s="6">
        <v>778060</v>
      </c>
      <c r="C508" s="10">
        <v>729410</v>
      </c>
      <c r="D508" s="11">
        <v>599590</v>
      </c>
      <c r="E508" s="6">
        <v>569590</v>
      </c>
      <c r="F508" s="6">
        <v>539590</v>
      </c>
      <c r="G508" s="6">
        <v>509590</v>
      </c>
      <c r="H508" s="6">
        <v>479590</v>
      </c>
      <c r="I508" s="6">
        <v>460370</v>
      </c>
      <c r="J508" s="6">
        <v>474320</v>
      </c>
      <c r="K508" s="6">
        <v>444320</v>
      </c>
      <c r="L508" s="6">
        <v>425200</v>
      </c>
      <c r="M508" s="191"/>
      <c r="N508" s="191"/>
      <c r="O508" s="191"/>
      <c r="P508" s="191"/>
      <c r="Q508" s="191"/>
      <c r="R508" s="191"/>
      <c r="S508" s="191"/>
      <c r="T508" s="191"/>
      <c r="U508" s="191"/>
    </row>
    <row r="509" spans="1:21" x14ac:dyDescent="0.3">
      <c r="A509" s="195">
        <v>7240000</v>
      </c>
      <c r="B509" s="6">
        <v>782600</v>
      </c>
      <c r="C509" s="10">
        <v>733920</v>
      </c>
      <c r="D509" s="11">
        <v>603810</v>
      </c>
      <c r="E509" s="6">
        <v>573810</v>
      </c>
      <c r="F509" s="6">
        <v>543810</v>
      </c>
      <c r="G509" s="6">
        <v>513810</v>
      </c>
      <c r="H509" s="6">
        <v>483810</v>
      </c>
      <c r="I509" s="6">
        <v>463010</v>
      </c>
      <c r="J509" s="6">
        <v>478540</v>
      </c>
      <c r="K509" s="6">
        <v>448540</v>
      </c>
      <c r="L509" s="6">
        <v>427840</v>
      </c>
      <c r="M509" s="191"/>
      <c r="N509" s="191"/>
      <c r="O509" s="191"/>
      <c r="P509" s="191"/>
      <c r="Q509" s="191"/>
      <c r="R509" s="191"/>
      <c r="S509" s="191"/>
      <c r="T509" s="191"/>
      <c r="U509" s="191"/>
    </row>
    <row r="510" spans="1:21" x14ac:dyDescent="0.3">
      <c r="A510" s="195">
        <v>7260000</v>
      </c>
      <c r="B510" s="6">
        <v>787140</v>
      </c>
      <c r="C510" s="10">
        <v>738440</v>
      </c>
      <c r="D510" s="11">
        <v>608040</v>
      </c>
      <c r="E510" s="6">
        <v>578040</v>
      </c>
      <c r="F510" s="6">
        <v>548040</v>
      </c>
      <c r="G510" s="6">
        <v>518040</v>
      </c>
      <c r="H510" s="6">
        <v>488040</v>
      </c>
      <c r="I510" s="6">
        <v>465650</v>
      </c>
      <c r="J510" s="6">
        <v>482770</v>
      </c>
      <c r="K510" s="6">
        <v>452770</v>
      </c>
      <c r="L510" s="6">
        <v>430480</v>
      </c>
      <c r="M510" s="191"/>
      <c r="N510" s="191"/>
      <c r="O510" s="191"/>
      <c r="P510" s="191"/>
      <c r="Q510" s="191"/>
      <c r="R510" s="191"/>
      <c r="S510" s="191"/>
      <c r="T510" s="191"/>
      <c r="U510" s="191"/>
    </row>
    <row r="511" spans="1:21" x14ac:dyDescent="0.3">
      <c r="A511" s="195">
        <v>7280000</v>
      </c>
      <c r="B511" s="6">
        <v>791670</v>
      </c>
      <c r="C511" s="10">
        <v>742950</v>
      </c>
      <c r="D511" s="11">
        <v>612260</v>
      </c>
      <c r="E511" s="6">
        <v>582260</v>
      </c>
      <c r="F511" s="6">
        <v>552260</v>
      </c>
      <c r="G511" s="6">
        <v>522260</v>
      </c>
      <c r="H511" s="6">
        <v>492260</v>
      </c>
      <c r="I511" s="6">
        <v>468290</v>
      </c>
      <c r="J511" s="6">
        <v>486990</v>
      </c>
      <c r="K511" s="6">
        <v>456990</v>
      </c>
      <c r="L511" s="6">
        <v>433120</v>
      </c>
      <c r="M511" s="191"/>
      <c r="N511" s="191"/>
      <c r="O511" s="191"/>
      <c r="P511" s="191"/>
      <c r="Q511" s="191"/>
      <c r="R511" s="191"/>
      <c r="S511" s="191"/>
      <c r="T511" s="191"/>
      <c r="U511" s="191"/>
    </row>
    <row r="512" spans="1:21" x14ac:dyDescent="0.3">
      <c r="A512" s="195">
        <v>7300000</v>
      </c>
      <c r="B512" s="6">
        <v>796210</v>
      </c>
      <c r="C512" s="10">
        <v>747460</v>
      </c>
      <c r="D512" s="11">
        <v>616480</v>
      </c>
      <c r="E512" s="6">
        <v>586480</v>
      </c>
      <c r="F512" s="6">
        <v>556480</v>
      </c>
      <c r="G512" s="6">
        <v>526480</v>
      </c>
      <c r="H512" s="6">
        <v>496480</v>
      </c>
      <c r="I512" s="6">
        <v>470930</v>
      </c>
      <c r="J512" s="6">
        <v>491220</v>
      </c>
      <c r="K512" s="6">
        <v>461220</v>
      </c>
      <c r="L512" s="6">
        <v>435760</v>
      </c>
      <c r="M512" s="191"/>
      <c r="N512" s="191"/>
      <c r="O512" s="191"/>
      <c r="P512" s="191"/>
      <c r="Q512" s="191"/>
      <c r="R512" s="191"/>
      <c r="S512" s="191"/>
      <c r="T512" s="191"/>
      <c r="U512" s="191"/>
    </row>
    <row r="513" spans="1:21" x14ac:dyDescent="0.3">
      <c r="A513" s="195">
        <v>7320000</v>
      </c>
      <c r="B513" s="6">
        <v>800740</v>
      </c>
      <c r="C513" s="10">
        <v>751970</v>
      </c>
      <c r="D513" s="11">
        <v>620710</v>
      </c>
      <c r="E513" s="6">
        <v>590710</v>
      </c>
      <c r="F513" s="6">
        <v>560710</v>
      </c>
      <c r="G513" s="6">
        <v>530710</v>
      </c>
      <c r="H513" s="6">
        <v>500710</v>
      </c>
      <c r="I513" s="6">
        <v>473570</v>
      </c>
      <c r="J513" s="6">
        <v>495440</v>
      </c>
      <c r="K513" s="6">
        <v>465440</v>
      </c>
      <c r="L513" s="6">
        <v>438400</v>
      </c>
      <c r="M513" s="191"/>
      <c r="N513" s="191"/>
      <c r="O513" s="191"/>
      <c r="P513" s="191"/>
      <c r="Q513" s="191"/>
      <c r="R513" s="191"/>
      <c r="S513" s="191"/>
      <c r="T513" s="191"/>
      <c r="U513" s="191"/>
    </row>
    <row r="514" spans="1:21" x14ac:dyDescent="0.3">
      <c r="A514" s="195">
        <v>7340000</v>
      </c>
      <c r="B514" s="6">
        <v>805280</v>
      </c>
      <c r="C514" s="10">
        <v>756480</v>
      </c>
      <c r="D514" s="11">
        <v>624930</v>
      </c>
      <c r="E514" s="6">
        <v>594930</v>
      </c>
      <c r="F514" s="6">
        <v>564930</v>
      </c>
      <c r="G514" s="6">
        <v>534930</v>
      </c>
      <c r="H514" s="6">
        <v>504930</v>
      </c>
      <c r="I514" s="6">
        <v>476210</v>
      </c>
      <c r="J514" s="6">
        <v>499660</v>
      </c>
      <c r="K514" s="6">
        <v>469660</v>
      </c>
      <c r="L514" s="6">
        <v>441040</v>
      </c>
      <c r="M514" s="191"/>
      <c r="N514" s="191"/>
      <c r="O514" s="191"/>
      <c r="P514" s="191"/>
      <c r="Q514" s="191"/>
      <c r="R514" s="191"/>
      <c r="S514" s="191"/>
      <c r="T514" s="191"/>
      <c r="U514" s="191"/>
    </row>
    <row r="515" spans="1:21" x14ac:dyDescent="0.3">
      <c r="A515" s="195">
        <v>7360000</v>
      </c>
      <c r="B515" s="6">
        <v>809820</v>
      </c>
      <c r="C515" s="10">
        <v>761000</v>
      </c>
      <c r="D515" s="11">
        <v>629160</v>
      </c>
      <c r="E515" s="6">
        <v>599160</v>
      </c>
      <c r="F515" s="6">
        <v>569160</v>
      </c>
      <c r="G515" s="6">
        <v>539160</v>
      </c>
      <c r="H515" s="6">
        <v>509160</v>
      </c>
      <c r="I515" s="6">
        <v>479160</v>
      </c>
      <c r="J515" s="6">
        <v>503890</v>
      </c>
      <c r="K515" s="6">
        <v>473890</v>
      </c>
      <c r="L515" s="6">
        <v>443890</v>
      </c>
      <c r="M515" s="191"/>
      <c r="N515" s="191"/>
      <c r="O515" s="191"/>
      <c r="P515" s="191"/>
      <c r="Q515" s="191"/>
      <c r="R515" s="191"/>
      <c r="S515" s="191"/>
      <c r="T515" s="191"/>
      <c r="U515" s="191"/>
    </row>
    <row r="516" spans="1:21" x14ac:dyDescent="0.3">
      <c r="A516" s="195">
        <v>7380000</v>
      </c>
      <c r="B516" s="6">
        <v>814350</v>
      </c>
      <c r="C516" s="10">
        <v>765510</v>
      </c>
      <c r="D516" s="11">
        <v>633380</v>
      </c>
      <c r="E516" s="6">
        <v>603380</v>
      </c>
      <c r="F516" s="6">
        <v>573380</v>
      </c>
      <c r="G516" s="6">
        <v>543380</v>
      </c>
      <c r="H516" s="6">
        <v>513380</v>
      </c>
      <c r="I516" s="6">
        <v>483380</v>
      </c>
      <c r="J516" s="6">
        <v>508110</v>
      </c>
      <c r="K516" s="6">
        <v>478110</v>
      </c>
      <c r="L516" s="6">
        <v>448110</v>
      </c>
      <c r="M516" s="191"/>
      <c r="N516" s="191"/>
      <c r="O516" s="191"/>
      <c r="P516" s="191"/>
      <c r="Q516" s="191"/>
      <c r="R516" s="191"/>
      <c r="S516" s="191"/>
      <c r="T516" s="191"/>
      <c r="U516" s="191"/>
    </row>
    <row r="517" spans="1:21" x14ac:dyDescent="0.3">
      <c r="A517" s="195">
        <v>7400000</v>
      </c>
      <c r="B517" s="6">
        <v>818890</v>
      </c>
      <c r="C517" s="10">
        <v>770020</v>
      </c>
      <c r="D517" s="11">
        <v>637600</v>
      </c>
      <c r="E517" s="6">
        <v>607600</v>
      </c>
      <c r="F517" s="6">
        <v>577600</v>
      </c>
      <c r="G517" s="6">
        <v>547600</v>
      </c>
      <c r="H517" s="6">
        <v>517600</v>
      </c>
      <c r="I517" s="6">
        <v>487600</v>
      </c>
      <c r="J517" s="6">
        <v>512340</v>
      </c>
      <c r="K517" s="6">
        <v>482340</v>
      </c>
      <c r="L517" s="6">
        <v>452340</v>
      </c>
      <c r="M517" s="191"/>
      <c r="N517" s="191"/>
      <c r="O517" s="191"/>
      <c r="P517" s="191"/>
      <c r="Q517" s="191"/>
      <c r="R517" s="191"/>
      <c r="S517" s="191"/>
      <c r="T517" s="191"/>
      <c r="U517" s="191"/>
    </row>
    <row r="518" spans="1:21" x14ac:dyDescent="0.3">
      <c r="A518" s="195">
        <v>7420000</v>
      </c>
      <c r="B518" s="6">
        <v>823420</v>
      </c>
      <c r="C518" s="10">
        <v>774530</v>
      </c>
      <c r="D518" s="11">
        <v>641830</v>
      </c>
      <c r="E518" s="6">
        <v>611830</v>
      </c>
      <c r="F518" s="6">
        <v>581830</v>
      </c>
      <c r="G518" s="6">
        <v>551830</v>
      </c>
      <c r="H518" s="6">
        <v>521830</v>
      </c>
      <c r="I518" s="6">
        <v>491830</v>
      </c>
      <c r="J518" s="6">
        <v>516560</v>
      </c>
      <c r="K518" s="6">
        <v>486560</v>
      </c>
      <c r="L518" s="6">
        <v>456560</v>
      </c>
      <c r="M518" s="191"/>
      <c r="N518" s="191"/>
      <c r="O518" s="191"/>
      <c r="P518" s="191"/>
      <c r="Q518" s="191"/>
      <c r="R518" s="191"/>
      <c r="S518" s="191"/>
      <c r="T518" s="191"/>
      <c r="U518" s="191"/>
    </row>
    <row r="519" spans="1:21" x14ac:dyDescent="0.3">
      <c r="A519" s="195">
        <v>7440000</v>
      </c>
      <c r="B519" s="6">
        <v>827960</v>
      </c>
      <c r="C519" s="10">
        <v>779040</v>
      </c>
      <c r="D519" s="11">
        <v>646050</v>
      </c>
      <c r="E519" s="6">
        <v>616050</v>
      </c>
      <c r="F519" s="6">
        <v>586050</v>
      </c>
      <c r="G519" s="6">
        <v>556050</v>
      </c>
      <c r="H519" s="6">
        <v>526050</v>
      </c>
      <c r="I519" s="6">
        <v>496050</v>
      </c>
      <c r="J519" s="6">
        <v>520780</v>
      </c>
      <c r="K519" s="6">
        <v>490780</v>
      </c>
      <c r="L519" s="6">
        <v>460780</v>
      </c>
      <c r="M519" s="191"/>
      <c r="N519" s="191"/>
      <c r="O519" s="191"/>
      <c r="P519" s="191"/>
      <c r="Q519" s="191"/>
      <c r="R519" s="191"/>
      <c r="S519" s="191"/>
      <c r="T519" s="191"/>
      <c r="U519" s="191"/>
    </row>
    <row r="520" spans="1:21" x14ac:dyDescent="0.3">
      <c r="A520" s="195">
        <v>7460000</v>
      </c>
      <c r="B520" s="6">
        <v>832500</v>
      </c>
      <c r="C520" s="10">
        <v>783560</v>
      </c>
      <c r="D520" s="11">
        <v>650280</v>
      </c>
      <c r="E520" s="6">
        <v>620280</v>
      </c>
      <c r="F520" s="6">
        <v>590280</v>
      </c>
      <c r="G520" s="6">
        <v>560280</v>
      </c>
      <c r="H520" s="6">
        <v>530280</v>
      </c>
      <c r="I520" s="6">
        <v>500280</v>
      </c>
      <c r="J520" s="6">
        <v>525010</v>
      </c>
      <c r="K520" s="6">
        <v>495010</v>
      </c>
      <c r="L520" s="6">
        <v>465010</v>
      </c>
      <c r="M520" s="191"/>
      <c r="N520" s="191"/>
      <c r="O520" s="191"/>
      <c r="P520" s="191"/>
      <c r="Q520" s="191"/>
      <c r="R520" s="191"/>
      <c r="S520" s="191"/>
      <c r="T520" s="191"/>
      <c r="U520" s="191"/>
    </row>
    <row r="521" spans="1:21" x14ac:dyDescent="0.3">
      <c r="A521" s="195">
        <v>7480000</v>
      </c>
      <c r="B521" s="6">
        <v>837030</v>
      </c>
      <c r="C521" s="10">
        <v>788070</v>
      </c>
      <c r="D521" s="11">
        <v>654500</v>
      </c>
      <c r="E521" s="6">
        <v>624500</v>
      </c>
      <c r="F521" s="6">
        <v>594500</v>
      </c>
      <c r="G521" s="6">
        <v>564500</v>
      </c>
      <c r="H521" s="6">
        <v>534500</v>
      </c>
      <c r="I521" s="6">
        <v>504500</v>
      </c>
      <c r="J521" s="6">
        <v>529230</v>
      </c>
      <c r="K521" s="6">
        <v>499230</v>
      </c>
      <c r="L521" s="6">
        <v>469230</v>
      </c>
      <c r="M521" s="191"/>
      <c r="N521" s="191"/>
      <c r="O521" s="191"/>
      <c r="P521" s="191"/>
      <c r="Q521" s="191"/>
      <c r="R521" s="191"/>
      <c r="S521" s="191"/>
      <c r="T521" s="191"/>
      <c r="U521" s="191"/>
    </row>
    <row r="522" spans="1:21" x14ac:dyDescent="0.3">
      <c r="A522" s="195">
        <v>7500000</v>
      </c>
      <c r="B522" s="6">
        <v>841570</v>
      </c>
      <c r="C522" s="10">
        <v>792580</v>
      </c>
      <c r="D522" s="11">
        <v>658720</v>
      </c>
      <c r="E522" s="6">
        <v>628720</v>
      </c>
      <c r="F522" s="6">
        <v>598720</v>
      </c>
      <c r="G522" s="6">
        <v>568720</v>
      </c>
      <c r="H522" s="6">
        <v>538720</v>
      </c>
      <c r="I522" s="6">
        <v>508720</v>
      </c>
      <c r="J522" s="6">
        <v>533460</v>
      </c>
      <c r="K522" s="6">
        <v>503460</v>
      </c>
      <c r="L522" s="6">
        <v>473460</v>
      </c>
      <c r="M522" s="191"/>
      <c r="N522" s="191"/>
      <c r="O522" s="191"/>
      <c r="P522" s="191"/>
      <c r="Q522" s="191"/>
      <c r="R522" s="191"/>
      <c r="S522" s="191"/>
      <c r="T522" s="191"/>
      <c r="U522" s="191"/>
    </row>
    <row r="523" spans="1:21" x14ac:dyDescent="0.3">
      <c r="A523" s="195">
        <v>7520000</v>
      </c>
      <c r="B523" s="6">
        <v>846100</v>
      </c>
      <c r="C523" s="10">
        <v>797090</v>
      </c>
      <c r="D523" s="11">
        <v>662950</v>
      </c>
      <c r="E523" s="6">
        <v>632950</v>
      </c>
      <c r="F523" s="6">
        <v>602950</v>
      </c>
      <c r="G523" s="6">
        <v>572950</v>
      </c>
      <c r="H523" s="6">
        <v>542950</v>
      </c>
      <c r="I523" s="6">
        <v>512950</v>
      </c>
      <c r="J523" s="6">
        <v>537680</v>
      </c>
      <c r="K523" s="6">
        <v>507680</v>
      </c>
      <c r="L523" s="6">
        <v>477680</v>
      </c>
      <c r="M523" s="191"/>
      <c r="N523" s="191"/>
      <c r="O523" s="191"/>
      <c r="P523" s="191"/>
      <c r="Q523" s="191"/>
      <c r="R523" s="191"/>
      <c r="S523" s="191"/>
      <c r="T523" s="191"/>
      <c r="U523" s="191"/>
    </row>
    <row r="524" spans="1:21" x14ac:dyDescent="0.3">
      <c r="A524" s="195">
        <v>7540000</v>
      </c>
      <c r="B524" s="6">
        <v>850640</v>
      </c>
      <c r="C524" s="10">
        <v>801600</v>
      </c>
      <c r="D524" s="11">
        <v>667170</v>
      </c>
      <c r="E524" s="6">
        <v>637170</v>
      </c>
      <c r="F524" s="6">
        <v>607170</v>
      </c>
      <c r="G524" s="6">
        <v>577170</v>
      </c>
      <c r="H524" s="6">
        <v>547170</v>
      </c>
      <c r="I524" s="6">
        <v>517170</v>
      </c>
      <c r="J524" s="6">
        <v>541900</v>
      </c>
      <c r="K524" s="6">
        <v>511900</v>
      </c>
      <c r="L524" s="6">
        <v>481900</v>
      </c>
      <c r="M524" s="191"/>
      <c r="N524" s="191"/>
      <c r="O524" s="191"/>
      <c r="P524" s="191"/>
      <c r="Q524" s="191"/>
      <c r="R524" s="191"/>
      <c r="S524" s="191"/>
      <c r="T524" s="191"/>
      <c r="U524" s="191"/>
    </row>
    <row r="525" spans="1:21" x14ac:dyDescent="0.3">
      <c r="A525" s="195">
        <v>7560000</v>
      </c>
      <c r="B525" s="6">
        <v>855180</v>
      </c>
      <c r="C525" s="10">
        <v>806120</v>
      </c>
      <c r="D525" s="11">
        <v>671400</v>
      </c>
      <c r="E525" s="6">
        <v>641400</v>
      </c>
      <c r="F525" s="6">
        <v>611400</v>
      </c>
      <c r="G525" s="6">
        <v>581400</v>
      </c>
      <c r="H525" s="6">
        <v>551400</v>
      </c>
      <c r="I525" s="6">
        <v>521400</v>
      </c>
      <c r="J525" s="6">
        <v>546130</v>
      </c>
      <c r="K525" s="6">
        <v>516130</v>
      </c>
      <c r="L525" s="6">
        <v>486130</v>
      </c>
      <c r="M525" s="191"/>
      <c r="N525" s="191"/>
      <c r="O525" s="191"/>
      <c r="P525" s="191"/>
      <c r="Q525" s="191"/>
      <c r="R525" s="191"/>
      <c r="S525" s="191"/>
      <c r="T525" s="191"/>
      <c r="U525" s="191"/>
    </row>
    <row r="526" spans="1:21" x14ac:dyDescent="0.3">
      <c r="A526" s="195">
        <v>7580000</v>
      </c>
      <c r="B526" s="6">
        <v>859710</v>
      </c>
      <c r="C526" s="10">
        <v>810630</v>
      </c>
      <c r="D526" s="11">
        <v>675620</v>
      </c>
      <c r="E526" s="6">
        <v>645620</v>
      </c>
      <c r="F526" s="6">
        <v>615620</v>
      </c>
      <c r="G526" s="6">
        <v>585620</v>
      </c>
      <c r="H526" s="6">
        <v>555620</v>
      </c>
      <c r="I526" s="6">
        <v>525620</v>
      </c>
      <c r="J526" s="6">
        <v>550350</v>
      </c>
      <c r="K526" s="6">
        <v>520350</v>
      </c>
      <c r="L526" s="6">
        <v>490350</v>
      </c>
      <c r="M526" s="191"/>
      <c r="N526" s="191"/>
      <c r="O526" s="191"/>
      <c r="P526" s="191"/>
      <c r="Q526" s="191"/>
      <c r="R526" s="191"/>
      <c r="S526" s="191"/>
      <c r="T526" s="191"/>
      <c r="U526" s="191"/>
    </row>
    <row r="527" spans="1:21" x14ac:dyDescent="0.3">
      <c r="A527" s="195">
        <v>7600000</v>
      </c>
      <c r="B527" s="6">
        <v>864250</v>
      </c>
      <c r="C527" s="10">
        <v>815140</v>
      </c>
      <c r="D527" s="11">
        <v>679840</v>
      </c>
      <c r="E527" s="6">
        <v>649840</v>
      </c>
      <c r="F527" s="6">
        <v>619840</v>
      </c>
      <c r="G527" s="6">
        <v>589840</v>
      </c>
      <c r="H527" s="6">
        <v>559840</v>
      </c>
      <c r="I527" s="6">
        <v>529840</v>
      </c>
      <c r="J527" s="6">
        <v>554580</v>
      </c>
      <c r="K527" s="6">
        <v>524580</v>
      </c>
      <c r="L527" s="6">
        <v>494580</v>
      </c>
      <c r="M527" s="191"/>
      <c r="N527" s="191"/>
      <c r="O527" s="191"/>
      <c r="P527" s="191"/>
      <c r="Q527" s="191"/>
      <c r="R527" s="191"/>
      <c r="S527" s="191"/>
      <c r="T527" s="191"/>
      <c r="U527" s="191"/>
    </row>
    <row r="528" spans="1:21" x14ac:dyDescent="0.3">
      <c r="A528" s="195">
        <v>7620000</v>
      </c>
      <c r="B528" s="6">
        <v>868780</v>
      </c>
      <c r="C528" s="10">
        <v>819650</v>
      </c>
      <c r="D528" s="11">
        <v>684070</v>
      </c>
      <c r="E528" s="6">
        <v>654070</v>
      </c>
      <c r="F528" s="6">
        <v>624070</v>
      </c>
      <c r="G528" s="6">
        <v>594070</v>
      </c>
      <c r="H528" s="6">
        <v>564070</v>
      </c>
      <c r="I528" s="6">
        <v>534070</v>
      </c>
      <c r="J528" s="6">
        <v>558800</v>
      </c>
      <c r="K528" s="6">
        <v>528800</v>
      </c>
      <c r="L528" s="6">
        <v>498800</v>
      </c>
      <c r="M528" s="191"/>
      <c r="N528" s="191"/>
      <c r="O528" s="191"/>
      <c r="P528" s="191"/>
      <c r="Q528" s="191"/>
      <c r="R528" s="191"/>
      <c r="S528" s="191"/>
      <c r="T528" s="191"/>
      <c r="U528" s="191"/>
    </row>
    <row r="529" spans="1:21" x14ac:dyDescent="0.3">
      <c r="A529" s="195">
        <v>7640000</v>
      </c>
      <c r="B529" s="6">
        <v>873320</v>
      </c>
      <c r="C529" s="10">
        <v>824160</v>
      </c>
      <c r="D529" s="11">
        <v>688290</v>
      </c>
      <c r="E529" s="6">
        <v>658290</v>
      </c>
      <c r="F529" s="6">
        <v>628290</v>
      </c>
      <c r="G529" s="6">
        <v>598290</v>
      </c>
      <c r="H529" s="6">
        <v>568290</v>
      </c>
      <c r="I529" s="6">
        <v>538290</v>
      </c>
      <c r="J529" s="6">
        <v>563020</v>
      </c>
      <c r="K529" s="6">
        <v>533020</v>
      </c>
      <c r="L529" s="6">
        <v>503020</v>
      </c>
      <c r="M529" s="191"/>
      <c r="N529" s="191"/>
      <c r="O529" s="191"/>
      <c r="P529" s="191"/>
      <c r="Q529" s="191"/>
      <c r="R529" s="191"/>
      <c r="S529" s="191"/>
      <c r="T529" s="191"/>
      <c r="U529" s="191"/>
    </row>
    <row r="530" spans="1:21" x14ac:dyDescent="0.3">
      <c r="A530" s="195">
        <v>7660000</v>
      </c>
      <c r="B530" s="6">
        <v>877860</v>
      </c>
      <c r="C530" s="10">
        <v>828680</v>
      </c>
      <c r="D530" s="11">
        <v>692520</v>
      </c>
      <c r="E530" s="6">
        <v>662520</v>
      </c>
      <c r="F530" s="6">
        <v>632520</v>
      </c>
      <c r="G530" s="6">
        <v>602520</v>
      </c>
      <c r="H530" s="6">
        <v>572520</v>
      </c>
      <c r="I530" s="6">
        <v>542520</v>
      </c>
      <c r="J530" s="6">
        <v>567250</v>
      </c>
      <c r="K530" s="6">
        <v>537250</v>
      </c>
      <c r="L530" s="6">
        <v>507250</v>
      </c>
      <c r="M530" s="191"/>
      <c r="N530" s="191"/>
      <c r="O530" s="191"/>
      <c r="P530" s="191"/>
      <c r="Q530" s="191"/>
      <c r="R530" s="191"/>
      <c r="S530" s="191"/>
      <c r="T530" s="191"/>
      <c r="U530" s="191"/>
    </row>
    <row r="531" spans="1:21" x14ac:dyDescent="0.3">
      <c r="A531" s="195">
        <v>7680000</v>
      </c>
      <c r="B531" s="6">
        <v>882390</v>
      </c>
      <c r="C531" s="10">
        <v>833190</v>
      </c>
      <c r="D531" s="11">
        <v>696740</v>
      </c>
      <c r="E531" s="6">
        <v>666740</v>
      </c>
      <c r="F531" s="6">
        <v>636740</v>
      </c>
      <c r="G531" s="6">
        <v>606740</v>
      </c>
      <c r="H531" s="6">
        <v>576740</v>
      </c>
      <c r="I531" s="6">
        <v>546740</v>
      </c>
      <c r="J531" s="6">
        <v>571470</v>
      </c>
      <c r="K531" s="6">
        <v>541470</v>
      </c>
      <c r="L531" s="6">
        <v>511470</v>
      </c>
      <c r="M531" s="191"/>
      <c r="N531" s="191"/>
      <c r="O531" s="191"/>
      <c r="P531" s="191"/>
      <c r="Q531" s="191"/>
      <c r="R531" s="191"/>
      <c r="S531" s="191"/>
      <c r="T531" s="191"/>
      <c r="U531" s="191"/>
    </row>
    <row r="532" spans="1:21" x14ac:dyDescent="0.3">
      <c r="A532" s="195">
        <v>7700000</v>
      </c>
      <c r="B532" s="6">
        <v>886930</v>
      </c>
      <c r="C532" s="10">
        <v>837700</v>
      </c>
      <c r="D532" s="11">
        <v>700960</v>
      </c>
      <c r="E532" s="6">
        <v>670960</v>
      </c>
      <c r="F532" s="6">
        <v>640960</v>
      </c>
      <c r="G532" s="6">
        <v>610960</v>
      </c>
      <c r="H532" s="6">
        <v>580960</v>
      </c>
      <c r="I532" s="6">
        <v>550960</v>
      </c>
      <c r="J532" s="6">
        <v>575700</v>
      </c>
      <c r="K532" s="6">
        <v>545700</v>
      </c>
      <c r="L532" s="6">
        <v>515700</v>
      </c>
      <c r="M532" s="191"/>
      <c r="N532" s="191"/>
      <c r="O532" s="191"/>
      <c r="P532" s="191"/>
      <c r="Q532" s="191"/>
      <c r="R532" s="191"/>
      <c r="S532" s="191"/>
      <c r="T532" s="191"/>
      <c r="U532" s="191"/>
    </row>
    <row r="533" spans="1:21" x14ac:dyDescent="0.3">
      <c r="A533" s="195">
        <v>7720000</v>
      </c>
      <c r="B533" s="6">
        <v>891460</v>
      </c>
      <c r="C533" s="10">
        <v>842210</v>
      </c>
      <c r="D533" s="11">
        <v>705190</v>
      </c>
      <c r="E533" s="6">
        <v>675190</v>
      </c>
      <c r="F533" s="6">
        <v>645190</v>
      </c>
      <c r="G533" s="6">
        <v>615190</v>
      </c>
      <c r="H533" s="6">
        <v>585190</v>
      </c>
      <c r="I533" s="6">
        <v>555190</v>
      </c>
      <c r="J533" s="6">
        <v>579920</v>
      </c>
      <c r="K533" s="6">
        <v>549920</v>
      </c>
      <c r="L533" s="6">
        <v>519920</v>
      </c>
      <c r="M533" s="191"/>
      <c r="N533" s="191"/>
      <c r="O533" s="191"/>
      <c r="P533" s="191"/>
      <c r="Q533" s="191"/>
      <c r="R533" s="191"/>
      <c r="S533" s="191"/>
      <c r="T533" s="191"/>
      <c r="U533" s="191"/>
    </row>
    <row r="534" spans="1:21" x14ac:dyDescent="0.3">
      <c r="A534" s="195">
        <v>7740000</v>
      </c>
      <c r="B534" s="6">
        <v>896000</v>
      </c>
      <c r="C534" s="10">
        <v>846720</v>
      </c>
      <c r="D534" s="11">
        <v>709410</v>
      </c>
      <c r="E534" s="6">
        <v>679410</v>
      </c>
      <c r="F534" s="6">
        <v>649410</v>
      </c>
      <c r="G534" s="6">
        <v>619410</v>
      </c>
      <c r="H534" s="6">
        <v>589410</v>
      </c>
      <c r="I534" s="6">
        <v>559410</v>
      </c>
      <c r="J534" s="6">
        <v>584140</v>
      </c>
      <c r="K534" s="6">
        <v>554140</v>
      </c>
      <c r="L534" s="6">
        <v>524140</v>
      </c>
      <c r="M534" s="191"/>
      <c r="N534" s="191"/>
      <c r="O534" s="191"/>
      <c r="P534" s="191"/>
      <c r="Q534" s="191"/>
      <c r="R534" s="191"/>
      <c r="S534" s="191"/>
      <c r="T534" s="191"/>
      <c r="U534" s="191"/>
    </row>
    <row r="535" spans="1:21" x14ac:dyDescent="0.3">
      <c r="A535" s="195">
        <v>7760000</v>
      </c>
      <c r="B535" s="6">
        <v>900540</v>
      </c>
      <c r="C535" s="10">
        <v>851240</v>
      </c>
      <c r="D535" s="11">
        <v>713640</v>
      </c>
      <c r="E535" s="6">
        <v>683640</v>
      </c>
      <c r="F535" s="6">
        <v>653640</v>
      </c>
      <c r="G535" s="6">
        <v>623640</v>
      </c>
      <c r="H535" s="6">
        <v>593640</v>
      </c>
      <c r="I535" s="6">
        <v>563640</v>
      </c>
      <c r="J535" s="6">
        <v>588370</v>
      </c>
      <c r="K535" s="6">
        <v>558370</v>
      </c>
      <c r="L535" s="6">
        <v>528370</v>
      </c>
      <c r="M535" s="191"/>
      <c r="N535" s="191"/>
      <c r="O535" s="191"/>
      <c r="P535" s="191"/>
      <c r="Q535" s="191"/>
      <c r="R535" s="191"/>
      <c r="S535" s="191"/>
      <c r="T535" s="191"/>
      <c r="U535" s="191"/>
    </row>
    <row r="536" spans="1:21" x14ac:dyDescent="0.3">
      <c r="A536" s="195">
        <v>7780000</v>
      </c>
      <c r="B536" s="6">
        <v>905070</v>
      </c>
      <c r="C536" s="10">
        <v>855750</v>
      </c>
      <c r="D536" s="11">
        <v>717860</v>
      </c>
      <c r="E536" s="6">
        <v>687860</v>
      </c>
      <c r="F536" s="6">
        <v>657860</v>
      </c>
      <c r="G536" s="6">
        <v>627860</v>
      </c>
      <c r="H536" s="6">
        <v>597860</v>
      </c>
      <c r="I536" s="6">
        <v>567860</v>
      </c>
      <c r="J536" s="6">
        <v>592590</v>
      </c>
      <c r="K536" s="6">
        <v>562590</v>
      </c>
      <c r="L536" s="6">
        <v>532590</v>
      </c>
      <c r="M536" s="191"/>
      <c r="N536" s="191"/>
      <c r="O536" s="191"/>
      <c r="P536" s="191"/>
      <c r="Q536" s="191"/>
      <c r="R536" s="191"/>
      <c r="S536" s="191"/>
      <c r="T536" s="191"/>
      <c r="U536" s="191"/>
    </row>
    <row r="537" spans="1:21" x14ac:dyDescent="0.3">
      <c r="A537" s="195">
        <v>7800000</v>
      </c>
      <c r="B537" s="6">
        <v>909610</v>
      </c>
      <c r="C537" s="10">
        <v>860260</v>
      </c>
      <c r="D537" s="11">
        <v>722080</v>
      </c>
      <c r="E537" s="6">
        <v>692080</v>
      </c>
      <c r="F537" s="6">
        <v>662080</v>
      </c>
      <c r="G537" s="6">
        <v>632080</v>
      </c>
      <c r="H537" s="6">
        <v>602080</v>
      </c>
      <c r="I537" s="6">
        <v>572080</v>
      </c>
      <c r="J537" s="6">
        <v>596820</v>
      </c>
      <c r="K537" s="6">
        <v>566820</v>
      </c>
      <c r="L537" s="6">
        <v>536820</v>
      </c>
      <c r="M537" s="191"/>
      <c r="N537" s="191"/>
      <c r="O537" s="191"/>
      <c r="P537" s="191"/>
      <c r="Q537" s="191"/>
      <c r="R537" s="191"/>
      <c r="S537" s="191"/>
      <c r="T537" s="191"/>
      <c r="U537" s="191"/>
    </row>
    <row r="538" spans="1:21" x14ac:dyDescent="0.3">
      <c r="A538" s="195">
        <v>7820000</v>
      </c>
      <c r="B538" s="6">
        <v>914140</v>
      </c>
      <c r="C538" s="10">
        <v>864770</v>
      </c>
      <c r="D538" s="11">
        <v>726310</v>
      </c>
      <c r="E538" s="6">
        <v>696310</v>
      </c>
      <c r="F538" s="6">
        <v>666310</v>
      </c>
      <c r="G538" s="6">
        <v>636310</v>
      </c>
      <c r="H538" s="6">
        <v>606310</v>
      </c>
      <c r="I538" s="6">
        <v>576310</v>
      </c>
      <c r="J538" s="6">
        <v>601040</v>
      </c>
      <c r="K538" s="6">
        <v>571040</v>
      </c>
      <c r="L538" s="6">
        <v>541040</v>
      </c>
      <c r="M538" s="191"/>
      <c r="N538" s="191"/>
      <c r="O538" s="191"/>
      <c r="P538" s="191"/>
      <c r="Q538" s="191"/>
      <c r="R538" s="191"/>
      <c r="S538" s="191"/>
      <c r="T538" s="191"/>
      <c r="U538" s="191"/>
    </row>
    <row r="539" spans="1:21" x14ac:dyDescent="0.3">
      <c r="A539" s="195">
        <v>7840000</v>
      </c>
      <c r="B539" s="6">
        <v>918680</v>
      </c>
      <c r="C539" s="10">
        <v>869280</v>
      </c>
      <c r="D539" s="11">
        <v>730530</v>
      </c>
      <c r="E539" s="6">
        <v>700530</v>
      </c>
      <c r="F539" s="6">
        <v>670530</v>
      </c>
      <c r="G539" s="6">
        <v>640530</v>
      </c>
      <c r="H539" s="6">
        <v>610530</v>
      </c>
      <c r="I539" s="6">
        <v>580530</v>
      </c>
      <c r="J539" s="6">
        <v>605260</v>
      </c>
      <c r="K539" s="6">
        <v>575260</v>
      </c>
      <c r="L539" s="6">
        <v>545260</v>
      </c>
      <c r="M539" s="191"/>
      <c r="N539" s="191"/>
      <c r="O539" s="191"/>
      <c r="P539" s="191"/>
      <c r="Q539" s="191"/>
      <c r="R539" s="191"/>
      <c r="S539" s="191"/>
      <c r="T539" s="191"/>
      <c r="U539" s="191"/>
    </row>
    <row r="540" spans="1:21" x14ac:dyDescent="0.3">
      <c r="A540" s="195">
        <v>7860000</v>
      </c>
      <c r="B540" s="6">
        <v>923220</v>
      </c>
      <c r="C540" s="10">
        <v>873800</v>
      </c>
      <c r="D540" s="11">
        <v>734760</v>
      </c>
      <c r="E540" s="6">
        <v>704760</v>
      </c>
      <c r="F540" s="6">
        <v>674760</v>
      </c>
      <c r="G540" s="6">
        <v>644760</v>
      </c>
      <c r="H540" s="6">
        <v>614760</v>
      </c>
      <c r="I540" s="6">
        <v>584760</v>
      </c>
      <c r="J540" s="6">
        <v>609490</v>
      </c>
      <c r="K540" s="6">
        <v>579490</v>
      </c>
      <c r="L540" s="6">
        <v>549490</v>
      </c>
      <c r="M540" s="191"/>
      <c r="N540" s="191"/>
      <c r="O540" s="191"/>
      <c r="P540" s="191"/>
      <c r="Q540" s="191"/>
      <c r="R540" s="191"/>
      <c r="S540" s="191"/>
      <c r="T540" s="191"/>
      <c r="U540" s="191"/>
    </row>
    <row r="541" spans="1:21" x14ac:dyDescent="0.3">
      <c r="A541" s="195">
        <v>7880000</v>
      </c>
      <c r="B541" s="6">
        <v>927750</v>
      </c>
      <c r="C541" s="10">
        <v>878310</v>
      </c>
      <c r="D541" s="11">
        <v>738980</v>
      </c>
      <c r="E541" s="6">
        <v>708980</v>
      </c>
      <c r="F541" s="6">
        <v>678980</v>
      </c>
      <c r="G541" s="6">
        <v>648980</v>
      </c>
      <c r="H541" s="6">
        <v>618980</v>
      </c>
      <c r="I541" s="6">
        <v>588980</v>
      </c>
      <c r="J541" s="6">
        <v>613710</v>
      </c>
      <c r="K541" s="6">
        <v>583710</v>
      </c>
      <c r="L541" s="6">
        <v>553710</v>
      </c>
      <c r="M541" s="191"/>
      <c r="N541" s="191"/>
      <c r="O541" s="191"/>
      <c r="P541" s="191"/>
      <c r="Q541" s="191"/>
      <c r="R541" s="191"/>
      <c r="S541" s="191"/>
      <c r="T541" s="191"/>
      <c r="U541" s="191"/>
    </row>
    <row r="542" spans="1:21" x14ac:dyDescent="0.3">
      <c r="A542" s="195">
        <v>7900000</v>
      </c>
      <c r="B542" s="6">
        <v>932290</v>
      </c>
      <c r="C542" s="10">
        <v>882820</v>
      </c>
      <c r="D542" s="11">
        <v>743200</v>
      </c>
      <c r="E542" s="6">
        <v>713200</v>
      </c>
      <c r="F542" s="6">
        <v>683200</v>
      </c>
      <c r="G542" s="6">
        <v>653200</v>
      </c>
      <c r="H542" s="6">
        <v>623200</v>
      </c>
      <c r="I542" s="6">
        <v>593200</v>
      </c>
      <c r="J542" s="6">
        <v>617940</v>
      </c>
      <c r="K542" s="6">
        <v>587940</v>
      </c>
      <c r="L542" s="6">
        <v>557940</v>
      </c>
      <c r="M542" s="191"/>
      <c r="N542" s="191"/>
      <c r="O542" s="191"/>
      <c r="P542" s="191"/>
      <c r="Q542" s="191"/>
      <c r="R542" s="191"/>
      <c r="S542" s="191"/>
      <c r="T542" s="191"/>
      <c r="U542" s="191"/>
    </row>
    <row r="543" spans="1:21" x14ac:dyDescent="0.3">
      <c r="A543" s="195">
        <v>7920000</v>
      </c>
      <c r="B543" s="6">
        <v>936820</v>
      </c>
      <c r="C543" s="10">
        <v>887330</v>
      </c>
      <c r="D543" s="11">
        <v>747430</v>
      </c>
      <c r="E543" s="6">
        <v>717430</v>
      </c>
      <c r="F543" s="6">
        <v>687430</v>
      </c>
      <c r="G543" s="6">
        <v>657430</v>
      </c>
      <c r="H543" s="6">
        <v>627430</v>
      </c>
      <c r="I543" s="6">
        <v>597430</v>
      </c>
      <c r="J543" s="6">
        <v>622160</v>
      </c>
      <c r="K543" s="6">
        <v>592160</v>
      </c>
      <c r="L543" s="6">
        <v>562160</v>
      </c>
      <c r="M543" s="191"/>
      <c r="N543" s="191"/>
      <c r="O543" s="191"/>
      <c r="P543" s="191"/>
      <c r="Q543" s="191"/>
      <c r="R543" s="191"/>
      <c r="S543" s="191"/>
      <c r="T543" s="191"/>
      <c r="U543" s="191"/>
    </row>
    <row r="544" spans="1:21" x14ac:dyDescent="0.3">
      <c r="A544" s="195">
        <v>7940000</v>
      </c>
      <c r="B544" s="6">
        <v>941360</v>
      </c>
      <c r="C544" s="10">
        <v>891840</v>
      </c>
      <c r="D544" s="11">
        <v>751650</v>
      </c>
      <c r="E544" s="6">
        <v>721650</v>
      </c>
      <c r="F544" s="6">
        <v>691650</v>
      </c>
      <c r="G544" s="6">
        <v>661650</v>
      </c>
      <c r="H544" s="6">
        <v>631650</v>
      </c>
      <c r="I544" s="6">
        <v>601650</v>
      </c>
      <c r="J544" s="6">
        <v>626380</v>
      </c>
      <c r="K544" s="6">
        <v>596380</v>
      </c>
      <c r="L544" s="6">
        <v>566380</v>
      </c>
      <c r="M544" s="191"/>
      <c r="N544" s="191"/>
      <c r="O544" s="191"/>
      <c r="P544" s="191"/>
      <c r="Q544" s="191"/>
      <c r="R544" s="191"/>
      <c r="S544" s="191"/>
      <c r="T544" s="191"/>
      <c r="U544" s="191"/>
    </row>
    <row r="545" spans="1:21" x14ac:dyDescent="0.3">
      <c r="A545" s="195">
        <v>7960000</v>
      </c>
      <c r="B545" s="6">
        <v>945900</v>
      </c>
      <c r="C545" s="10">
        <v>896360</v>
      </c>
      <c r="D545" s="11">
        <v>755880</v>
      </c>
      <c r="E545" s="6">
        <v>725880</v>
      </c>
      <c r="F545" s="6">
        <v>695880</v>
      </c>
      <c r="G545" s="6">
        <v>665880</v>
      </c>
      <c r="H545" s="6">
        <v>635880</v>
      </c>
      <c r="I545" s="6">
        <v>605880</v>
      </c>
      <c r="J545" s="6">
        <v>630610</v>
      </c>
      <c r="K545" s="6">
        <v>600610</v>
      </c>
      <c r="L545" s="6">
        <v>570610</v>
      </c>
      <c r="M545" s="191"/>
      <c r="N545" s="191"/>
      <c r="O545" s="191"/>
      <c r="P545" s="191"/>
      <c r="Q545" s="191"/>
      <c r="R545" s="191"/>
      <c r="S545" s="191"/>
      <c r="T545" s="191"/>
      <c r="U545" s="191"/>
    </row>
    <row r="546" spans="1:21" x14ac:dyDescent="0.3">
      <c r="A546" s="195">
        <v>7980000</v>
      </c>
      <c r="B546" s="6">
        <v>950430</v>
      </c>
      <c r="C546" s="10">
        <v>900870</v>
      </c>
      <c r="D546" s="11">
        <v>760100</v>
      </c>
      <c r="E546" s="6">
        <v>730100</v>
      </c>
      <c r="F546" s="6">
        <v>700100</v>
      </c>
      <c r="G546" s="6">
        <v>670100</v>
      </c>
      <c r="H546" s="6">
        <v>640100</v>
      </c>
      <c r="I546" s="6">
        <v>610100</v>
      </c>
      <c r="J546" s="6">
        <v>634830</v>
      </c>
      <c r="K546" s="6">
        <v>604830</v>
      </c>
      <c r="L546" s="6">
        <v>574830</v>
      </c>
      <c r="M546" s="191"/>
      <c r="N546" s="191"/>
      <c r="O546" s="191"/>
      <c r="P546" s="191"/>
      <c r="Q546" s="191"/>
      <c r="R546" s="191"/>
      <c r="S546" s="191"/>
      <c r="T546" s="191"/>
      <c r="U546" s="191"/>
    </row>
    <row r="547" spans="1:21" x14ac:dyDescent="0.3">
      <c r="A547" s="195">
        <v>8000000</v>
      </c>
      <c r="B547" s="6">
        <v>954970</v>
      </c>
      <c r="C547" s="10">
        <v>905380</v>
      </c>
      <c r="D547" s="11">
        <v>764320</v>
      </c>
      <c r="E547" s="6">
        <v>734320</v>
      </c>
      <c r="F547" s="6">
        <v>704320</v>
      </c>
      <c r="G547" s="6">
        <v>674320</v>
      </c>
      <c r="H547" s="6">
        <v>644320</v>
      </c>
      <c r="I547" s="6">
        <v>614320</v>
      </c>
      <c r="J547" s="6">
        <v>639060</v>
      </c>
      <c r="K547" s="6">
        <v>609060</v>
      </c>
      <c r="L547" s="6">
        <v>579060</v>
      </c>
      <c r="M547" s="191"/>
      <c r="N547" s="191"/>
      <c r="O547" s="191"/>
      <c r="P547" s="191"/>
      <c r="Q547" s="191"/>
      <c r="R547" s="191"/>
      <c r="S547" s="191"/>
      <c r="T547" s="191"/>
      <c r="U547" s="191"/>
    </row>
    <row r="548" spans="1:21" x14ac:dyDescent="0.3">
      <c r="A548" s="195">
        <v>8020000</v>
      </c>
      <c r="B548" s="6">
        <v>959500</v>
      </c>
      <c r="C548" s="10">
        <v>909890</v>
      </c>
      <c r="D548" s="11">
        <v>768550</v>
      </c>
      <c r="E548" s="6">
        <v>738550</v>
      </c>
      <c r="F548" s="6">
        <v>708550</v>
      </c>
      <c r="G548" s="6">
        <v>678550</v>
      </c>
      <c r="H548" s="6">
        <v>648550</v>
      </c>
      <c r="I548" s="6">
        <v>618550</v>
      </c>
      <c r="J548" s="6">
        <v>643280</v>
      </c>
      <c r="K548" s="6">
        <v>613280</v>
      </c>
      <c r="L548" s="6">
        <v>583280</v>
      </c>
      <c r="M548" s="191"/>
      <c r="N548" s="191"/>
      <c r="O548" s="191"/>
      <c r="P548" s="191"/>
      <c r="Q548" s="191"/>
      <c r="R548" s="191"/>
      <c r="S548" s="191"/>
      <c r="T548" s="191"/>
      <c r="U548" s="191"/>
    </row>
    <row r="549" spans="1:21" x14ac:dyDescent="0.3">
      <c r="A549" s="195">
        <v>8040000</v>
      </c>
      <c r="B549" s="6">
        <v>964040</v>
      </c>
      <c r="C549" s="10">
        <v>914400</v>
      </c>
      <c r="D549" s="11">
        <v>772770</v>
      </c>
      <c r="E549" s="6">
        <v>742770</v>
      </c>
      <c r="F549" s="6">
        <v>712770</v>
      </c>
      <c r="G549" s="6">
        <v>682770</v>
      </c>
      <c r="H549" s="6">
        <v>652770</v>
      </c>
      <c r="I549" s="6">
        <v>622770</v>
      </c>
      <c r="J549" s="6">
        <v>647500</v>
      </c>
      <c r="K549" s="6">
        <v>617500</v>
      </c>
      <c r="L549" s="6">
        <v>587500</v>
      </c>
      <c r="M549" s="191"/>
      <c r="N549" s="191"/>
      <c r="O549" s="191"/>
      <c r="P549" s="191"/>
      <c r="Q549" s="191"/>
      <c r="R549" s="191"/>
      <c r="S549" s="191"/>
      <c r="T549" s="191"/>
      <c r="U549" s="191"/>
    </row>
    <row r="550" spans="1:21" x14ac:dyDescent="0.3">
      <c r="A550" s="195">
        <v>8060000</v>
      </c>
      <c r="B550" s="6">
        <v>968580</v>
      </c>
      <c r="C550" s="10">
        <v>918920</v>
      </c>
      <c r="D550" s="11">
        <v>777000</v>
      </c>
      <c r="E550" s="6">
        <v>747000</v>
      </c>
      <c r="F550" s="6">
        <v>717000</v>
      </c>
      <c r="G550" s="6">
        <v>687000</v>
      </c>
      <c r="H550" s="6">
        <v>657000</v>
      </c>
      <c r="I550" s="6">
        <v>627000</v>
      </c>
      <c r="J550" s="6">
        <v>651730</v>
      </c>
      <c r="K550" s="6">
        <v>621730</v>
      </c>
      <c r="L550" s="6">
        <v>591730</v>
      </c>
      <c r="M550" s="191"/>
      <c r="N550" s="191"/>
      <c r="O550" s="191"/>
      <c r="P550" s="191"/>
      <c r="Q550" s="191"/>
      <c r="R550" s="191"/>
      <c r="S550" s="191"/>
      <c r="T550" s="191"/>
      <c r="U550" s="191"/>
    </row>
    <row r="551" spans="1:21" x14ac:dyDescent="0.3">
      <c r="A551" s="195">
        <v>8080000</v>
      </c>
      <c r="B551" s="6">
        <v>973110</v>
      </c>
      <c r="C551" s="10">
        <v>923430</v>
      </c>
      <c r="D551" s="11">
        <v>781220</v>
      </c>
      <c r="E551" s="6">
        <v>751220</v>
      </c>
      <c r="F551" s="6">
        <v>721220</v>
      </c>
      <c r="G551" s="6">
        <v>691220</v>
      </c>
      <c r="H551" s="6">
        <v>661220</v>
      </c>
      <c r="I551" s="6">
        <v>631220</v>
      </c>
      <c r="J551" s="6">
        <v>655950</v>
      </c>
      <c r="K551" s="6">
        <v>625950</v>
      </c>
      <c r="L551" s="6">
        <v>595950</v>
      </c>
      <c r="M551" s="191"/>
      <c r="N551" s="191"/>
      <c r="O551" s="191"/>
      <c r="P551" s="191"/>
      <c r="Q551" s="191"/>
      <c r="R551" s="191"/>
      <c r="S551" s="191"/>
      <c r="T551" s="191"/>
      <c r="U551" s="191"/>
    </row>
    <row r="552" spans="1:21" x14ac:dyDescent="0.3">
      <c r="A552" s="195">
        <v>8100000</v>
      </c>
      <c r="B552" s="6">
        <v>977650</v>
      </c>
      <c r="C552" s="10">
        <v>927940</v>
      </c>
      <c r="D552" s="11">
        <v>785440</v>
      </c>
      <c r="E552" s="6">
        <v>755440</v>
      </c>
      <c r="F552" s="6">
        <v>725440</v>
      </c>
      <c r="G552" s="6">
        <v>695440</v>
      </c>
      <c r="H552" s="6">
        <v>665440</v>
      </c>
      <c r="I552" s="6">
        <v>635440</v>
      </c>
      <c r="J552" s="6">
        <v>660180</v>
      </c>
      <c r="K552" s="6">
        <v>630180</v>
      </c>
      <c r="L552" s="6">
        <v>600180</v>
      </c>
      <c r="M552" s="191"/>
      <c r="N552" s="191"/>
      <c r="O552" s="191"/>
      <c r="P552" s="191"/>
      <c r="Q552" s="191"/>
      <c r="R552" s="191"/>
      <c r="S552" s="191"/>
      <c r="T552" s="191"/>
      <c r="U552" s="191"/>
    </row>
    <row r="553" spans="1:21" x14ac:dyDescent="0.3">
      <c r="A553" s="195">
        <v>8120000</v>
      </c>
      <c r="B553" s="6">
        <v>982180</v>
      </c>
      <c r="C553" s="10">
        <v>932450</v>
      </c>
      <c r="D553" s="11">
        <v>789670</v>
      </c>
      <c r="E553" s="6">
        <v>759670</v>
      </c>
      <c r="F553" s="6">
        <v>729670</v>
      </c>
      <c r="G553" s="6">
        <v>699670</v>
      </c>
      <c r="H553" s="6">
        <v>669670</v>
      </c>
      <c r="I553" s="6">
        <v>639670</v>
      </c>
      <c r="J553" s="6">
        <v>664400</v>
      </c>
      <c r="K553" s="6">
        <v>634400</v>
      </c>
      <c r="L553" s="6">
        <v>604400</v>
      </c>
      <c r="M553" s="191"/>
      <c r="N553" s="191"/>
      <c r="O553" s="191"/>
      <c r="P553" s="191"/>
      <c r="Q553" s="191"/>
      <c r="R553" s="191"/>
      <c r="S553" s="191"/>
      <c r="T553" s="191"/>
      <c r="U553" s="191"/>
    </row>
    <row r="554" spans="1:21" x14ac:dyDescent="0.3">
      <c r="A554" s="195">
        <v>8140000</v>
      </c>
      <c r="B554" s="6">
        <v>986720</v>
      </c>
      <c r="C554" s="10">
        <v>936960</v>
      </c>
      <c r="D554" s="11">
        <v>793890</v>
      </c>
      <c r="E554" s="6">
        <v>763890</v>
      </c>
      <c r="F554" s="6">
        <v>733890</v>
      </c>
      <c r="G554" s="6">
        <v>703890</v>
      </c>
      <c r="H554" s="6">
        <v>673890</v>
      </c>
      <c r="I554" s="6">
        <v>643890</v>
      </c>
      <c r="J554" s="6">
        <v>668620</v>
      </c>
      <c r="K554" s="6">
        <v>638620</v>
      </c>
      <c r="L554" s="6">
        <v>608620</v>
      </c>
      <c r="M554" s="191"/>
      <c r="N554" s="191"/>
      <c r="O554" s="191"/>
      <c r="P554" s="191"/>
      <c r="Q554" s="191"/>
      <c r="R554" s="191"/>
      <c r="S554" s="191"/>
      <c r="T554" s="191"/>
      <c r="U554" s="191"/>
    </row>
    <row r="555" spans="1:21" x14ac:dyDescent="0.3">
      <c r="A555" s="195">
        <v>8160000</v>
      </c>
      <c r="B555" s="6">
        <v>991260</v>
      </c>
      <c r="C555" s="10">
        <v>941480</v>
      </c>
      <c r="D555" s="11">
        <v>798120</v>
      </c>
      <c r="E555" s="6">
        <v>768120</v>
      </c>
      <c r="F555" s="6">
        <v>738120</v>
      </c>
      <c r="G555" s="6">
        <v>708120</v>
      </c>
      <c r="H555" s="6">
        <v>678120</v>
      </c>
      <c r="I555" s="6">
        <v>648120</v>
      </c>
      <c r="J555" s="6">
        <v>672850</v>
      </c>
      <c r="K555" s="6">
        <v>642850</v>
      </c>
      <c r="L555" s="6">
        <v>612850</v>
      </c>
      <c r="M555" s="191"/>
      <c r="N555" s="191"/>
      <c r="O555" s="191"/>
      <c r="P555" s="191"/>
      <c r="Q555" s="191"/>
      <c r="R555" s="191"/>
      <c r="S555" s="191"/>
      <c r="T555" s="191"/>
      <c r="U555" s="191"/>
    </row>
    <row r="556" spans="1:21" x14ac:dyDescent="0.3">
      <c r="A556" s="195">
        <v>8180000</v>
      </c>
      <c r="B556" s="6">
        <v>995790</v>
      </c>
      <c r="C556" s="10">
        <v>945990</v>
      </c>
      <c r="D556" s="11">
        <v>802340</v>
      </c>
      <c r="E556" s="6">
        <v>772340</v>
      </c>
      <c r="F556" s="6">
        <v>742340</v>
      </c>
      <c r="G556" s="6">
        <v>712340</v>
      </c>
      <c r="H556" s="6">
        <v>682340</v>
      </c>
      <c r="I556" s="6">
        <v>652340</v>
      </c>
      <c r="J556" s="6">
        <v>677070</v>
      </c>
      <c r="K556" s="6">
        <v>647070</v>
      </c>
      <c r="L556" s="6">
        <v>617070</v>
      </c>
      <c r="M556" s="191"/>
      <c r="N556" s="191"/>
      <c r="O556" s="191"/>
      <c r="P556" s="191"/>
      <c r="Q556" s="191"/>
      <c r="R556" s="191"/>
      <c r="S556" s="191"/>
      <c r="T556" s="191"/>
      <c r="U556" s="191"/>
    </row>
    <row r="557" spans="1:21" x14ac:dyDescent="0.3">
      <c r="A557" s="195">
        <v>8200000</v>
      </c>
      <c r="B557" s="6">
        <v>1000330</v>
      </c>
      <c r="C557" s="10">
        <v>950500</v>
      </c>
      <c r="D557" s="11">
        <v>806560</v>
      </c>
      <c r="E557" s="6">
        <v>776560</v>
      </c>
      <c r="F557" s="6">
        <v>746560</v>
      </c>
      <c r="G557" s="6">
        <v>716560</v>
      </c>
      <c r="H557" s="6">
        <v>686560</v>
      </c>
      <c r="I557" s="6">
        <v>656560</v>
      </c>
      <c r="J557" s="6">
        <v>681300</v>
      </c>
      <c r="K557" s="6">
        <v>651300</v>
      </c>
      <c r="L557" s="6">
        <v>621300</v>
      </c>
      <c r="M557" s="191"/>
      <c r="N557" s="191"/>
      <c r="O557" s="191"/>
      <c r="P557" s="191"/>
      <c r="Q557" s="191"/>
      <c r="R557" s="191"/>
      <c r="S557" s="191"/>
      <c r="T557" s="191"/>
      <c r="U557" s="191"/>
    </row>
    <row r="558" spans="1:21" x14ac:dyDescent="0.3">
      <c r="A558" s="195">
        <v>8220000</v>
      </c>
      <c r="B558" s="6">
        <v>1004860</v>
      </c>
      <c r="C558" s="10">
        <v>955010</v>
      </c>
      <c r="D558" s="11">
        <v>810790</v>
      </c>
      <c r="E558" s="6">
        <v>780790</v>
      </c>
      <c r="F558" s="6">
        <v>750790</v>
      </c>
      <c r="G558" s="6">
        <v>720790</v>
      </c>
      <c r="H558" s="6">
        <v>690790</v>
      </c>
      <c r="I558" s="6">
        <v>660790</v>
      </c>
      <c r="J558" s="6">
        <v>685520</v>
      </c>
      <c r="K558" s="6">
        <v>655520</v>
      </c>
      <c r="L558" s="6">
        <v>625520</v>
      </c>
      <c r="M558" s="191"/>
      <c r="N558" s="191"/>
      <c r="O558" s="191"/>
      <c r="P558" s="191"/>
      <c r="Q558" s="191"/>
      <c r="R558" s="191"/>
      <c r="S558" s="191"/>
      <c r="T558" s="191"/>
      <c r="U558" s="191"/>
    </row>
    <row r="559" spans="1:21" x14ac:dyDescent="0.3">
      <c r="A559" s="195">
        <v>8240000</v>
      </c>
      <c r="B559" s="6">
        <v>1009400</v>
      </c>
      <c r="C559" s="10">
        <v>959520</v>
      </c>
      <c r="D559" s="11">
        <v>815010</v>
      </c>
      <c r="E559" s="6">
        <v>785010</v>
      </c>
      <c r="F559" s="6">
        <v>755010</v>
      </c>
      <c r="G559" s="6">
        <v>725010</v>
      </c>
      <c r="H559" s="6">
        <v>695010</v>
      </c>
      <c r="I559" s="6">
        <v>665010</v>
      </c>
      <c r="J559" s="6">
        <v>689740</v>
      </c>
      <c r="K559" s="6">
        <v>659740</v>
      </c>
      <c r="L559" s="6">
        <v>629740</v>
      </c>
      <c r="M559" s="191"/>
      <c r="N559" s="191"/>
      <c r="O559" s="191"/>
      <c r="P559" s="191"/>
      <c r="Q559" s="191"/>
      <c r="R559" s="191"/>
      <c r="S559" s="191"/>
      <c r="T559" s="191"/>
      <c r="U559" s="191"/>
    </row>
    <row r="560" spans="1:21" x14ac:dyDescent="0.3">
      <c r="A560" s="195">
        <v>8260000</v>
      </c>
      <c r="B560" s="6">
        <v>1013940</v>
      </c>
      <c r="C560" s="10">
        <v>964040</v>
      </c>
      <c r="D560" s="11">
        <v>819240</v>
      </c>
      <c r="E560" s="6">
        <v>789240</v>
      </c>
      <c r="F560" s="6">
        <v>759240</v>
      </c>
      <c r="G560" s="6">
        <v>729240</v>
      </c>
      <c r="H560" s="6">
        <v>699240</v>
      </c>
      <c r="I560" s="6">
        <v>669240</v>
      </c>
      <c r="J560" s="6">
        <v>693970</v>
      </c>
      <c r="K560" s="6">
        <v>663970</v>
      </c>
      <c r="L560" s="6">
        <v>633970</v>
      </c>
      <c r="M560" s="191"/>
      <c r="N560" s="191"/>
      <c r="O560" s="191"/>
      <c r="P560" s="191"/>
      <c r="Q560" s="191"/>
      <c r="R560" s="191"/>
      <c r="S560" s="191"/>
      <c r="T560" s="191"/>
      <c r="U560" s="191"/>
    </row>
    <row r="561" spans="1:21" x14ac:dyDescent="0.3">
      <c r="A561" s="195">
        <v>8280000</v>
      </c>
      <c r="B561" s="6">
        <v>1018470</v>
      </c>
      <c r="C561" s="10">
        <v>968550</v>
      </c>
      <c r="D561" s="11">
        <v>823460</v>
      </c>
      <c r="E561" s="6">
        <v>793460</v>
      </c>
      <c r="F561" s="6">
        <v>763460</v>
      </c>
      <c r="G561" s="6">
        <v>733460</v>
      </c>
      <c r="H561" s="6">
        <v>703460</v>
      </c>
      <c r="I561" s="6">
        <v>673460</v>
      </c>
      <c r="J561" s="6">
        <v>698190</v>
      </c>
      <c r="K561" s="6">
        <v>668190</v>
      </c>
      <c r="L561" s="6">
        <v>638190</v>
      </c>
      <c r="M561" s="191"/>
      <c r="N561" s="191"/>
      <c r="O561" s="191"/>
      <c r="P561" s="191"/>
      <c r="Q561" s="191"/>
      <c r="R561" s="191"/>
      <c r="S561" s="191"/>
      <c r="T561" s="191"/>
      <c r="U561" s="191"/>
    </row>
    <row r="562" spans="1:21" x14ac:dyDescent="0.3">
      <c r="A562" s="195">
        <v>8300000</v>
      </c>
      <c r="B562" s="6">
        <v>1023010</v>
      </c>
      <c r="C562" s="10">
        <v>973060</v>
      </c>
      <c r="D562" s="11">
        <v>827680</v>
      </c>
      <c r="E562" s="6">
        <v>797680</v>
      </c>
      <c r="F562" s="6">
        <v>767680</v>
      </c>
      <c r="G562" s="6">
        <v>737680</v>
      </c>
      <c r="H562" s="6">
        <v>707680</v>
      </c>
      <c r="I562" s="6">
        <v>677680</v>
      </c>
      <c r="J562" s="6">
        <v>702420</v>
      </c>
      <c r="K562" s="6">
        <v>672420</v>
      </c>
      <c r="L562" s="6">
        <v>642420</v>
      </c>
      <c r="M562" s="191"/>
      <c r="N562" s="191"/>
      <c r="O562" s="191"/>
      <c r="P562" s="191"/>
      <c r="Q562" s="191"/>
      <c r="R562" s="191"/>
      <c r="S562" s="191"/>
      <c r="T562" s="191"/>
      <c r="U562" s="191"/>
    </row>
    <row r="563" spans="1:21" x14ac:dyDescent="0.3">
      <c r="A563" s="195">
        <v>8320000</v>
      </c>
      <c r="B563" s="6">
        <v>1027540</v>
      </c>
      <c r="C563" s="10">
        <v>977570</v>
      </c>
      <c r="D563" s="11">
        <v>831910</v>
      </c>
      <c r="E563" s="6">
        <v>801910</v>
      </c>
      <c r="F563" s="6">
        <v>771910</v>
      </c>
      <c r="G563" s="6">
        <v>741910</v>
      </c>
      <c r="H563" s="6">
        <v>711910</v>
      </c>
      <c r="I563" s="6">
        <v>681910</v>
      </c>
      <c r="J563" s="6">
        <v>706640</v>
      </c>
      <c r="K563" s="6">
        <v>676640</v>
      </c>
      <c r="L563" s="6">
        <v>646640</v>
      </c>
      <c r="M563" s="191"/>
      <c r="N563" s="191"/>
      <c r="O563" s="191"/>
      <c r="P563" s="191"/>
      <c r="Q563" s="191"/>
      <c r="R563" s="191"/>
      <c r="S563" s="191"/>
      <c r="T563" s="191"/>
      <c r="U563" s="191"/>
    </row>
    <row r="564" spans="1:21" x14ac:dyDescent="0.3">
      <c r="A564" s="195">
        <v>8340000</v>
      </c>
      <c r="B564" s="6">
        <v>1032080</v>
      </c>
      <c r="C564" s="10">
        <v>982080</v>
      </c>
      <c r="D564" s="11">
        <v>836130</v>
      </c>
      <c r="E564" s="6">
        <v>806130</v>
      </c>
      <c r="F564" s="6">
        <v>776130</v>
      </c>
      <c r="G564" s="6">
        <v>746130</v>
      </c>
      <c r="H564" s="6">
        <v>716130</v>
      </c>
      <c r="I564" s="6">
        <v>686130</v>
      </c>
      <c r="J564" s="6">
        <v>710980</v>
      </c>
      <c r="K564" s="6">
        <v>680980</v>
      </c>
      <c r="L564" s="6">
        <v>650980</v>
      </c>
      <c r="M564" s="191"/>
      <c r="N564" s="191"/>
      <c r="O564" s="191"/>
      <c r="P564" s="191"/>
      <c r="Q564" s="191"/>
      <c r="R564" s="191"/>
      <c r="S564" s="191"/>
      <c r="T564" s="191"/>
      <c r="U564" s="191"/>
    </row>
    <row r="565" spans="1:21" x14ac:dyDescent="0.3">
      <c r="A565" s="195">
        <v>8360000</v>
      </c>
      <c r="B565" s="6">
        <v>1036740</v>
      </c>
      <c r="C565" s="10">
        <v>986720</v>
      </c>
      <c r="D565" s="11">
        <v>840480</v>
      </c>
      <c r="E565" s="6">
        <v>810480</v>
      </c>
      <c r="F565" s="6">
        <v>780480</v>
      </c>
      <c r="G565" s="6">
        <v>750480</v>
      </c>
      <c r="H565" s="6">
        <v>720480</v>
      </c>
      <c r="I565" s="6">
        <v>690480</v>
      </c>
      <c r="J565" s="6">
        <v>715350</v>
      </c>
      <c r="K565" s="6">
        <v>685350</v>
      </c>
      <c r="L565" s="6">
        <v>655350</v>
      </c>
      <c r="M565" s="191"/>
      <c r="N565" s="191"/>
      <c r="O565" s="191"/>
      <c r="P565" s="191"/>
      <c r="Q565" s="191"/>
      <c r="R565" s="191"/>
      <c r="S565" s="191"/>
      <c r="T565" s="191"/>
      <c r="U565" s="191"/>
    </row>
    <row r="566" spans="1:21" x14ac:dyDescent="0.3">
      <c r="A566" s="195">
        <v>8380000</v>
      </c>
      <c r="B566" s="6">
        <v>1041420</v>
      </c>
      <c r="C566" s="10">
        <v>991370</v>
      </c>
      <c r="D566" s="11">
        <v>844840</v>
      </c>
      <c r="E566" s="6">
        <v>814840</v>
      </c>
      <c r="F566" s="6">
        <v>784840</v>
      </c>
      <c r="G566" s="6">
        <v>754840</v>
      </c>
      <c r="H566" s="6">
        <v>724840</v>
      </c>
      <c r="I566" s="6">
        <v>694840</v>
      </c>
      <c r="J566" s="6">
        <v>719720</v>
      </c>
      <c r="K566" s="6">
        <v>689720</v>
      </c>
      <c r="L566" s="6">
        <v>659720</v>
      </c>
      <c r="M566" s="191"/>
      <c r="N566" s="191"/>
      <c r="O566" s="191"/>
      <c r="P566" s="191"/>
      <c r="Q566" s="191"/>
      <c r="R566" s="191"/>
      <c r="S566" s="191"/>
      <c r="T566" s="191"/>
      <c r="U566" s="191"/>
    </row>
    <row r="567" spans="1:21" x14ac:dyDescent="0.3">
      <c r="A567" s="195">
        <v>8400000</v>
      </c>
      <c r="B567" s="6">
        <v>1046100</v>
      </c>
      <c r="C567" s="10">
        <v>996030</v>
      </c>
      <c r="D567" s="11">
        <v>849210</v>
      </c>
      <c r="E567" s="6">
        <v>819210</v>
      </c>
      <c r="F567" s="6">
        <v>789210</v>
      </c>
      <c r="G567" s="6">
        <v>759210</v>
      </c>
      <c r="H567" s="6">
        <v>729210</v>
      </c>
      <c r="I567" s="6">
        <v>699210</v>
      </c>
      <c r="J567" s="6">
        <v>724090</v>
      </c>
      <c r="K567" s="6">
        <v>694090</v>
      </c>
      <c r="L567" s="6">
        <v>664090</v>
      </c>
      <c r="M567" s="191"/>
      <c r="N567" s="191"/>
      <c r="O567" s="191"/>
      <c r="P567" s="191"/>
      <c r="Q567" s="191"/>
      <c r="R567" s="191"/>
      <c r="S567" s="191"/>
      <c r="T567" s="191"/>
      <c r="U567" s="191"/>
    </row>
    <row r="568" spans="1:21" x14ac:dyDescent="0.3">
      <c r="A568" s="195">
        <v>8420000</v>
      </c>
      <c r="B568" s="6">
        <v>1050780</v>
      </c>
      <c r="C568" s="10">
        <v>1000680</v>
      </c>
      <c r="D568" s="11">
        <v>853580</v>
      </c>
      <c r="E568" s="6">
        <v>823580</v>
      </c>
      <c r="F568" s="6">
        <v>793580</v>
      </c>
      <c r="G568" s="6">
        <v>763580</v>
      </c>
      <c r="H568" s="6">
        <v>733580</v>
      </c>
      <c r="I568" s="6">
        <v>703580</v>
      </c>
      <c r="J568" s="6">
        <v>728460</v>
      </c>
      <c r="K568" s="6">
        <v>698460</v>
      </c>
      <c r="L568" s="6">
        <v>668460</v>
      </c>
      <c r="M568" s="191"/>
      <c r="N568" s="191"/>
      <c r="O568" s="191"/>
      <c r="P568" s="191"/>
      <c r="Q568" s="191"/>
      <c r="R568" s="191"/>
      <c r="S568" s="191"/>
      <c r="T568" s="191"/>
      <c r="U568" s="191"/>
    </row>
    <row r="569" spans="1:21" x14ac:dyDescent="0.3">
      <c r="A569" s="195">
        <v>8440000</v>
      </c>
      <c r="B569" s="6">
        <v>1055460</v>
      </c>
      <c r="C569" s="10">
        <v>1005340</v>
      </c>
      <c r="D569" s="11">
        <v>857950</v>
      </c>
      <c r="E569" s="6">
        <v>827950</v>
      </c>
      <c r="F569" s="6">
        <v>797950</v>
      </c>
      <c r="G569" s="6">
        <v>767950</v>
      </c>
      <c r="H569" s="6">
        <v>737950</v>
      </c>
      <c r="I569" s="6">
        <v>707950</v>
      </c>
      <c r="J569" s="6">
        <v>732820</v>
      </c>
      <c r="K569" s="6">
        <v>702820</v>
      </c>
      <c r="L569" s="6">
        <v>672820</v>
      </c>
      <c r="M569" s="191"/>
      <c r="N569" s="191"/>
      <c r="O569" s="191"/>
      <c r="P569" s="191"/>
      <c r="Q569" s="191"/>
      <c r="R569" s="191"/>
      <c r="S569" s="191"/>
      <c r="T569" s="191"/>
      <c r="U569" s="191"/>
    </row>
    <row r="570" spans="1:21" x14ac:dyDescent="0.3">
      <c r="A570" s="195">
        <v>8460000</v>
      </c>
      <c r="B570" s="6">
        <v>1060140</v>
      </c>
      <c r="C570" s="10">
        <v>1010000</v>
      </c>
      <c r="D570" s="11">
        <v>862320</v>
      </c>
      <c r="E570" s="6">
        <v>832320</v>
      </c>
      <c r="F570" s="6">
        <v>802320</v>
      </c>
      <c r="G570" s="6">
        <v>772320</v>
      </c>
      <c r="H570" s="6">
        <v>742320</v>
      </c>
      <c r="I570" s="6">
        <v>712320</v>
      </c>
      <c r="J570" s="6">
        <v>737190</v>
      </c>
      <c r="K570" s="6">
        <v>707190</v>
      </c>
      <c r="L570" s="6">
        <v>677190</v>
      </c>
      <c r="M570" s="191"/>
      <c r="N570" s="191"/>
      <c r="O570" s="191"/>
      <c r="P570" s="191"/>
      <c r="Q570" s="191"/>
      <c r="R570" s="191"/>
      <c r="S570" s="191"/>
      <c r="T570" s="191"/>
      <c r="U570" s="191"/>
    </row>
    <row r="571" spans="1:21" x14ac:dyDescent="0.3">
      <c r="A571" s="195">
        <v>8480000</v>
      </c>
      <c r="B571" s="6">
        <v>1064820</v>
      </c>
      <c r="C571" s="10">
        <v>1014650</v>
      </c>
      <c r="D571" s="11">
        <v>866680</v>
      </c>
      <c r="E571" s="6">
        <v>836680</v>
      </c>
      <c r="F571" s="6">
        <v>806680</v>
      </c>
      <c r="G571" s="6">
        <v>776680</v>
      </c>
      <c r="H571" s="6">
        <v>746680</v>
      </c>
      <c r="I571" s="6">
        <v>716680</v>
      </c>
      <c r="J571" s="6">
        <v>741560</v>
      </c>
      <c r="K571" s="6">
        <v>711560</v>
      </c>
      <c r="L571" s="6">
        <v>681560</v>
      </c>
      <c r="M571" s="191"/>
      <c r="N571" s="191"/>
      <c r="O571" s="191"/>
      <c r="P571" s="191"/>
      <c r="Q571" s="191"/>
      <c r="R571" s="191"/>
      <c r="S571" s="191"/>
      <c r="T571" s="191"/>
      <c r="U571" s="191"/>
    </row>
    <row r="572" spans="1:21" x14ac:dyDescent="0.3">
      <c r="A572" s="195">
        <v>8500000</v>
      </c>
      <c r="B572" s="6">
        <v>1069500</v>
      </c>
      <c r="C572" s="10">
        <v>1019310</v>
      </c>
      <c r="D572" s="11">
        <v>871050</v>
      </c>
      <c r="E572" s="6">
        <v>841050</v>
      </c>
      <c r="F572" s="6">
        <v>811050</v>
      </c>
      <c r="G572" s="6">
        <v>781050</v>
      </c>
      <c r="H572" s="6">
        <v>751050</v>
      </c>
      <c r="I572" s="6">
        <v>721050</v>
      </c>
      <c r="J572" s="6">
        <v>745930</v>
      </c>
      <c r="K572" s="6">
        <v>715930</v>
      </c>
      <c r="L572" s="6">
        <v>685930</v>
      </c>
      <c r="M572" s="191"/>
      <c r="N572" s="191"/>
      <c r="O572" s="191"/>
      <c r="P572" s="191"/>
      <c r="Q572" s="191"/>
      <c r="R572" s="191"/>
      <c r="S572" s="191"/>
      <c r="T572" s="191"/>
      <c r="U572" s="191"/>
    </row>
    <row r="573" spans="1:21" x14ac:dyDescent="0.3">
      <c r="A573" s="195">
        <v>8520000</v>
      </c>
      <c r="B573" s="6">
        <v>1074180</v>
      </c>
      <c r="C573" s="10">
        <v>1023960</v>
      </c>
      <c r="D573" s="11">
        <v>875420</v>
      </c>
      <c r="E573" s="6">
        <v>845420</v>
      </c>
      <c r="F573" s="6">
        <v>815420</v>
      </c>
      <c r="G573" s="6">
        <v>785420</v>
      </c>
      <c r="H573" s="6">
        <v>755420</v>
      </c>
      <c r="I573" s="6">
        <v>725420</v>
      </c>
      <c r="J573" s="6">
        <v>750300</v>
      </c>
      <c r="K573" s="6">
        <v>720300</v>
      </c>
      <c r="L573" s="6">
        <v>690300</v>
      </c>
      <c r="M573" s="191"/>
      <c r="N573" s="191"/>
      <c r="O573" s="191"/>
      <c r="P573" s="191"/>
      <c r="Q573" s="191"/>
      <c r="R573" s="191"/>
      <c r="S573" s="191"/>
      <c r="T573" s="191"/>
      <c r="U573" s="191"/>
    </row>
    <row r="574" spans="1:21" x14ac:dyDescent="0.3">
      <c r="A574" s="195">
        <v>8540000</v>
      </c>
      <c r="B574" s="6">
        <v>1078860</v>
      </c>
      <c r="C574" s="10">
        <v>1028620</v>
      </c>
      <c r="D574" s="11">
        <v>879790</v>
      </c>
      <c r="E574" s="6">
        <v>849790</v>
      </c>
      <c r="F574" s="6">
        <v>819790</v>
      </c>
      <c r="G574" s="6">
        <v>789790</v>
      </c>
      <c r="H574" s="6">
        <v>759790</v>
      </c>
      <c r="I574" s="6">
        <v>729790</v>
      </c>
      <c r="J574" s="6">
        <v>754660</v>
      </c>
      <c r="K574" s="6">
        <v>724660</v>
      </c>
      <c r="L574" s="6">
        <v>694660</v>
      </c>
      <c r="M574" s="191"/>
      <c r="N574" s="191"/>
      <c r="O574" s="191"/>
      <c r="P574" s="191"/>
      <c r="Q574" s="191"/>
      <c r="R574" s="191"/>
      <c r="S574" s="191"/>
      <c r="T574" s="191"/>
      <c r="U574" s="191"/>
    </row>
    <row r="575" spans="1:21" x14ac:dyDescent="0.3">
      <c r="A575" s="195">
        <v>8560000</v>
      </c>
      <c r="B575" s="6">
        <v>1083540</v>
      </c>
      <c r="C575" s="10">
        <v>1033280</v>
      </c>
      <c r="D575" s="11">
        <v>884160</v>
      </c>
      <c r="E575" s="6">
        <v>854160</v>
      </c>
      <c r="F575" s="6">
        <v>824160</v>
      </c>
      <c r="G575" s="6">
        <v>794160</v>
      </c>
      <c r="H575" s="6">
        <v>764160</v>
      </c>
      <c r="I575" s="6">
        <v>734160</v>
      </c>
      <c r="J575" s="6">
        <v>759030</v>
      </c>
      <c r="K575" s="6">
        <v>729030</v>
      </c>
      <c r="L575" s="6">
        <v>699030</v>
      </c>
      <c r="M575" s="191"/>
      <c r="N575" s="191"/>
      <c r="O575" s="191"/>
      <c r="P575" s="191"/>
      <c r="Q575" s="191"/>
      <c r="R575" s="191"/>
      <c r="S575" s="191"/>
      <c r="T575" s="191"/>
      <c r="U575" s="191"/>
    </row>
    <row r="576" spans="1:21" x14ac:dyDescent="0.3">
      <c r="A576" s="195">
        <v>8580000</v>
      </c>
      <c r="B576" s="6">
        <v>1088220</v>
      </c>
      <c r="C576" s="10">
        <v>1037930</v>
      </c>
      <c r="D576" s="11">
        <v>888520</v>
      </c>
      <c r="E576" s="6">
        <v>858520</v>
      </c>
      <c r="F576" s="6">
        <v>828520</v>
      </c>
      <c r="G576" s="6">
        <v>798520</v>
      </c>
      <c r="H576" s="6">
        <v>768520</v>
      </c>
      <c r="I576" s="6">
        <v>738520</v>
      </c>
      <c r="J576" s="6">
        <v>763400</v>
      </c>
      <c r="K576" s="6">
        <v>733400</v>
      </c>
      <c r="L576" s="6">
        <v>703400</v>
      </c>
      <c r="M576" s="191"/>
      <c r="N576" s="191"/>
      <c r="O576" s="191"/>
      <c r="P576" s="191"/>
      <c r="Q576" s="191"/>
      <c r="R576" s="191"/>
      <c r="S576" s="191"/>
      <c r="T576" s="191"/>
      <c r="U576" s="191"/>
    </row>
    <row r="577" spans="1:21" x14ac:dyDescent="0.3">
      <c r="A577" s="195">
        <v>8600000</v>
      </c>
      <c r="B577" s="6">
        <v>1092900</v>
      </c>
      <c r="C577" s="10">
        <v>1042590</v>
      </c>
      <c r="D577" s="11">
        <v>892890</v>
      </c>
      <c r="E577" s="6">
        <v>862890</v>
      </c>
      <c r="F577" s="6">
        <v>832890</v>
      </c>
      <c r="G577" s="6">
        <v>802890</v>
      </c>
      <c r="H577" s="6">
        <v>772890</v>
      </c>
      <c r="I577" s="6">
        <v>742890</v>
      </c>
      <c r="J577" s="6">
        <v>767770</v>
      </c>
      <c r="K577" s="6">
        <v>737770</v>
      </c>
      <c r="L577" s="6">
        <v>707770</v>
      </c>
      <c r="M577" s="191"/>
      <c r="N577" s="191"/>
      <c r="O577" s="191"/>
      <c r="P577" s="191"/>
      <c r="Q577" s="191"/>
      <c r="R577" s="191"/>
      <c r="S577" s="191"/>
      <c r="T577" s="191"/>
      <c r="U577" s="191"/>
    </row>
    <row r="578" spans="1:21" x14ac:dyDescent="0.3">
      <c r="A578" s="195">
        <v>8620000</v>
      </c>
      <c r="B578" s="6">
        <v>1097580</v>
      </c>
      <c r="C578" s="10">
        <v>1047240</v>
      </c>
      <c r="D578" s="11">
        <v>897260</v>
      </c>
      <c r="E578" s="6">
        <v>867260</v>
      </c>
      <c r="F578" s="6">
        <v>837260</v>
      </c>
      <c r="G578" s="6">
        <v>807260</v>
      </c>
      <c r="H578" s="6">
        <v>777260</v>
      </c>
      <c r="I578" s="6">
        <v>747260</v>
      </c>
      <c r="J578" s="6">
        <v>772140</v>
      </c>
      <c r="K578" s="6">
        <v>742140</v>
      </c>
      <c r="L578" s="6">
        <v>712140</v>
      </c>
      <c r="M578" s="191"/>
      <c r="N578" s="191"/>
      <c r="O578" s="191"/>
      <c r="P578" s="191"/>
      <c r="Q578" s="191"/>
      <c r="R578" s="191"/>
      <c r="S578" s="191"/>
      <c r="T578" s="191"/>
      <c r="U578" s="191"/>
    </row>
    <row r="579" spans="1:21" x14ac:dyDescent="0.3">
      <c r="A579" s="195">
        <v>8640000</v>
      </c>
      <c r="B579" s="6">
        <v>1102260</v>
      </c>
      <c r="C579" s="10">
        <v>1051900</v>
      </c>
      <c r="D579" s="11">
        <v>901630</v>
      </c>
      <c r="E579" s="6">
        <v>871630</v>
      </c>
      <c r="F579" s="6">
        <v>841630</v>
      </c>
      <c r="G579" s="6">
        <v>811630</v>
      </c>
      <c r="H579" s="6">
        <v>781630</v>
      </c>
      <c r="I579" s="6">
        <v>751630</v>
      </c>
      <c r="J579" s="6">
        <v>776500</v>
      </c>
      <c r="K579" s="6">
        <v>746500</v>
      </c>
      <c r="L579" s="6">
        <v>716500</v>
      </c>
      <c r="M579" s="191"/>
      <c r="N579" s="191"/>
      <c r="O579" s="191"/>
      <c r="P579" s="191"/>
      <c r="Q579" s="191"/>
      <c r="R579" s="191"/>
      <c r="S579" s="191"/>
      <c r="T579" s="191"/>
      <c r="U579" s="191"/>
    </row>
    <row r="580" spans="1:21" x14ac:dyDescent="0.3">
      <c r="A580" s="195">
        <v>8660000</v>
      </c>
      <c r="B580" s="6">
        <v>1106940</v>
      </c>
      <c r="C580" s="10">
        <v>1056560</v>
      </c>
      <c r="D580" s="11">
        <v>906000</v>
      </c>
      <c r="E580" s="6">
        <v>876000</v>
      </c>
      <c r="F580" s="6">
        <v>846000</v>
      </c>
      <c r="G580" s="6">
        <v>816000</v>
      </c>
      <c r="H580" s="6">
        <v>786000</v>
      </c>
      <c r="I580" s="6">
        <v>756000</v>
      </c>
      <c r="J580" s="6">
        <v>780870</v>
      </c>
      <c r="K580" s="6">
        <v>750870</v>
      </c>
      <c r="L580" s="6">
        <v>720870</v>
      </c>
      <c r="M580" s="191"/>
      <c r="N580" s="191"/>
      <c r="O580" s="191"/>
      <c r="P580" s="191"/>
      <c r="Q580" s="191"/>
      <c r="R580" s="191"/>
      <c r="S580" s="191"/>
      <c r="T580" s="191"/>
      <c r="U580" s="191"/>
    </row>
    <row r="581" spans="1:21" x14ac:dyDescent="0.3">
      <c r="A581" s="195">
        <v>8680000</v>
      </c>
      <c r="B581" s="6">
        <v>1111620</v>
      </c>
      <c r="C581" s="10">
        <v>1061210</v>
      </c>
      <c r="D581" s="11">
        <v>910360</v>
      </c>
      <c r="E581" s="6">
        <v>880360</v>
      </c>
      <c r="F581" s="6">
        <v>850360</v>
      </c>
      <c r="G581" s="6">
        <v>820360</v>
      </c>
      <c r="H581" s="6">
        <v>790360</v>
      </c>
      <c r="I581" s="6">
        <v>760360</v>
      </c>
      <c r="J581" s="6">
        <v>785240</v>
      </c>
      <c r="K581" s="6">
        <v>755240</v>
      </c>
      <c r="L581" s="6">
        <v>725240</v>
      </c>
      <c r="M581" s="191"/>
      <c r="N581" s="191"/>
      <c r="O581" s="191"/>
      <c r="P581" s="191"/>
      <c r="Q581" s="191"/>
      <c r="R581" s="191"/>
      <c r="S581" s="191"/>
      <c r="T581" s="191"/>
      <c r="U581" s="191"/>
    </row>
    <row r="582" spans="1:21" x14ac:dyDescent="0.3">
      <c r="A582" s="195">
        <v>8700000</v>
      </c>
      <c r="B582" s="6">
        <v>1116300</v>
      </c>
      <c r="C582" s="10">
        <v>1065870</v>
      </c>
      <c r="D582" s="11">
        <v>914730</v>
      </c>
      <c r="E582" s="6">
        <v>884730</v>
      </c>
      <c r="F582" s="6">
        <v>854730</v>
      </c>
      <c r="G582" s="6">
        <v>824730</v>
      </c>
      <c r="H582" s="6">
        <v>794730</v>
      </c>
      <c r="I582" s="6">
        <v>764730</v>
      </c>
      <c r="J582" s="6">
        <v>789610</v>
      </c>
      <c r="K582" s="6">
        <v>759610</v>
      </c>
      <c r="L582" s="6">
        <v>729610</v>
      </c>
      <c r="M582" s="191"/>
      <c r="N582" s="191"/>
      <c r="O582" s="191"/>
      <c r="P582" s="191"/>
      <c r="Q582" s="191"/>
      <c r="R582" s="191"/>
      <c r="S582" s="191"/>
      <c r="T582" s="191"/>
      <c r="U582" s="191"/>
    </row>
    <row r="583" spans="1:21" x14ac:dyDescent="0.3">
      <c r="A583" s="195">
        <v>8720000</v>
      </c>
      <c r="B583" s="6">
        <v>1120980</v>
      </c>
      <c r="C583" s="10">
        <v>1070520</v>
      </c>
      <c r="D583" s="11">
        <v>919100</v>
      </c>
      <c r="E583" s="6">
        <v>889100</v>
      </c>
      <c r="F583" s="6">
        <v>859100</v>
      </c>
      <c r="G583" s="6">
        <v>829100</v>
      </c>
      <c r="H583" s="6">
        <v>799100</v>
      </c>
      <c r="I583" s="6">
        <v>769100</v>
      </c>
      <c r="J583" s="6">
        <v>793980</v>
      </c>
      <c r="K583" s="6">
        <v>763980</v>
      </c>
      <c r="L583" s="6">
        <v>733980</v>
      </c>
      <c r="M583" s="191"/>
      <c r="N583" s="191"/>
      <c r="O583" s="191"/>
      <c r="P583" s="191"/>
      <c r="Q583" s="191"/>
      <c r="R583" s="191"/>
      <c r="S583" s="191"/>
      <c r="T583" s="191"/>
      <c r="U583" s="191"/>
    </row>
    <row r="584" spans="1:21" x14ac:dyDescent="0.3">
      <c r="A584" s="195">
        <v>8740000</v>
      </c>
      <c r="B584" s="6">
        <v>1125660</v>
      </c>
      <c r="C584" s="10">
        <v>1075180</v>
      </c>
      <c r="D584" s="11">
        <v>923470</v>
      </c>
      <c r="E584" s="6">
        <v>893470</v>
      </c>
      <c r="F584" s="6">
        <v>863470</v>
      </c>
      <c r="G584" s="6">
        <v>833470</v>
      </c>
      <c r="H584" s="6">
        <v>803470</v>
      </c>
      <c r="I584" s="6">
        <v>773470</v>
      </c>
      <c r="J584" s="6">
        <v>798340</v>
      </c>
      <c r="K584" s="6">
        <v>768340</v>
      </c>
      <c r="L584" s="6">
        <v>738340</v>
      </c>
      <c r="M584" s="191"/>
      <c r="N584" s="191"/>
      <c r="O584" s="191"/>
      <c r="P584" s="191"/>
      <c r="Q584" s="191"/>
      <c r="R584" s="191"/>
      <c r="S584" s="191"/>
      <c r="T584" s="191"/>
      <c r="U584" s="191"/>
    </row>
    <row r="585" spans="1:21" x14ac:dyDescent="0.3">
      <c r="A585" s="195">
        <v>8760000</v>
      </c>
      <c r="B585" s="6">
        <v>1130340</v>
      </c>
      <c r="C585" s="10">
        <v>1079840</v>
      </c>
      <c r="D585" s="11">
        <v>927840</v>
      </c>
      <c r="E585" s="6">
        <v>897840</v>
      </c>
      <c r="F585" s="6">
        <v>867840</v>
      </c>
      <c r="G585" s="6">
        <v>837840</v>
      </c>
      <c r="H585" s="6">
        <v>807840</v>
      </c>
      <c r="I585" s="6">
        <v>777840</v>
      </c>
      <c r="J585" s="6">
        <v>802710</v>
      </c>
      <c r="K585" s="6">
        <v>772710</v>
      </c>
      <c r="L585" s="6">
        <v>742710</v>
      </c>
      <c r="M585" s="191"/>
      <c r="N585" s="191"/>
      <c r="O585" s="191"/>
      <c r="P585" s="191"/>
      <c r="Q585" s="191"/>
      <c r="R585" s="191"/>
      <c r="S585" s="191"/>
      <c r="T585" s="191"/>
      <c r="U585" s="191"/>
    </row>
    <row r="586" spans="1:21" x14ac:dyDescent="0.3">
      <c r="A586" s="195">
        <v>8780000</v>
      </c>
      <c r="B586" s="6">
        <v>1135020</v>
      </c>
      <c r="C586" s="10">
        <v>1084490</v>
      </c>
      <c r="D586" s="11">
        <v>932200</v>
      </c>
      <c r="E586" s="6">
        <v>902200</v>
      </c>
      <c r="F586" s="6">
        <v>872200</v>
      </c>
      <c r="G586" s="6">
        <v>842200</v>
      </c>
      <c r="H586" s="6">
        <v>812200</v>
      </c>
      <c r="I586" s="6">
        <v>782200</v>
      </c>
      <c r="J586" s="6">
        <v>807080</v>
      </c>
      <c r="K586" s="6">
        <v>777080</v>
      </c>
      <c r="L586" s="6">
        <v>747080</v>
      </c>
      <c r="M586" s="191"/>
      <c r="N586" s="191"/>
      <c r="O586" s="191"/>
      <c r="P586" s="191"/>
      <c r="Q586" s="191"/>
      <c r="R586" s="191"/>
      <c r="S586" s="191"/>
      <c r="T586" s="191"/>
      <c r="U586" s="191"/>
    </row>
    <row r="587" spans="1:21" x14ac:dyDescent="0.3">
      <c r="A587" s="195">
        <v>8800000</v>
      </c>
      <c r="B587" s="6">
        <v>1139700</v>
      </c>
      <c r="C587" s="10">
        <v>1089150</v>
      </c>
      <c r="D587" s="11">
        <v>936570</v>
      </c>
      <c r="E587" s="6">
        <v>906570</v>
      </c>
      <c r="F587" s="6">
        <v>876570</v>
      </c>
      <c r="G587" s="6">
        <v>846570</v>
      </c>
      <c r="H587" s="6">
        <v>816570</v>
      </c>
      <c r="I587" s="6">
        <v>786570</v>
      </c>
      <c r="J587" s="6">
        <v>811450</v>
      </c>
      <c r="K587" s="6">
        <v>781450</v>
      </c>
      <c r="L587" s="6">
        <v>751450</v>
      </c>
      <c r="M587" s="191"/>
      <c r="N587" s="191"/>
      <c r="O587" s="191"/>
      <c r="P587" s="191"/>
      <c r="Q587" s="191"/>
      <c r="R587" s="191"/>
      <c r="S587" s="191"/>
      <c r="T587" s="191"/>
      <c r="U587" s="191"/>
    </row>
    <row r="588" spans="1:21" x14ac:dyDescent="0.3">
      <c r="A588" s="195">
        <v>8820000</v>
      </c>
      <c r="B588" s="6">
        <v>1144380</v>
      </c>
      <c r="C588" s="10">
        <v>1093800</v>
      </c>
      <c r="D588" s="11">
        <v>940940</v>
      </c>
      <c r="E588" s="6">
        <v>910940</v>
      </c>
      <c r="F588" s="6">
        <v>880940</v>
      </c>
      <c r="G588" s="6">
        <v>850940</v>
      </c>
      <c r="H588" s="6">
        <v>820940</v>
      </c>
      <c r="I588" s="6">
        <v>790940</v>
      </c>
      <c r="J588" s="6">
        <v>815820</v>
      </c>
      <c r="K588" s="6">
        <v>785820</v>
      </c>
      <c r="L588" s="6">
        <v>755820</v>
      </c>
      <c r="M588" s="191"/>
      <c r="N588" s="191"/>
      <c r="O588" s="191"/>
      <c r="P588" s="191"/>
      <c r="Q588" s="191"/>
      <c r="R588" s="191"/>
      <c r="S588" s="191"/>
      <c r="T588" s="191"/>
      <c r="U588" s="191"/>
    </row>
    <row r="589" spans="1:21" x14ac:dyDescent="0.3">
      <c r="A589" s="195">
        <v>8840000</v>
      </c>
      <c r="B589" s="6">
        <v>1149060</v>
      </c>
      <c r="C589" s="10">
        <v>1098460</v>
      </c>
      <c r="D589" s="11">
        <v>945310</v>
      </c>
      <c r="E589" s="6">
        <v>915310</v>
      </c>
      <c r="F589" s="6">
        <v>885310</v>
      </c>
      <c r="G589" s="6">
        <v>855310</v>
      </c>
      <c r="H589" s="6">
        <v>825310</v>
      </c>
      <c r="I589" s="6">
        <v>795310</v>
      </c>
      <c r="J589" s="6">
        <v>820180</v>
      </c>
      <c r="K589" s="6">
        <v>790180</v>
      </c>
      <c r="L589" s="6">
        <v>760180</v>
      </c>
      <c r="M589" s="191"/>
      <c r="N589" s="191"/>
      <c r="O589" s="191"/>
      <c r="P589" s="191"/>
      <c r="Q589" s="191"/>
      <c r="R589" s="191"/>
      <c r="S589" s="191"/>
      <c r="T589" s="191"/>
      <c r="U589" s="191"/>
    </row>
    <row r="590" spans="1:21" x14ac:dyDescent="0.3">
      <c r="A590" s="195">
        <v>8860000</v>
      </c>
      <c r="B590" s="6">
        <v>1153740</v>
      </c>
      <c r="C590" s="10">
        <v>1103120</v>
      </c>
      <c r="D590" s="11">
        <v>949680</v>
      </c>
      <c r="E590" s="6">
        <v>919680</v>
      </c>
      <c r="F590" s="6">
        <v>889680</v>
      </c>
      <c r="G590" s="6">
        <v>859680</v>
      </c>
      <c r="H590" s="6">
        <v>829680</v>
      </c>
      <c r="I590" s="6">
        <v>799680</v>
      </c>
      <c r="J590" s="6">
        <v>824550</v>
      </c>
      <c r="K590" s="6">
        <v>794550</v>
      </c>
      <c r="L590" s="6">
        <v>764550</v>
      </c>
      <c r="M590" s="191"/>
      <c r="N590" s="191"/>
      <c r="O590" s="191"/>
      <c r="P590" s="191"/>
      <c r="Q590" s="191"/>
      <c r="R590" s="191"/>
      <c r="S590" s="191"/>
      <c r="T590" s="191"/>
      <c r="U590" s="191"/>
    </row>
    <row r="591" spans="1:21" x14ac:dyDescent="0.3">
      <c r="A591" s="195">
        <v>8880000</v>
      </c>
      <c r="B591" s="6">
        <v>1158420</v>
      </c>
      <c r="C591" s="10">
        <v>1107770</v>
      </c>
      <c r="D591" s="11">
        <v>954040</v>
      </c>
      <c r="E591" s="6">
        <v>924040</v>
      </c>
      <c r="F591" s="6">
        <v>894040</v>
      </c>
      <c r="G591" s="6">
        <v>864040</v>
      </c>
      <c r="H591" s="6">
        <v>834040</v>
      </c>
      <c r="I591" s="6">
        <v>804040</v>
      </c>
      <c r="J591" s="6">
        <v>828920</v>
      </c>
      <c r="K591" s="6">
        <v>798920</v>
      </c>
      <c r="L591" s="6">
        <v>768920</v>
      </c>
      <c r="M591" s="191"/>
      <c r="N591" s="191"/>
      <c r="O591" s="191"/>
      <c r="P591" s="191"/>
      <c r="Q591" s="191"/>
      <c r="R591" s="191"/>
      <c r="S591" s="191"/>
      <c r="T591" s="191"/>
      <c r="U591" s="191"/>
    </row>
    <row r="592" spans="1:21" x14ac:dyDescent="0.3">
      <c r="A592" s="195">
        <v>8900000</v>
      </c>
      <c r="B592" s="6">
        <v>1163100</v>
      </c>
      <c r="C592" s="10">
        <v>1112430</v>
      </c>
      <c r="D592" s="11">
        <v>958410</v>
      </c>
      <c r="E592" s="6">
        <v>928410</v>
      </c>
      <c r="F592" s="6">
        <v>898410</v>
      </c>
      <c r="G592" s="6">
        <v>868410</v>
      </c>
      <c r="H592" s="6">
        <v>838410</v>
      </c>
      <c r="I592" s="6">
        <v>808410</v>
      </c>
      <c r="J592" s="6">
        <v>833290</v>
      </c>
      <c r="K592" s="6">
        <v>803290</v>
      </c>
      <c r="L592" s="6">
        <v>773290</v>
      </c>
      <c r="M592" s="191"/>
      <c r="N592" s="191"/>
      <c r="O592" s="191"/>
      <c r="P592" s="191"/>
      <c r="Q592" s="191"/>
      <c r="R592" s="191"/>
      <c r="S592" s="191"/>
      <c r="T592" s="191"/>
      <c r="U592" s="191"/>
    </row>
    <row r="593" spans="1:21" x14ac:dyDescent="0.3">
      <c r="A593" s="195">
        <v>8920000</v>
      </c>
      <c r="B593" s="6">
        <v>1167780</v>
      </c>
      <c r="C593" s="10">
        <v>1117080</v>
      </c>
      <c r="D593" s="11">
        <v>962780</v>
      </c>
      <c r="E593" s="6">
        <v>932780</v>
      </c>
      <c r="F593" s="6">
        <v>902780</v>
      </c>
      <c r="G593" s="6">
        <v>872780</v>
      </c>
      <c r="H593" s="6">
        <v>842780</v>
      </c>
      <c r="I593" s="6">
        <v>812780</v>
      </c>
      <c r="J593" s="6">
        <v>837660</v>
      </c>
      <c r="K593" s="6">
        <v>807660</v>
      </c>
      <c r="L593" s="6">
        <v>777660</v>
      </c>
      <c r="M593" s="191"/>
      <c r="N593" s="191"/>
      <c r="O593" s="191"/>
      <c r="P593" s="191"/>
      <c r="Q593" s="191"/>
      <c r="R593" s="191"/>
      <c r="S593" s="191"/>
      <c r="T593" s="191"/>
      <c r="U593" s="191"/>
    </row>
    <row r="594" spans="1:21" x14ac:dyDescent="0.3">
      <c r="A594" s="195">
        <v>8940000</v>
      </c>
      <c r="B594" s="6">
        <v>1172460</v>
      </c>
      <c r="C594" s="10">
        <v>1121740</v>
      </c>
      <c r="D594" s="11">
        <v>967150</v>
      </c>
      <c r="E594" s="6">
        <v>937150</v>
      </c>
      <c r="F594" s="6">
        <v>907150</v>
      </c>
      <c r="G594" s="6">
        <v>877150</v>
      </c>
      <c r="H594" s="6">
        <v>847150</v>
      </c>
      <c r="I594" s="6">
        <v>817150</v>
      </c>
      <c r="J594" s="6">
        <v>842020</v>
      </c>
      <c r="K594" s="6">
        <v>812020</v>
      </c>
      <c r="L594" s="6">
        <v>782020</v>
      </c>
      <c r="M594" s="191"/>
      <c r="N594" s="191"/>
      <c r="O594" s="191"/>
      <c r="P594" s="191"/>
      <c r="Q594" s="191"/>
      <c r="R594" s="191"/>
      <c r="S594" s="191"/>
      <c r="T594" s="191"/>
      <c r="U594" s="191"/>
    </row>
    <row r="595" spans="1:21" x14ac:dyDescent="0.3">
      <c r="A595" s="195">
        <v>8960000</v>
      </c>
      <c r="B595" s="6">
        <v>1177140</v>
      </c>
      <c r="C595" s="10">
        <v>1126400</v>
      </c>
      <c r="D595" s="11">
        <v>971520</v>
      </c>
      <c r="E595" s="6">
        <v>941520</v>
      </c>
      <c r="F595" s="6">
        <v>911520</v>
      </c>
      <c r="G595" s="6">
        <v>881520</v>
      </c>
      <c r="H595" s="6">
        <v>851520</v>
      </c>
      <c r="I595" s="6">
        <v>821520</v>
      </c>
      <c r="J595" s="6">
        <v>846390</v>
      </c>
      <c r="K595" s="6">
        <v>816390</v>
      </c>
      <c r="L595" s="6">
        <v>786390</v>
      </c>
      <c r="M595" s="191"/>
      <c r="N595" s="191"/>
      <c r="O595" s="191"/>
      <c r="P595" s="191"/>
      <c r="Q595" s="191"/>
      <c r="R595" s="191"/>
      <c r="S595" s="191"/>
      <c r="T595" s="191"/>
      <c r="U595" s="191"/>
    </row>
    <row r="596" spans="1:21" x14ac:dyDescent="0.3">
      <c r="A596" s="195">
        <v>8980000</v>
      </c>
      <c r="B596" s="6">
        <v>1181820</v>
      </c>
      <c r="C596" s="10">
        <v>1131050</v>
      </c>
      <c r="D596" s="11">
        <v>975880</v>
      </c>
      <c r="E596" s="6">
        <v>945880</v>
      </c>
      <c r="F596" s="6">
        <v>915880</v>
      </c>
      <c r="G596" s="6">
        <v>885880</v>
      </c>
      <c r="H596" s="6">
        <v>855880</v>
      </c>
      <c r="I596" s="6">
        <v>825880</v>
      </c>
      <c r="J596" s="6">
        <v>850760</v>
      </c>
      <c r="K596" s="6">
        <v>820760</v>
      </c>
      <c r="L596" s="6">
        <v>790760</v>
      </c>
      <c r="M596" s="191"/>
      <c r="N596" s="191"/>
      <c r="O596" s="191"/>
      <c r="P596" s="191"/>
      <c r="Q596" s="191"/>
      <c r="R596" s="191"/>
      <c r="S596" s="191"/>
      <c r="T596" s="191"/>
      <c r="U596" s="191"/>
    </row>
    <row r="597" spans="1:21" x14ac:dyDescent="0.3">
      <c r="A597" s="195">
        <v>9000000</v>
      </c>
      <c r="B597" s="6">
        <v>1186500</v>
      </c>
      <c r="C597" s="10">
        <v>1135710</v>
      </c>
      <c r="D597" s="11">
        <v>980250</v>
      </c>
      <c r="E597" s="6">
        <v>950250</v>
      </c>
      <c r="F597" s="6">
        <v>920250</v>
      </c>
      <c r="G597" s="6">
        <v>890250</v>
      </c>
      <c r="H597" s="6">
        <v>860250</v>
      </c>
      <c r="I597" s="6">
        <v>830250</v>
      </c>
      <c r="J597" s="6">
        <v>855130</v>
      </c>
      <c r="K597" s="6">
        <v>825130</v>
      </c>
      <c r="L597" s="6">
        <v>795130</v>
      </c>
      <c r="M597" s="191"/>
      <c r="N597" s="191"/>
      <c r="O597" s="191"/>
      <c r="P597" s="191"/>
      <c r="Q597" s="191"/>
      <c r="R597" s="191"/>
      <c r="S597" s="191"/>
      <c r="T597" s="191"/>
      <c r="U597" s="191"/>
    </row>
    <row r="598" spans="1:21" x14ac:dyDescent="0.3">
      <c r="A598" s="195">
        <v>9020000</v>
      </c>
      <c r="B598" s="6">
        <v>1191180</v>
      </c>
      <c r="C598" s="10">
        <v>1140360</v>
      </c>
      <c r="D598" s="11">
        <v>984620</v>
      </c>
      <c r="E598" s="6">
        <v>954620</v>
      </c>
      <c r="F598" s="6">
        <v>924620</v>
      </c>
      <c r="G598" s="6">
        <v>894620</v>
      </c>
      <c r="H598" s="6">
        <v>864620</v>
      </c>
      <c r="I598" s="6">
        <v>834620</v>
      </c>
      <c r="J598" s="6">
        <v>859500</v>
      </c>
      <c r="K598" s="6">
        <v>829500</v>
      </c>
      <c r="L598" s="6">
        <v>799500</v>
      </c>
      <c r="M598" s="191"/>
      <c r="N598" s="191"/>
      <c r="O598" s="191"/>
      <c r="P598" s="191"/>
      <c r="Q598" s="191"/>
      <c r="R598" s="191"/>
      <c r="S598" s="191"/>
      <c r="T598" s="191"/>
      <c r="U598" s="191"/>
    </row>
    <row r="599" spans="1:21" x14ac:dyDescent="0.3">
      <c r="A599" s="195">
        <v>9040000</v>
      </c>
      <c r="B599" s="6">
        <v>1195860</v>
      </c>
      <c r="C599" s="10">
        <v>1145020</v>
      </c>
      <c r="D599" s="11">
        <v>988990</v>
      </c>
      <c r="E599" s="6">
        <v>958990</v>
      </c>
      <c r="F599" s="6">
        <v>928990</v>
      </c>
      <c r="G599" s="6">
        <v>898990</v>
      </c>
      <c r="H599" s="6">
        <v>868990</v>
      </c>
      <c r="I599" s="6">
        <v>838990</v>
      </c>
      <c r="J599" s="6">
        <v>863860</v>
      </c>
      <c r="K599" s="6">
        <v>833860</v>
      </c>
      <c r="L599" s="6">
        <v>803860</v>
      </c>
      <c r="M599" s="191"/>
      <c r="N599" s="191"/>
      <c r="O599" s="191"/>
      <c r="P599" s="191"/>
      <c r="Q599" s="191"/>
      <c r="R599" s="191"/>
      <c r="S599" s="191"/>
      <c r="T599" s="191"/>
      <c r="U599" s="191"/>
    </row>
    <row r="600" spans="1:21" x14ac:dyDescent="0.3">
      <c r="A600" s="195">
        <v>9060000</v>
      </c>
      <c r="B600" s="6">
        <v>1200540</v>
      </c>
      <c r="C600" s="10">
        <v>1149680</v>
      </c>
      <c r="D600" s="11">
        <v>993360</v>
      </c>
      <c r="E600" s="6">
        <v>963360</v>
      </c>
      <c r="F600" s="6">
        <v>933360</v>
      </c>
      <c r="G600" s="6">
        <v>903360</v>
      </c>
      <c r="H600" s="6">
        <v>873360</v>
      </c>
      <c r="I600" s="6">
        <v>843360</v>
      </c>
      <c r="J600" s="6">
        <v>868230</v>
      </c>
      <c r="K600" s="6">
        <v>838230</v>
      </c>
      <c r="L600" s="6">
        <v>808230</v>
      </c>
      <c r="M600" s="191"/>
      <c r="N600" s="191"/>
      <c r="O600" s="191"/>
      <c r="P600" s="191"/>
      <c r="Q600" s="191"/>
      <c r="R600" s="191"/>
      <c r="S600" s="191"/>
      <c r="T600" s="191"/>
      <c r="U600" s="191"/>
    </row>
    <row r="601" spans="1:21" x14ac:dyDescent="0.3">
      <c r="A601" s="195">
        <v>9080000</v>
      </c>
      <c r="B601" s="6">
        <v>1205220</v>
      </c>
      <c r="C601" s="10">
        <v>1154330</v>
      </c>
      <c r="D601" s="11">
        <v>997720</v>
      </c>
      <c r="E601" s="6">
        <v>967720</v>
      </c>
      <c r="F601" s="6">
        <v>937720</v>
      </c>
      <c r="G601" s="6">
        <v>907720</v>
      </c>
      <c r="H601" s="6">
        <v>877720</v>
      </c>
      <c r="I601" s="6">
        <v>847720</v>
      </c>
      <c r="J601" s="6">
        <v>872600</v>
      </c>
      <c r="K601" s="6">
        <v>842600</v>
      </c>
      <c r="L601" s="6">
        <v>812600</v>
      </c>
      <c r="M601" s="191"/>
      <c r="N601" s="191"/>
      <c r="O601" s="191"/>
      <c r="P601" s="191"/>
      <c r="Q601" s="191"/>
      <c r="R601" s="191"/>
      <c r="S601" s="191"/>
      <c r="T601" s="191"/>
      <c r="U601" s="191"/>
    </row>
    <row r="602" spans="1:21" x14ac:dyDescent="0.3">
      <c r="A602" s="195">
        <v>9100000</v>
      </c>
      <c r="B602" s="6">
        <v>1209900</v>
      </c>
      <c r="C602" s="10">
        <v>1158990</v>
      </c>
      <c r="D602" s="11">
        <v>1002090</v>
      </c>
      <c r="E602" s="6">
        <v>972090</v>
      </c>
      <c r="F602" s="6">
        <v>942090</v>
      </c>
      <c r="G602" s="6">
        <v>912090</v>
      </c>
      <c r="H602" s="6">
        <v>882090</v>
      </c>
      <c r="I602" s="6">
        <v>852090</v>
      </c>
      <c r="J602" s="6">
        <v>876970</v>
      </c>
      <c r="K602" s="6">
        <v>846970</v>
      </c>
      <c r="L602" s="6">
        <v>816970</v>
      </c>
      <c r="M602" s="191"/>
      <c r="N602" s="191"/>
      <c r="O602" s="191"/>
      <c r="P602" s="191"/>
      <c r="Q602" s="191"/>
      <c r="R602" s="191"/>
      <c r="S602" s="191"/>
      <c r="T602" s="191"/>
      <c r="U602" s="191"/>
    </row>
    <row r="603" spans="1:21" x14ac:dyDescent="0.3">
      <c r="A603" s="195">
        <v>9120000</v>
      </c>
      <c r="B603" s="6">
        <v>1214580</v>
      </c>
      <c r="C603" s="10">
        <v>1163640</v>
      </c>
      <c r="D603" s="11">
        <v>1006460</v>
      </c>
      <c r="E603" s="6">
        <v>976460</v>
      </c>
      <c r="F603" s="6">
        <v>946460</v>
      </c>
      <c r="G603" s="6">
        <v>916460</v>
      </c>
      <c r="H603" s="6">
        <v>886460</v>
      </c>
      <c r="I603" s="6">
        <v>856460</v>
      </c>
      <c r="J603" s="6">
        <v>881340</v>
      </c>
      <c r="K603" s="6">
        <v>851340</v>
      </c>
      <c r="L603" s="6">
        <v>821340</v>
      </c>
      <c r="M603" s="191"/>
      <c r="N603" s="191"/>
      <c r="O603" s="191"/>
      <c r="P603" s="191"/>
      <c r="Q603" s="191"/>
      <c r="R603" s="191"/>
      <c r="S603" s="191"/>
      <c r="T603" s="191"/>
      <c r="U603" s="191"/>
    </row>
    <row r="604" spans="1:21" x14ac:dyDescent="0.3">
      <c r="A604" s="195">
        <v>9140000</v>
      </c>
      <c r="B604" s="6">
        <v>1219260</v>
      </c>
      <c r="C604" s="10">
        <v>1168300</v>
      </c>
      <c r="D604" s="11">
        <v>1010830</v>
      </c>
      <c r="E604" s="6">
        <v>980830</v>
      </c>
      <c r="F604" s="6">
        <v>950830</v>
      </c>
      <c r="G604" s="6">
        <v>920830</v>
      </c>
      <c r="H604" s="6">
        <v>890830</v>
      </c>
      <c r="I604" s="6">
        <v>860830</v>
      </c>
      <c r="J604" s="6">
        <v>885700</v>
      </c>
      <c r="K604" s="6">
        <v>855700</v>
      </c>
      <c r="L604" s="6">
        <v>825700</v>
      </c>
      <c r="M604" s="191"/>
      <c r="N604" s="191"/>
      <c r="O604" s="191"/>
      <c r="P604" s="191"/>
      <c r="Q604" s="191"/>
      <c r="R604" s="191"/>
      <c r="S604" s="191"/>
      <c r="T604" s="191"/>
      <c r="U604" s="191"/>
    </row>
    <row r="605" spans="1:21" x14ac:dyDescent="0.3">
      <c r="A605" s="195">
        <v>9160000</v>
      </c>
      <c r="B605" s="6">
        <v>1223940</v>
      </c>
      <c r="C605" s="10">
        <v>1172960</v>
      </c>
      <c r="D605" s="11">
        <v>1015200</v>
      </c>
      <c r="E605" s="6">
        <v>985200</v>
      </c>
      <c r="F605" s="6">
        <v>955200</v>
      </c>
      <c r="G605" s="6">
        <v>925200</v>
      </c>
      <c r="H605" s="6">
        <v>895200</v>
      </c>
      <c r="I605" s="6">
        <v>865200</v>
      </c>
      <c r="J605" s="6">
        <v>890070</v>
      </c>
      <c r="K605" s="6">
        <v>860070</v>
      </c>
      <c r="L605" s="6">
        <v>830070</v>
      </c>
      <c r="M605" s="191"/>
      <c r="N605" s="191"/>
      <c r="O605" s="191"/>
      <c r="P605" s="191"/>
      <c r="Q605" s="191"/>
      <c r="R605" s="191"/>
      <c r="S605" s="191"/>
      <c r="T605" s="191"/>
      <c r="U605" s="191"/>
    </row>
    <row r="606" spans="1:21" x14ac:dyDescent="0.3">
      <c r="A606" s="195">
        <v>9180000</v>
      </c>
      <c r="B606" s="6">
        <v>1228620</v>
      </c>
      <c r="C606" s="10">
        <v>1177610</v>
      </c>
      <c r="D606" s="11">
        <v>1019560</v>
      </c>
      <c r="E606" s="6">
        <v>989560</v>
      </c>
      <c r="F606" s="6">
        <v>959560</v>
      </c>
      <c r="G606" s="6">
        <v>929560</v>
      </c>
      <c r="H606" s="6">
        <v>899560</v>
      </c>
      <c r="I606" s="6">
        <v>869560</v>
      </c>
      <c r="J606" s="6">
        <v>894440</v>
      </c>
      <c r="K606" s="6">
        <v>864440</v>
      </c>
      <c r="L606" s="6">
        <v>834440</v>
      </c>
      <c r="M606" s="191"/>
      <c r="N606" s="191"/>
      <c r="O606" s="191"/>
      <c r="P606" s="191"/>
      <c r="Q606" s="191"/>
      <c r="R606" s="191"/>
      <c r="S606" s="191"/>
      <c r="T606" s="191"/>
      <c r="U606" s="191"/>
    </row>
    <row r="607" spans="1:21" x14ac:dyDescent="0.3">
      <c r="A607" s="195">
        <v>9200000</v>
      </c>
      <c r="B607" s="6">
        <v>1233300</v>
      </c>
      <c r="C607" s="10">
        <v>1182270</v>
      </c>
      <c r="D607" s="11">
        <v>1023930</v>
      </c>
      <c r="E607" s="6">
        <v>993930</v>
      </c>
      <c r="F607" s="6">
        <v>963930</v>
      </c>
      <c r="G607" s="6">
        <v>933930</v>
      </c>
      <c r="H607" s="6">
        <v>903930</v>
      </c>
      <c r="I607" s="6">
        <v>873930</v>
      </c>
      <c r="J607" s="6">
        <v>898810</v>
      </c>
      <c r="K607" s="6">
        <v>868810</v>
      </c>
      <c r="L607" s="6">
        <v>838810</v>
      </c>
      <c r="M607" s="191"/>
      <c r="N607" s="191"/>
      <c r="O607" s="191"/>
      <c r="P607" s="191"/>
      <c r="Q607" s="191"/>
      <c r="R607" s="191"/>
      <c r="S607" s="191"/>
      <c r="T607" s="191"/>
      <c r="U607" s="191"/>
    </row>
    <row r="608" spans="1:21" x14ac:dyDescent="0.3">
      <c r="A608" s="195">
        <v>9220000</v>
      </c>
      <c r="B608" s="6">
        <v>1237980</v>
      </c>
      <c r="C608" s="10">
        <v>1186920</v>
      </c>
      <c r="D608" s="11">
        <v>1028300</v>
      </c>
      <c r="E608" s="6">
        <v>998300</v>
      </c>
      <c r="F608" s="6">
        <v>968300</v>
      </c>
      <c r="G608" s="6">
        <v>938300</v>
      </c>
      <c r="H608" s="6">
        <v>908300</v>
      </c>
      <c r="I608" s="6">
        <v>878300</v>
      </c>
      <c r="J608" s="6">
        <v>903180</v>
      </c>
      <c r="K608" s="6">
        <v>873180</v>
      </c>
      <c r="L608" s="6">
        <v>843180</v>
      </c>
      <c r="M608" s="191"/>
      <c r="N608" s="191"/>
      <c r="O608" s="191"/>
      <c r="P608" s="191"/>
      <c r="Q608" s="191"/>
      <c r="R608" s="191"/>
      <c r="S608" s="191"/>
      <c r="T608" s="191"/>
      <c r="U608" s="191"/>
    </row>
    <row r="609" spans="1:21" x14ac:dyDescent="0.3">
      <c r="A609" s="195">
        <v>9240000</v>
      </c>
      <c r="B609" s="6">
        <v>1244640</v>
      </c>
      <c r="C609" s="10">
        <v>1191580</v>
      </c>
      <c r="D609" s="11">
        <v>1032670</v>
      </c>
      <c r="E609" s="6">
        <v>1002670</v>
      </c>
      <c r="F609" s="6">
        <v>972670</v>
      </c>
      <c r="G609" s="6">
        <v>942670</v>
      </c>
      <c r="H609" s="6">
        <v>912670</v>
      </c>
      <c r="I609" s="6">
        <v>882670</v>
      </c>
      <c r="J609" s="6">
        <v>907540</v>
      </c>
      <c r="K609" s="6">
        <v>877540</v>
      </c>
      <c r="L609" s="6">
        <v>847540</v>
      </c>
      <c r="M609" s="191"/>
      <c r="N609" s="191"/>
      <c r="O609" s="191"/>
      <c r="P609" s="191"/>
      <c r="Q609" s="191"/>
      <c r="R609" s="191"/>
      <c r="S609" s="191"/>
      <c r="T609" s="191"/>
      <c r="U609" s="191"/>
    </row>
    <row r="610" spans="1:21" x14ac:dyDescent="0.3">
      <c r="A610" s="195">
        <v>9260000</v>
      </c>
      <c r="B610" s="6">
        <v>1251470</v>
      </c>
      <c r="C610" s="10">
        <v>1196240</v>
      </c>
      <c r="D610" s="11">
        <v>1037040</v>
      </c>
      <c r="E610" s="6">
        <v>1007040</v>
      </c>
      <c r="F610" s="6">
        <v>977040</v>
      </c>
      <c r="G610" s="6">
        <v>947040</v>
      </c>
      <c r="H610" s="6">
        <v>917040</v>
      </c>
      <c r="I610" s="6">
        <v>887040</v>
      </c>
      <c r="J610" s="6">
        <v>911910</v>
      </c>
      <c r="K610" s="6">
        <v>881910</v>
      </c>
      <c r="L610" s="6">
        <v>851910</v>
      </c>
      <c r="M610" s="191"/>
      <c r="N610" s="191"/>
      <c r="O610" s="191"/>
      <c r="P610" s="191"/>
      <c r="Q610" s="191"/>
      <c r="R610" s="191"/>
      <c r="S610" s="191"/>
      <c r="T610" s="191"/>
      <c r="U610" s="191"/>
    </row>
    <row r="611" spans="1:21" x14ac:dyDescent="0.3">
      <c r="A611" s="195">
        <v>9280000</v>
      </c>
      <c r="B611" s="6">
        <v>1258290</v>
      </c>
      <c r="C611" s="10">
        <v>1200890</v>
      </c>
      <c r="D611" s="11">
        <v>1041400</v>
      </c>
      <c r="E611" s="6">
        <v>1011400</v>
      </c>
      <c r="F611" s="6">
        <v>981400</v>
      </c>
      <c r="G611" s="6">
        <v>951400</v>
      </c>
      <c r="H611" s="6">
        <v>921400</v>
      </c>
      <c r="I611" s="6">
        <v>891400</v>
      </c>
      <c r="J611" s="6">
        <v>916280</v>
      </c>
      <c r="K611" s="6">
        <v>886280</v>
      </c>
      <c r="L611" s="6">
        <v>856280</v>
      </c>
      <c r="M611" s="191"/>
      <c r="N611" s="191"/>
      <c r="O611" s="191"/>
      <c r="P611" s="191"/>
      <c r="Q611" s="191"/>
      <c r="R611" s="191"/>
      <c r="S611" s="191"/>
      <c r="T611" s="191"/>
      <c r="U611" s="191"/>
    </row>
    <row r="612" spans="1:21" x14ac:dyDescent="0.3">
      <c r="A612" s="195">
        <v>9300000</v>
      </c>
      <c r="B612" s="6">
        <v>1265120</v>
      </c>
      <c r="C612" s="10">
        <v>1205550</v>
      </c>
      <c r="D612" s="11">
        <v>1045770</v>
      </c>
      <c r="E612" s="6">
        <v>1015770</v>
      </c>
      <c r="F612" s="6">
        <v>985770</v>
      </c>
      <c r="G612" s="6">
        <v>955770</v>
      </c>
      <c r="H612" s="6">
        <v>925770</v>
      </c>
      <c r="I612" s="6">
        <v>895770</v>
      </c>
      <c r="J612" s="6">
        <v>920650</v>
      </c>
      <c r="K612" s="6">
        <v>890650</v>
      </c>
      <c r="L612" s="6">
        <v>860650</v>
      </c>
      <c r="M612" s="191"/>
      <c r="N612" s="191"/>
      <c r="O612" s="191"/>
      <c r="P612" s="191"/>
      <c r="Q612" s="191"/>
      <c r="R612" s="191"/>
      <c r="S612" s="191"/>
      <c r="T612" s="191"/>
      <c r="U612" s="191"/>
    </row>
    <row r="613" spans="1:21" x14ac:dyDescent="0.3">
      <c r="A613" s="195">
        <v>9320000</v>
      </c>
      <c r="B613" s="6">
        <v>1271940</v>
      </c>
      <c r="C613" s="10">
        <v>1210200</v>
      </c>
      <c r="D613" s="11">
        <v>1050140</v>
      </c>
      <c r="E613" s="6">
        <v>1020140</v>
      </c>
      <c r="F613" s="6">
        <v>990140</v>
      </c>
      <c r="G613" s="6">
        <v>960140</v>
      </c>
      <c r="H613" s="6">
        <v>930140</v>
      </c>
      <c r="I613" s="6">
        <v>900140</v>
      </c>
      <c r="J613" s="6">
        <v>925020</v>
      </c>
      <c r="K613" s="6">
        <v>895020</v>
      </c>
      <c r="L613" s="6">
        <v>865020</v>
      </c>
      <c r="M613" s="191"/>
      <c r="N613" s="191"/>
      <c r="O613" s="191"/>
      <c r="P613" s="191"/>
      <c r="Q613" s="191"/>
      <c r="R613" s="191"/>
      <c r="S613" s="191"/>
      <c r="T613" s="191"/>
      <c r="U613" s="191"/>
    </row>
    <row r="614" spans="1:21" x14ac:dyDescent="0.3">
      <c r="A614" s="195">
        <v>9340000</v>
      </c>
      <c r="B614" s="6">
        <v>1278770</v>
      </c>
      <c r="C614" s="10">
        <v>1214860</v>
      </c>
      <c r="D614" s="11">
        <v>1054510</v>
      </c>
      <c r="E614" s="6">
        <v>1024510</v>
      </c>
      <c r="F614" s="6">
        <v>994510</v>
      </c>
      <c r="G614" s="6">
        <v>964510</v>
      </c>
      <c r="H614" s="6">
        <v>934510</v>
      </c>
      <c r="I614" s="6">
        <v>904510</v>
      </c>
      <c r="J614" s="6">
        <v>929380</v>
      </c>
      <c r="K614" s="6">
        <v>899380</v>
      </c>
      <c r="L614" s="6">
        <v>869380</v>
      </c>
      <c r="M614" s="191"/>
      <c r="N614" s="191"/>
      <c r="O614" s="191"/>
      <c r="P614" s="191"/>
      <c r="Q614" s="191"/>
      <c r="R614" s="191"/>
      <c r="S614" s="191"/>
      <c r="T614" s="191"/>
      <c r="U614" s="191"/>
    </row>
    <row r="615" spans="1:21" x14ac:dyDescent="0.3">
      <c r="A615" s="195">
        <v>9360000</v>
      </c>
      <c r="B615" s="6">
        <v>1285590</v>
      </c>
      <c r="C615" s="10">
        <v>1219520</v>
      </c>
      <c r="D615" s="11">
        <v>1058880</v>
      </c>
      <c r="E615" s="6">
        <v>1028880</v>
      </c>
      <c r="F615" s="6">
        <v>998880</v>
      </c>
      <c r="G615" s="6">
        <v>968880</v>
      </c>
      <c r="H615" s="6">
        <v>938880</v>
      </c>
      <c r="I615" s="6">
        <v>908880</v>
      </c>
      <c r="J615" s="6">
        <v>933750</v>
      </c>
      <c r="K615" s="6">
        <v>903750</v>
      </c>
      <c r="L615" s="6">
        <v>873750</v>
      </c>
      <c r="M615" s="191"/>
      <c r="N615" s="191"/>
      <c r="O615" s="191"/>
      <c r="P615" s="191"/>
      <c r="Q615" s="191"/>
      <c r="R615" s="191"/>
      <c r="S615" s="191"/>
      <c r="T615" s="191"/>
      <c r="U615" s="191"/>
    </row>
    <row r="616" spans="1:21" x14ac:dyDescent="0.3">
      <c r="A616" s="195">
        <v>9380000</v>
      </c>
      <c r="B616" s="6">
        <v>1292420</v>
      </c>
      <c r="C616" s="10">
        <v>1224170</v>
      </c>
      <c r="D616" s="11">
        <v>1063240</v>
      </c>
      <c r="E616" s="6">
        <v>1033240</v>
      </c>
      <c r="F616" s="6">
        <v>1003240</v>
      </c>
      <c r="G616" s="6">
        <v>973240</v>
      </c>
      <c r="H616" s="6">
        <v>943240</v>
      </c>
      <c r="I616" s="6">
        <v>913240</v>
      </c>
      <c r="J616" s="6">
        <v>938120</v>
      </c>
      <c r="K616" s="6">
        <v>908120</v>
      </c>
      <c r="L616" s="6">
        <v>878120</v>
      </c>
      <c r="M616" s="191"/>
      <c r="N616" s="191"/>
      <c r="O616" s="191"/>
      <c r="P616" s="191"/>
      <c r="Q616" s="191"/>
      <c r="R616" s="191"/>
      <c r="S616" s="191"/>
      <c r="T616" s="191"/>
      <c r="U616" s="191"/>
    </row>
    <row r="617" spans="1:21" x14ac:dyDescent="0.3">
      <c r="A617" s="195">
        <v>9400000</v>
      </c>
      <c r="B617" s="6">
        <v>1299240</v>
      </c>
      <c r="C617" s="10">
        <v>1228830</v>
      </c>
      <c r="D617" s="11">
        <v>1067610</v>
      </c>
      <c r="E617" s="6">
        <v>1037610</v>
      </c>
      <c r="F617" s="6">
        <v>1007610</v>
      </c>
      <c r="G617" s="6">
        <v>977610</v>
      </c>
      <c r="H617" s="6">
        <v>947610</v>
      </c>
      <c r="I617" s="6">
        <v>917610</v>
      </c>
      <c r="J617" s="6">
        <v>942490</v>
      </c>
      <c r="K617" s="6">
        <v>912490</v>
      </c>
      <c r="L617" s="6">
        <v>882490</v>
      </c>
      <c r="M617" s="191"/>
      <c r="N617" s="191"/>
      <c r="O617" s="191"/>
      <c r="P617" s="191"/>
      <c r="Q617" s="191"/>
      <c r="R617" s="191"/>
      <c r="S617" s="191"/>
      <c r="T617" s="191"/>
      <c r="U617" s="191"/>
    </row>
    <row r="618" spans="1:21" x14ac:dyDescent="0.3">
      <c r="A618" s="195">
        <v>9420000</v>
      </c>
      <c r="B618" s="6">
        <v>1306070</v>
      </c>
      <c r="C618" s="10">
        <v>1233480</v>
      </c>
      <c r="D618" s="11">
        <v>1071980</v>
      </c>
      <c r="E618" s="6">
        <v>1041980</v>
      </c>
      <c r="F618" s="6">
        <v>1011980</v>
      </c>
      <c r="G618" s="6">
        <v>981980</v>
      </c>
      <c r="H618" s="6">
        <v>951980</v>
      </c>
      <c r="I618" s="6">
        <v>921980</v>
      </c>
      <c r="J618" s="6">
        <v>946860</v>
      </c>
      <c r="K618" s="6">
        <v>916860</v>
      </c>
      <c r="L618" s="6">
        <v>886860</v>
      </c>
      <c r="M618" s="191"/>
      <c r="N618" s="191"/>
      <c r="O618" s="191"/>
      <c r="P618" s="191"/>
      <c r="Q618" s="191"/>
      <c r="R618" s="191"/>
      <c r="S618" s="191"/>
      <c r="T618" s="191"/>
      <c r="U618" s="191"/>
    </row>
    <row r="619" spans="1:21" x14ac:dyDescent="0.3">
      <c r="A619" s="195">
        <v>9440000</v>
      </c>
      <c r="B619" s="6">
        <v>1312890</v>
      </c>
      <c r="C619" s="10">
        <v>1238140</v>
      </c>
      <c r="D619" s="11">
        <v>1076350</v>
      </c>
      <c r="E619" s="6">
        <v>1046350</v>
      </c>
      <c r="F619" s="6">
        <v>1016350</v>
      </c>
      <c r="G619" s="6">
        <v>986350</v>
      </c>
      <c r="H619" s="6">
        <v>956350</v>
      </c>
      <c r="I619" s="6">
        <v>926350</v>
      </c>
      <c r="J619" s="6">
        <v>951220</v>
      </c>
      <c r="K619" s="6">
        <v>921220</v>
      </c>
      <c r="L619" s="6">
        <v>891220</v>
      </c>
      <c r="M619" s="191"/>
      <c r="N619" s="191"/>
      <c r="O619" s="191"/>
      <c r="P619" s="191"/>
      <c r="Q619" s="191"/>
      <c r="R619" s="191"/>
      <c r="S619" s="191"/>
      <c r="T619" s="191"/>
      <c r="U619" s="191"/>
    </row>
    <row r="620" spans="1:21" x14ac:dyDescent="0.3">
      <c r="A620" s="195">
        <v>9460000</v>
      </c>
      <c r="B620" s="6">
        <v>1319720</v>
      </c>
      <c r="C620" s="10">
        <v>1244840</v>
      </c>
      <c r="D620" s="11">
        <v>1080720</v>
      </c>
      <c r="E620" s="6">
        <v>1050720</v>
      </c>
      <c r="F620" s="6">
        <v>1020720</v>
      </c>
      <c r="G620" s="6">
        <v>990720</v>
      </c>
      <c r="H620" s="6">
        <v>960720</v>
      </c>
      <c r="I620" s="6">
        <v>930720</v>
      </c>
      <c r="J620" s="6">
        <v>955590</v>
      </c>
      <c r="K620" s="6">
        <v>925590</v>
      </c>
      <c r="L620" s="6">
        <v>895590</v>
      </c>
      <c r="M620" s="191"/>
      <c r="N620" s="191"/>
      <c r="O620" s="191"/>
      <c r="P620" s="191"/>
      <c r="Q620" s="191"/>
      <c r="R620" s="191"/>
      <c r="S620" s="191"/>
      <c r="T620" s="191"/>
      <c r="U620" s="191"/>
    </row>
    <row r="621" spans="1:21" x14ac:dyDescent="0.3">
      <c r="A621" s="195">
        <v>9480000</v>
      </c>
      <c r="B621" s="6">
        <v>1326540</v>
      </c>
      <c r="C621" s="10">
        <v>1251630</v>
      </c>
      <c r="D621" s="11">
        <v>1085080</v>
      </c>
      <c r="E621" s="6">
        <v>1055080</v>
      </c>
      <c r="F621" s="6">
        <v>1025080</v>
      </c>
      <c r="G621" s="6">
        <v>995080</v>
      </c>
      <c r="H621" s="6">
        <v>965080</v>
      </c>
      <c r="I621" s="6">
        <v>935080</v>
      </c>
      <c r="J621" s="6">
        <v>959960</v>
      </c>
      <c r="K621" s="6">
        <v>929960</v>
      </c>
      <c r="L621" s="6">
        <v>899960</v>
      </c>
      <c r="M621" s="191"/>
      <c r="N621" s="191"/>
      <c r="O621" s="191"/>
      <c r="P621" s="191"/>
      <c r="Q621" s="191"/>
      <c r="R621" s="191"/>
      <c r="S621" s="191"/>
      <c r="T621" s="191"/>
      <c r="U621" s="191"/>
    </row>
    <row r="622" spans="1:21" x14ac:dyDescent="0.3">
      <c r="A622" s="195">
        <v>9500000</v>
      </c>
      <c r="B622" s="6">
        <v>1333370</v>
      </c>
      <c r="C622" s="10">
        <v>1258420</v>
      </c>
      <c r="D622" s="11">
        <v>1089450</v>
      </c>
      <c r="E622" s="6">
        <v>1059450</v>
      </c>
      <c r="F622" s="6">
        <v>1029450</v>
      </c>
      <c r="G622" s="6">
        <v>999450</v>
      </c>
      <c r="H622" s="6">
        <v>969450</v>
      </c>
      <c r="I622" s="6">
        <v>939450</v>
      </c>
      <c r="J622" s="6">
        <v>964330</v>
      </c>
      <c r="K622" s="6">
        <v>934330</v>
      </c>
      <c r="L622" s="6">
        <v>904330</v>
      </c>
      <c r="M622" s="191"/>
      <c r="N622" s="191"/>
      <c r="O622" s="191"/>
      <c r="P622" s="191"/>
      <c r="Q622" s="191"/>
      <c r="R622" s="191"/>
      <c r="S622" s="191"/>
      <c r="T622" s="191"/>
      <c r="U622" s="191"/>
    </row>
    <row r="623" spans="1:21" x14ac:dyDescent="0.3">
      <c r="A623" s="195">
        <v>9520000</v>
      </c>
      <c r="B623" s="6">
        <v>1340190</v>
      </c>
      <c r="C623" s="10">
        <v>1265210</v>
      </c>
      <c r="D623" s="11">
        <v>1093820</v>
      </c>
      <c r="E623" s="6">
        <v>1063820</v>
      </c>
      <c r="F623" s="6">
        <v>1033820</v>
      </c>
      <c r="G623" s="6">
        <v>1003820</v>
      </c>
      <c r="H623" s="6">
        <v>973820</v>
      </c>
      <c r="I623" s="6">
        <v>943820</v>
      </c>
      <c r="J623" s="6">
        <v>968700</v>
      </c>
      <c r="K623" s="6">
        <v>938700</v>
      </c>
      <c r="L623" s="6">
        <v>908700</v>
      </c>
      <c r="M623" s="191"/>
      <c r="N623" s="191"/>
      <c r="O623" s="191"/>
      <c r="P623" s="191"/>
      <c r="Q623" s="191"/>
      <c r="R623" s="191"/>
      <c r="S623" s="191"/>
      <c r="T623" s="191"/>
      <c r="U623" s="191"/>
    </row>
    <row r="624" spans="1:21" x14ac:dyDescent="0.3">
      <c r="A624" s="195">
        <v>9540000</v>
      </c>
      <c r="B624" s="6">
        <v>1347020</v>
      </c>
      <c r="C624" s="10">
        <v>1272000</v>
      </c>
      <c r="D624" s="11">
        <v>1098190</v>
      </c>
      <c r="E624" s="6">
        <v>1068190</v>
      </c>
      <c r="F624" s="6">
        <v>1038190</v>
      </c>
      <c r="G624" s="6">
        <v>1008190</v>
      </c>
      <c r="H624" s="6">
        <v>978190</v>
      </c>
      <c r="I624" s="6">
        <v>948190</v>
      </c>
      <c r="J624" s="6">
        <v>973060</v>
      </c>
      <c r="K624" s="6">
        <v>943060</v>
      </c>
      <c r="L624" s="6">
        <v>913060</v>
      </c>
      <c r="M624" s="191"/>
      <c r="N624" s="191"/>
      <c r="O624" s="191"/>
      <c r="P624" s="191"/>
      <c r="Q624" s="191"/>
      <c r="R624" s="191"/>
      <c r="S624" s="191"/>
      <c r="T624" s="191"/>
      <c r="U624" s="191"/>
    </row>
    <row r="625" spans="1:21" x14ac:dyDescent="0.3">
      <c r="A625" s="195">
        <v>9560000</v>
      </c>
      <c r="B625" s="6">
        <v>1353840</v>
      </c>
      <c r="C625" s="10">
        <v>1278790</v>
      </c>
      <c r="D625" s="11">
        <v>1102560</v>
      </c>
      <c r="E625" s="6">
        <v>1072560</v>
      </c>
      <c r="F625" s="6">
        <v>1042560</v>
      </c>
      <c r="G625" s="6">
        <v>1012560</v>
      </c>
      <c r="H625" s="6">
        <v>982560</v>
      </c>
      <c r="I625" s="6">
        <v>952560</v>
      </c>
      <c r="J625" s="6">
        <v>977430</v>
      </c>
      <c r="K625" s="6">
        <v>947430</v>
      </c>
      <c r="L625" s="6">
        <v>917430</v>
      </c>
      <c r="M625" s="191"/>
      <c r="N625" s="191"/>
      <c r="O625" s="191"/>
      <c r="P625" s="191"/>
      <c r="Q625" s="191"/>
      <c r="R625" s="191"/>
      <c r="S625" s="191"/>
      <c r="T625" s="191"/>
      <c r="U625" s="191"/>
    </row>
    <row r="626" spans="1:21" x14ac:dyDescent="0.3">
      <c r="A626" s="195">
        <v>9580000</v>
      </c>
      <c r="B626" s="6">
        <v>1360670</v>
      </c>
      <c r="C626" s="10">
        <v>1285580</v>
      </c>
      <c r="D626" s="11">
        <v>1106920</v>
      </c>
      <c r="E626" s="6">
        <v>1076920</v>
      </c>
      <c r="F626" s="6">
        <v>1046920</v>
      </c>
      <c r="G626" s="6">
        <v>1016920</v>
      </c>
      <c r="H626" s="6">
        <v>986920</v>
      </c>
      <c r="I626" s="6">
        <v>956920</v>
      </c>
      <c r="J626" s="6">
        <v>981800</v>
      </c>
      <c r="K626" s="6">
        <v>951800</v>
      </c>
      <c r="L626" s="6">
        <v>921800</v>
      </c>
      <c r="M626" s="191"/>
      <c r="N626" s="191"/>
      <c r="O626" s="191"/>
      <c r="P626" s="191"/>
      <c r="Q626" s="191"/>
      <c r="R626" s="191"/>
      <c r="S626" s="191"/>
      <c r="T626" s="191"/>
      <c r="U626" s="191"/>
    </row>
    <row r="627" spans="1:21" x14ac:dyDescent="0.3">
      <c r="A627" s="195">
        <v>9600000</v>
      </c>
      <c r="B627" s="6">
        <v>1367490</v>
      </c>
      <c r="C627" s="10">
        <v>1292370</v>
      </c>
      <c r="D627" s="11">
        <v>1111290</v>
      </c>
      <c r="E627" s="6">
        <v>1081290</v>
      </c>
      <c r="F627" s="6">
        <v>1051290</v>
      </c>
      <c r="G627" s="6">
        <v>1021290</v>
      </c>
      <c r="H627" s="6">
        <v>991290</v>
      </c>
      <c r="I627" s="6">
        <v>961290</v>
      </c>
      <c r="J627" s="6">
        <v>986170</v>
      </c>
      <c r="K627" s="6">
        <v>956170</v>
      </c>
      <c r="L627" s="6">
        <v>926170</v>
      </c>
      <c r="M627" s="191"/>
      <c r="N627" s="191"/>
      <c r="O627" s="191"/>
      <c r="P627" s="191"/>
      <c r="Q627" s="191"/>
      <c r="R627" s="191"/>
      <c r="S627" s="191"/>
      <c r="T627" s="191"/>
      <c r="U627" s="191"/>
    </row>
    <row r="628" spans="1:21" x14ac:dyDescent="0.3">
      <c r="A628" s="195">
        <v>9620000</v>
      </c>
      <c r="B628" s="6">
        <v>1374320</v>
      </c>
      <c r="C628" s="10">
        <v>1299160</v>
      </c>
      <c r="D628" s="11">
        <v>1115660</v>
      </c>
      <c r="E628" s="6">
        <v>1085660</v>
      </c>
      <c r="F628" s="6">
        <v>1055660</v>
      </c>
      <c r="G628" s="6">
        <v>1025660</v>
      </c>
      <c r="H628" s="6">
        <v>995660</v>
      </c>
      <c r="I628" s="6">
        <v>965660</v>
      </c>
      <c r="J628" s="6">
        <v>990540</v>
      </c>
      <c r="K628" s="6">
        <v>960540</v>
      </c>
      <c r="L628" s="6">
        <v>930540</v>
      </c>
      <c r="M628" s="191"/>
      <c r="N628" s="191"/>
      <c r="O628" s="191"/>
      <c r="P628" s="191"/>
      <c r="Q628" s="191"/>
      <c r="R628" s="191"/>
      <c r="S628" s="191"/>
      <c r="T628" s="191"/>
      <c r="U628" s="191"/>
    </row>
    <row r="629" spans="1:21" x14ac:dyDescent="0.3">
      <c r="A629" s="195">
        <v>9640000</v>
      </c>
      <c r="B629" s="6">
        <v>1381140</v>
      </c>
      <c r="C629" s="10">
        <v>1305950</v>
      </c>
      <c r="D629" s="11">
        <v>1120030</v>
      </c>
      <c r="E629" s="6">
        <v>1090030</v>
      </c>
      <c r="F629" s="6">
        <v>1060030</v>
      </c>
      <c r="G629" s="6">
        <v>1030030</v>
      </c>
      <c r="H629" s="6">
        <v>1000030</v>
      </c>
      <c r="I629" s="6">
        <v>970030</v>
      </c>
      <c r="J629" s="6">
        <v>994900</v>
      </c>
      <c r="K629" s="6">
        <v>964900</v>
      </c>
      <c r="L629" s="6">
        <v>934900</v>
      </c>
      <c r="M629" s="191"/>
      <c r="N629" s="191"/>
      <c r="O629" s="191"/>
      <c r="P629" s="191"/>
      <c r="Q629" s="191"/>
      <c r="R629" s="191"/>
      <c r="S629" s="191"/>
      <c r="T629" s="191"/>
      <c r="U629" s="191"/>
    </row>
    <row r="630" spans="1:21" x14ac:dyDescent="0.3">
      <c r="A630" s="195">
        <v>9660000</v>
      </c>
      <c r="B630" s="6">
        <v>1387970</v>
      </c>
      <c r="C630" s="10">
        <v>1312740</v>
      </c>
      <c r="D630" s="11">
        <v>1124400</v>
      </c>
      <c r="E630" s="6">
        <v>1094400</v>
      </c>
      <c r="F630" s="6">
        <v>1064400</v>
      </c>
      <c r="G630" s="6">
        <v>1034400</v>
      </c>
      <c r="H630" s="6">
        <v>1004400</v>
      </c>
      <c r="I630" s="6">
        <v>974400</v>
      </c>
      <c r="J630" s="6">
        <v>999270</v>
      </c>
      <c r="K630" s="6">
        <v>969270</v>
      </c>
      <c r="L630" s="6">
        <v>939270</v>
      </c>
      <c r="M630" s="191"/>
      <c r="N630" s="191"/>
      <c r="O630" s="191"/>
      <c r="P630" s="191"/>
      <c r="Q630" s="191"/>
      <c r="R630" s="191"/>
      <c r="S630" s="191"/>
      <c r="T630" s="191"/>
      <c r="U630" s="191"/>
    </row>
    <row r="631" spans="1:21" x14ac:dyDescent="0.3">
      <c r="A631" s="195">
        <v>9680000</v>
      </c>
      <c r="B631" s="6">
        <v>1394790</v>
      </c>
      <c r="C631" s="10">
        <v>1319530</v>
      </c>
      <c r="D631" s="11">
        <v>1128760</v>
      </c>
      <c r="E631" s="6">
        <v>1098760</v>
      </c>
      <c r="F631" s="6">
        <v>1068760</v>
      </c>
      <c r="G631" s="6">
        <v>1038760</v>
      </c>
      <c r="H631" s="6">
        <v>1008760</v>
      </c>
      <c r="I631" s="6">
        <v>978760</v>
      </c>
      <c r="J631" s="6">
        <v>1003640</v>
      </c>
      <c r="K631" s="6">
        <v>973640</v>
      </c>
      <c r="L631" s="6">
        <v>943640</v>
      </c>
      <c r="M631" s="191"/>
      <c r="N631" s="191"/>
      <c r="O631" s="191"/>
      <c r="P631" s="191"/>
      <c r="Q631" s="191"/>
      <c r="R631" s="191"/>
      <c r="S631" s="191"/>
      <c r="T631" s="191"/>
      <c r="U631" s="191"/>
    </row>
    <row r="632" spans="1:21" x14ac:dyDescent="0.3">
      <c r="A632" s="195">
        <v>9700000</v>
      </c>
      <c r="B632" s="6">
        <v>1401620</v>
      </c>
      <c r="C632" s="10">
        <v>1326320</v>
      </c>
      <c r="D632" s="11">
        <v>1133130</v>
      </c>
      <c r="E632" s="6">
        <v>1103130</v>
      </c>
      <c r="F632" s="6">
        <v>1073130</v>
      </c>
      <c r="G632" s="6">
        <v>1043130</v>
      </c>
      <c r="H632" s="6">
        <v>1013130</v>
      </c>
      <c r="I632" s="6">
        <v>983130</v>
      </c>
      <c r="J632" s="6">
        <v>1008010</v>
      </c>
      <c r="K632" s="6">
        <v>978010</v>
      </c>
      <c r="L632" s="6">
        <v>948010</v>
      </c>
      <c r="M632" s="191"/>
      <c r="N632" s="191"/>
      <c r="O632" s="191"/>
      <c r="P632" s="191"/>
      <c r="Q632" s="191"/>
      <c r="R632" s="191"/>
      <c r="S632" s="191"/>
      <c r="T632" s="191"/>
      <c r="U632" s="191"/>
    </row>
    <row r="633" spans="1:21" x14ac:dyDescent="0.3">
      <c r="A633" s="195">
        <v>9720000</v>
      </c>
      <c r="B633" s="6">
        <v>1408440</v>
      </c>
      <c r="C633" s="10">
        <v>1333110</v>
      </c>
      <c r="D633" s="11">
        <v>1137500</v>
      </c>
      <c r="E633" s="6">
        <v>1107500</v>
      </c>
      <c r="F633" s="6">
        <v>1077500</v>
      </c>
      <c r="G633" s="6">
        <v>1047500</v>
      </c>
      <c r="H633" s="6">
        <v>1017500</v>
      </c>
      <c r="I633" s="6">
        <v>987500</v>
      </c>
      <c r="J633" s="6">
        <v>1012380</v>
      </c>
      <c r="K633" s="6">
        <v>982380</v>
      </c>
      <c r="L633" s="6">
        <v>952380</v>
      </c>
      <c r="M633" s="191"/>
      <c r="N633" s="191"/>
      <c r="O633" s="191"/>
      <c r="P633" s="191"/>
      <c r="Q633" s="191"/>
      <c r="R633" s="191"/>
      <c r="S633" s="191"/>
      <c r="T633" s="191"/>
      <c r="U633" s="191"/>
    </row>
    <row r="634" spans="1:21" x14ac:dyDescent="0.3">
      <c r="A634" s="195">
        <v>9740000</v>
      </c>
      <c r="B634" s="6">
        <v>1415270</v>
      </c>
      <c r="C634" s="10">
        <v>1339900</v>
      </c>
      <c r="D634" s="11">
        <v>1141870</v>
      </c>
      <c r="E634" s="6">
        <v>1111870</v>
      </c>
      <c r="F634" s="6">
        <v>1081870</v>
      </c>
      <c r="G634" s="6">
        <v>1051870</v>
      </c>
      <c r="H634" s="6">
        <v>1021870</v>
      </c>
      <c r="I634" s="6">
        <v>991870</v>
      </c>
      <c r="J634" s="6">
        <v>1016740</v>
      </c>
      <c r="K634" s="6">
        <v>986740</v>
      </c>
      <c r="L634" s="6">
        <v>956740</v>
      </c>
      <c r="M634" s="191"/>
      <c r="N634" s="191"/>
      <c r="O634" s="191"/>
      <c r="P634" s="191"/>
      <c r="Q634" s="191"/>
      <c r="R634" s="191"/>
      <c r="S634" s="191"/>
      <c r="T634" s="191"/>
      <c r="U634" s="191"/>
    </row>
    <row r="635" spans="1:21" x14ac:dyDescent="0.3">
      <c r="A635" s="195">
        <v>9760000</v>
      </c>
      <c r="B635" s="6">
        <v>1422090</v>
      </c>
      <c r="C635" s="10">
        <v>1346690</v>
      </c>
      <c r="D635" s="11">
        <v>1146240</v>
      </c>
      <c r="E635" s="6">
        <v>1116240</v>
      </c>
      <c r="F635" s="6">
        <v>1086240</v>
      </c>
      <c r="G635" s="6">
        <v>1056240</v>
      </c>
      <c r="H635" s="6">
        <v>1026240</v>
      </c>
      <c r="I635" s="6">
        <v>996240</v>
      </c>
      <c r="J635" s="6">
        <v>1021110</v>
      </c>
      <c r="K635" s="6">
        <v>991110</v>
      </c>
      <c r="L635" s="6">
        <v>961110</v>
      </c>
      <c r="M635" s="191"/>
      <c r="N635" s="191"/>
      <c r="O635" s="191"/>
      <c r="P635" s="191"/>
      <c r="Q635" s="191"/>
      <c r="R635" s="191"/>
      <c r="S635" s="191"/>
      <c r="T635" s="191"/>
      <c r="U635" s="191"/>
    </row>
    <row r="636" spans="1:21" x14ac:dyDescent="0.3">
      <c r="A636" s="195">
        <v>9780000</v>
      </c>
      <c r="B636" s="6">
        <v>1428920</v>
      </c>
      <c r="C636" s="10">
        <v>1353480</v>
      </c>
      <c r="D636" s="11">
        <v>1150600</v>
      </c>
      <c r="E636" s="6">
        <v>1120600</v>
      </c>
      <c r="F636" s="6">
        <v>1090600</v>
      </c>
      <c r="G636" s="6">
        <v>1060600</v>
      </c>
      <c r="H636" s="6">
        <v>1030600</v>
      </c>
      <c r="I636" s="6">
        <v>1000600</v>
      </c>
      <c r="J636" s="6">
        <v>1025480</v>
      </c>
      <c r="K636" s="6">
        <v>995480</v>
      </c>
      <c r="L636" s="6">
        <v>965480</v>
      </c>
      <c r="M636" s="191"/>
      <c r="N636" s="191"/>
      <c r="O636" s="191"/>
      <c r="P636" s="191"/>
      <c r="Q636" s="191"/>
      <c r="R636" s="191"/>
      <c r="S636" s="191"/>
      <c r="T636" s="191"/>
      <c r="U636" s="191"/>
    </row>
    <row r="637" spans="1:21" x14ac:dyDescent="0.3">
      <c r="A637" s="195">
        <v>9800000</v>
      </c>
      <c r="B637" s="6">
        <v>1435740</v>
      </c>
      <c r="C637" s="10">
        <v>1360270</v>
      </c>
      <c r="D637" s="11">
        <v>1154970</v>
      </c>
      <c r="E637" s="6">
        <v>1124970</v>
      </c>
      <c r="F637" s="6">
        <v>1094970</v>
      </c>
      <c r="G637" s="6">
        <v>1064970</v>
      </c>
      <c r="H637" s="6">
        <v>1034970</v>
      </c>
      <c r="I637" s="6">
        <v>1004970</v>
      </c>
      <c r="J637" s="6">
        <v>1029850</v>
      </c>
      <c r="K637" s="6">
        <v>999850</v>
      </c>
      <c r="L637" s="6">
        <v>969850</v>
      </c>
      <c r="M637" s="191"/>
      <c r="N637" s="191"/>
      <c r="O637" s="191"/>
      <c r="P637" s="191"/>
      <c r="Q637" s="191"/>
      <c r="R637" s="191"/>
      <c r="S637" s="191"/>
      <c r="T637" s="191"/>
      <c r="U637" s="191"/>
    </row>
    <row r="638" spans="1:21" x14ac:dyDescent="0.3">
      <c r="A638" s="195">
        <v>9820000</v>
      </c>
      <c r="B638" s="6">
        <v>1442570</v>
      </c>
      <c r="C638" s="10">
        <v>1367060</v>
      </c>
      <c r="D638" s="11">
        <v>1159340</v>
      </c>
      <c r="E638" s="6">
        <v>1129340</v>
      </c>
      <c r="F638" s="6">
        <v>1099340</v>
      </c>
      <c r="G638" s="6">
        <v>1069340</v>
      </c>
      <c r="H638" s="6">
        <v>1039340</v>
      </c>
      <c r="I638" s="6">
        <v>1009340</v>
      </c>
      <c r="J638" s="6">
        <v>1034220</v>
      </c>
      <c r="K638" s="6">
        <v>1004220</v>
      </c>
      <c r="L638" s="6">
        <v>974220</v>
      </c>
      <c r="M638" s="191"/>
      <c r="N638" s="191"/>
      <c r="O638" s="191"/>
      <c r="P638" s="191"/>
      <c r="Q638" s="191"/>
      <c r="R638" s="191"/>
      <c r="S638" s="191"/>
      <c r="T638" s="191"/>
      <c r="U638" s="191"/>
    </row>
    <row r="639" spans="1:21" x14ac:dyDescent="0.3">
      <c r="A639" s="195">
        <v>9840000</v>
      </c>
      <c r="B639" s="6">
        <v>1449390</v>
      </c>
      <c r="C639" s="10">
        <v>1373850</v>
      </c>
      <c r="D639" s="11">
        <v>1163710</v>
      </c>
      <c r="E639" s="6">
        <v>1133710</v>
      </c>
      <c r="F639" s="6">
        <v>1103710</v>
      </c>
      <c r="G639" s="6">
        <v>1073710</v>
      </c>
      <c r="H639" s="6">
        <v>1043710</v>
      </c>
      <c r="I639" s="6">
        <v>1013710</v>
      </c>
      <c r="J639" s="6">
        <v>1038580</v>
      </c>
      <c r="K639" s="6">
        <v>1008580</v>
      </c>
      <c r="L639" s="6">
        <v>978580</v>
      </c>
      <c r="M639" s="191"/>
      <c r="N639" s="191"/>
      <c r="O639" s="191"/>
      <c r="P639" s="191"/>
      <c r="Q639" s="191"/>
      <c r="R639" s="191"/>
      <c r="S639" s="191"/>
      <c r="T639" s="191"/>
      <c r="U639" s="191"/>
    </row>
    <row r="640" spans="1:21" x14ac:dyDescent="0.3">
      <c r="A640" s="195">
        <v>9860000</v>
      </c>
      <c r="B640" s="6">
        <v>1456220</v>
      </c>
      <c r="C640" s="10">
        <v>1380640</v>
      </c>
      <c r="D640" s="11">
        <v>1168080</v>
      </c>
      <c r="E640" s="6">
        <v>1138080</v>
      </c>
      <c r="F640" s="6">
        <v>1108080</v>
      </c>
      <c r="G640" s="6">
        <v>1078080</v>
      </c>
      <c r="H640" s="6">
        <v>1048080</v>
      </c>
      <c r="I640" s="6">
        <v>1018080</v>
      </c>
      <c r="J640" s="6">
        <v>1042950</v>
      </c>
      <c r="K640" s="6">
        <v>1012950</v>
      </c>
      <c r="L640" s="6">
        <v>982950</v>
      </c>
      <c r="M640" s="191"/>
      <c r="N640" s="191"/>
      <c r="O640" s="191"/>
      <c r="P640" s="191"/>
      <c r="Q640" s="191"/>
      <c r="R640" s="191"/>
      <c r="S640" s="191"/>
      <c r="T640" s="191"/>
      <c r="U640" s="191"/>
    </row>
    <row r="641" spans="1:21" x14ac:dyDescent="0.3">
      <c r="A641" s="195">
        <v>9880000</v>
      </c>
      <c r="B641" s="6">
        <v>1463040</v>
      </c>
      <c r="C641" s="10">
        <v>1387430</v>
      </c>
      <c r="D641" s="11">
        <v>1172440</v>
      </c>
      <c r="E641" s="6">
        <v>1142440</v>
      </c>
      <c r="F641" s="6">
        <v>1112440</v>
      </c>
      <c r="G641" s="6">
        <v>1082440</v>
      </c>
      <c r="H641" s="6">
        <v>1052440</v>
      </c>
      <c r="I641" s="6">
        <v>1022440</v>
      </c>
      <c r="J641" s="6">
        <v>1047320</v>
      </c>
      <c r="K641" s="6">
        <v>1017320</v>
      </c>
      <c r="L641" s="6">
        <v>987320</v>
      </c>
      <c r="M641" s="191"/>
      <c r="N641" s="191"/>
      <c r="O641" s="191"/>
      <c r="P641" s="191"/>
      <c r="Q641" s="191"/>
      <c r="R641" s="191"/>
      <c r="S641" s="191"/>
      <c r="T641" s="191"/>
      <c r="U641" s="191"/>
    </row>
    <row r="642" spans="1:21" x14ac:dyDescent="0.3">
      <c r="A642" s="195">
        <v>9900000</v>
      </c>
      <c r="B642" s="6">
        <v>1469870</v>
      </c>
      <c r="C642" s="10">
        <v>1394220</v>
      </c>
      <c r="D642" s="11">
        <v>1176810</v>
      </c>
      <c r="E642" s="6">
        <v>1146810</v>
      </c>
      <c r="F642" s="6">
        <v>1116810</v>
      </c>
      <c r="G642" s="6">
        <v>1086810</v>
      </c>
      <c r="H642" s="6">
        <v>1056810</v>
      </c>
      <c r="I642" s="6">
        <v>1026810</v>
      </c>
      <c r="J642" s="6">
        <v>1051690</v>
      </c>
      <c r="K642" s="6">
        <v>1021690</v>
      </c>
      <c r="L642" s="6">
        <v>991690</v>
      </c>
      <c r="M642" s="191"/>
      <c r="N642" s="191"/>
      <c r="O642" s="191"/>
      <c r="P642" s="191"/>
      <c r="Q642" s="191"/>
      <c r="R642" s="191"/>
      <c r="S642" s="191"/>
      <c r="T642" s="191"/>
      <c r="U642" s="191"/>
    </row>
    <row r="643" spans="1:21" x14ac:dyDescent="0.3">
      <c r="A643" s="195">
        <v>9920000</v>
      </c>
      <c r="B643" s="6">
        <v>1476690</v>
      </c>
      <c r="C643" s="10">
        <v>1401010</v>
      </c>
      <c r="D643" s="11">
        <v>1181180</v>
      </c>
      <c r="E643" s="6">
        <v>1151180</v>
      </c>
      <c r="F643" s="6">
        <v>1121180</v>
      </c>
      <c r="G643" s="6">
        <v>1091180</v>
      </c>
      <c r="H643" s="6">
        <v>1061180</v>
      </c>
      <c r="I643" s="6">
        <v>1031180</v>
      </c>
      <c r="J643" s="6">
        <v>1056060</v>
      </c>
      <c r="K643" s="6">
        <v>1026060</v>
      </c>
      <c r="L643" s="6">
        <v>996060</v>
      </c>
      <c r="M643" s="191"/>
      <c r="N643" s="191"/>
      <c r="O643" s="191"/>
      <c r="P643" s="191"/>
      <c r="Q643" s="191"/>
      <c r="R643" s="191"/>
      <c r="S643" s="191"/>
      <c r="T643" s="191"/>
      <c r="U643" s="191"/>
    </row>
    <row r="644" spans="1:21" x14ac:dyDescent="0.3">
      <c r="A644" s="195">
        <v>9940000</v>
      </c>
      <c r="B644" s="6">
        <v>1483520</v>
      </c>
      <c r="C644" s="10">
        <v>1407800</v>
      </c>
      <c r="D644" s="11">
        <v>1185550</v>
      </c>
      <c r="E644" s="6">
        <v>1155550</v>
      </c>
      <c r="F644" s="6">
        <v>1125550</v>
      </c>
      <c r="G644" s="6">
        <v>1095550</v>
      </c>
      <c r="H644" s="6">
        <v>1065550</v>
      </c>
      <c r="I644" s="6">
        <v>1035550</v>
      </c>
      <c r="J644" s="6">
        <v>1060420</v>
      </c>
      <c r="K644" s="6">
        <v>1030420</v>
      </c>
      <c r="L644" s="6">
        <v>1000420</v>
      </c>
      <c r="M644" s="191"/>
      <c r="N644" s="191"/>
      <c r="O644" s="191"/>
      <c r="P644" s="191"/>
      <c r="Q644" s="191"/>
      <c r="R644" s="191"/>
      <c r="S644" s="191"/>
      <c r="T644" s="191"/>
      <c r="U644" s="191"/>
    </row>
    <row r="645" spans="1:21" x14ac:dyDescent="0.3">
      <c r="A645" s="195">
        <v>9960000</v>
      </c>
      <c r="B645" s="6">
        <v>1490340</v>
      </c>
      <c r="C645" s="10">
        <v>1414590</v>
      </c>
      <c r="D645" s="11">
        <v>1189920</v>
      </c>
      <c r="E645" s="6">
        <v>1159920</v>
      </c>
      <c r="F645" s="6">
        <v>1129920</v>
      </c>
      <c r="G645" s="6">
        <v>1099920</v>
      </c>
      <c r="H645" s="6">
        <v>1069920</v>
      </c>
      <c r="I645" s="6">
        <v>1039920</v>
      </c>
      <c r="J645" s="6">
        <v>1064790</v>
      </c>
      <c r="K645" s="6">
        <v>1034790</v>
      </c>
      <c r="L645" s="6">
        <v>1004790</v>
      </c>
      <c r="M645" s="191"/>
      <c r="N645" s="191"/>
      <c r="O645" s="191"/>
      <c r="P645" s="191"/>
      <c r="Q645" s="191"/>
      <c r="R645" s="191"/>
      <c r="S645" s="191"/>
      <c r="T645" s="191"/>
      <c r="U645" s="191"/>
    </row>
    <row r="646" spans="1:21" x14ac:dyDescent="0.3">
      <c r="A646" s="195">
        <v>9980000</v>
      </c>
      <c r="B646" s="6">
        <v>1497170</v>
      </c>
      <c r="C646" s="10">
        <v>1421380</v>
      </c>
      <c r="D646" s="11">
        <v>1194280</v>
      </c>
      <c r="E646" s="6">
        <v>1164280</v>
      </c>
      <c r="F646" s="6">
        <v>1134280</v>
      </c>
      <c r="G646" s="6">
        <v>1104280</v>
      </c>
      <c r="H646" s="6">
        <v>1074280</v>
      </c>
      <c r="I646" s="6">
        <v>1044280</v>
      </c>
      <c r="J646" s="6">
        <v>1069160</v>
      </c>
      <c r="K646" s="6">
        <v>1039160</v>
      </c>
      <c r="L646" s="6">
        <v>1009160</v>
      </c>
      <c r="M646" s="191"/>
      <c r="N646" s="191"/>
      <c r="O646" s="191"/>
      <c r="P646" s="191"/>
      <c r="Q646" s="191"/>
      <c r="R646" s="191"/>
      <c r="S646" s="191"/>
      <c r="T646" s="191"/>
      <c r="U646" s="191"/>
    </row>
    <row r="647" spans="1:21" x14ac:dyDescent="0.3">
      <c r="A647" s="195">
        <v>10000000</v>
      </c>
      <c r="B647" s="6">
        <v>1503990</v>
      </c>
      <c r="C647" s="10">
        <v>1428170</v>
      </c>
      <c r="D647" s="11">
        <v>1198650</v>
      </c>
      <c r="E647" s="6">
        <v>1168650</v>
      </c>
      <c r="F647" s="6">
        <v>1138650</v>
      </c>
      <c r="G647" s="6">
        <v>1108650</v>
      </c>
      <c r="H647" s="6">
        <v>1078650</v>
      </c>
      <c r="I647" s="6">
        <v>1048650</v>
      </c>
      <c r="J647" s="6">
        <v>1071340</v>
      </c>
      <c r="K647" s="6">
        <v>1041340</v>
      </c>
      <c r="L647" s="6">
        <v>1011340</v>
      </c>
      <c r="M647" s="191"/>
      <c r="N647" s="191"/>
      <c r="O647" s="191"/>
      <c r="P647" s="191"/>
      <c r="Q647" s="191"/>
      <c r="R647" s="191"/>
      <c r="S647" s="191"/>
      <c r="T647" s="191"/>
      <c r="U647" s="191"/>
    </row>
    <row r="648" spans="1:21" x14ac:dyDescent="0.3">
      <c r="A648" s="195"/>
      <c r="B648" s="192">
        <v>1507400</v>
      </c>
      <c r="C648" s="193">
        <v>1431570</v>
      </c>
      <c r="D648" s="194">
        <v>1200840</v>
      </c>
      <c r="E648" s="192">
        <v>1170840</v>
      </c>
      <c r="F648" s="192">
        <v>1140840</v>
      </c>
      <c r="G648" s="192">
        <v>1110840</v>
      </c>
      <c r="H648" s="192">
        <v>1080840</v>
      </c>
      <c r="I648" s="192">
        <v>1050840</v>
      </c>
      <c r="J648" s="192"/>
      <c r="K648" s="192"/>
      <c r="L648" s="192"/>
      <c r="M648" s="191"/>
      <c r="N648" s="191"/>
      <c r="O648" s="191"/>
      <c r="P648" s="191"/>
      <c r="Q648" s="191"/>
      <c r="R648" s="191"/>
      <c r="S648" s="191"/>
      <c r="T648" s="191"/>
      <c r="U648" s="191"/>
    </row>
  </sheetData>
  <phoneticPr fontId="1" type="noConversion"/>
  <pageMargins left="0.75" right="0.75" top="0.6" bottom="1" header="0.5" footer="0.5"/>
  <pageSetup paperSize="9" scale="55" fitToHeight="4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AX95"/>
  <sheetViews>
    <sheetView showGridLines="0" tabSelected="1" topLeftCell="X26" zoomScale="85" zoomScaleNormal="85" zoomScaleSheetLayoutView="55" workbookViewId="0">
      <selection activeCell="AE37" sqref="AE37"/>
    </sheetView>
  </sheetViews>
  <sheetFormatPr defaultColWidth="5.6875" defaultRowHeight="10.15" x14ac:dyDescent="0.6"/>
  <cols>
    <col min="1" max="1" width="4.6875" style="27" customWidth="1"/>
    <col min="2" max="2" width="8.1875" style="27" bestFit="1" customWidth="1"/>
    <col min="3" max="3" width="8.3125" style="27" customWidth="1"/>
    <col min="4" max="4" width="14.375" style="27" customWidth="1"/>
    <col min="5" max="6" width="10.3125" style="27" customWidth="1"/>
    <col min="7" max="7" width="12.875" style="27" customWidth="1"/>
    <col min="8" max="8" width="10" style="74" customWidth="1"/>
    <col min="9" max="9" width="13.625" style="28" customWidth="1"/>
    <col min="10" max="10" width="13.125" style="28" customWidth="1"/>
    <col min="11" max="12" width="11.3125" style="28" customWidth="1"/>
    <col min="13" max="13" width="12.125" style="28" customWidth="1"/>
    <col min="14" max="14" width="11.3125" style="127" customWidth="1"/>
    <col min="15" max="16" width="10" style="139" customWidth="1"/>
    <col min="17" max="17" width="10" style="74" customWidth="1"/>
    <col min="18" max="18" width="14" style="106" customWidth="1"/>
    <col min="19" max="19" width="10" style="74" customWidth="1"/>
    <col min="20" max="20" width="13.375" style="17" customWidth="1"/>
    <col min="21" max="21" width="14.6875" style="17" customWidth="1"/>
    <col min="22" max="22" width="5.875" style="17" customWidth="1"/>
    <col min="23" max="23" width="5.6875" style="27" customWidth="1"/>
    <col min="24" max="24" width="8.6875" style="17" customWidth="1"/>
    <col min="25" max="25" width="11.3125" style="17" customWidth="1"/>
    <col min="26" max="26" width="9" style="17" customWidth="1"/>
    <col min="27" max="27" width="12.125" style="17" customWidth="1"/>
    <col min="28" max="28" width="11.3125" style="17" customWidth="1"/>
    <col min="29" max="29" width="10.6875" style="17" customWidth="1"/>
    <col min="30" max="30" width="10.3125" style="17" customWidth="1"/>
    <col min="31" max="33" width="11.6875" style="17" customWidth="1"/>
    <col min="34" max="34" width="13.6875" style="17" customWidth="1"/>
    <col min="35" max="35" width="27" style="75" customWidth="1"/>
    <col min="36" max="36" width="4.6875" style="17" customWidth="1"/>
    <col min="37" max="39" width="16.6875" style="17" customWidth="1"/>
    <col min="40" max="40" width="13.6875" style="17" customWidth="1"/>
    <col min="41" max="42" width="10.3125" style="17" bestFit="1" customWidth="1"/>
    <col min="43" max="43" width="10" style="17" customWidth="1"/>
    <col min="44" max="44" width="10.3125" style="17" bestFit="1" customWidth="1"/>
    <col min="45" max="45" width="10" style="17" customWidth="1"/>
    <col min="46" max="47" width="10.3125" style="17" bestFit="1" customWidth="1"/>
    <col min="48" max="49" width="10" style="17" customWidth="1"/>
    <col min="50" max="50" width="11.3125" style="17" bestFit="1" customWidth="1"/>
    <col min="51" max="218" width="5.6875" style="17"/>
    <col min="219" max="219" width="4.6875" style="17" customWidth="1"/>
    <col min="220" max="220" width="8.3125" style="17" customWidth="1"/>
    <col min="221" max="222" width="0" style="17" hidden="1" customWidth="1"/>
    <col min="223" max="223" width="4.875" style="17" customWidth="1"/>
    <col min="224" max="224" width="7.875" style="17" customWidth="1"/>
    <col min="225" max="225" width="6.3125" style="17" customWidth="1"/>
    <col min="226" max="226" width="12.3125" style="17" customWidth="1"/>
    <col min="227" max="229" width="11.3125" style="17" customWidth="1"/>
    <col min="230" max="230" width="10.3125" style="17" customWidth="1"/>
    <col min="231" max="231" width="11.3125" style="17" customWidth="1"/>
    <col min="232" max="232" width="0" style="17" hidden="1" customWidth="1"/>
    <col min="233" max="233" width="13.6875" style="17" bestFit="1" customWidth="1"/>
    <col min="234" max="234" width="13" style="17" customWidth="1"/>
    <col min="235" max="235" width="14.6875" style="17" customWidth="1"/>
    <col min="236" max="236" width="5.875" style="17" customWidth="1"/>
    <col min="237" max="237" width="4.6875" style="17" customWidth="1"/>
    <col min="238" max="238" width="8.6875" style="17" customWidth="1"/>
    <col min="239" max="239" width="10.3125" style="17" customWidth="1"/>
    <col min="240" max="240" width="9" style="17" customWidth="1"/>
    <col min="241" max="241" width="12.125" style="17" customWidth="1"/>
    <col min="242" max="243" width="10.6875" style="17" customWidth="1"/>
    <col min="244" max="244" width="10.3125" style="17" customWidth="1"/>
    <col min="245" max="245" width="11.6875" style="17" customWidth="1"/>
    <col min="246" max="246" width="13.6875" style="17" customWidth="1"/>
    <col min="247" max="247" width="26.1875" style="17" customWidth="1"/>
    <col min="248" max="248" width="14.6875" style="17" customWidth="1"/>
    <col min="249" max="474" width="5.6875" style="17"/>
    <col min="475" max="475" width="4.6875" style="17" customWidth="1"/>
    <col min="476" max="476" width="8.3125" style="17" customWidth="1"/>
    <col min="477" max="478" width="0" style="17" hidden="1" customWidth="1"/>
    <col min="479" max="479" width="4.875" style="17" customWidth="1"/>
    <col min="480" max="480" width="7.875" style="17" customWidth="1"/>
    <col min="481" max="481" width="6.3125" style="17" customWidth="1"/>
    <col min="482" max="482" width="12.3125" style="17" customWidth="1"/>
    <col min="483" max="485" width="11.3125" style="17" customWidth="1"/>
    <col min="486" max="486" width="10.3125" style="17" customWidth="1"/>
    <col min="487" max="487" width="11.3125" style="17" customWidth="1"/>
    <col min="488" max="488" width="0" style="17" hidden="1" customWidth="1"/>
    <col min="489" max="489" width="13.6875" style="17" bestFit="1" customWidth="1"/>
    <col min="490" max="490" width="13" style="17" customWidth="1"/>
    <col min="491" max="491" width="14.6875" style="17" customWidth="1"/>
    <col min="492" max="492" width="5.875" style="17" customWidth="1"/>
    <col min="493" max="493" width="4.6875" style="17" customWidth="1"/>
    <col min="494" max="494" width="8.6875" style="17" customWidth="1"/>
    <col min="495" max="495" width="10.3125" style="17" customWidth="1"/>
    <col min="496" max="496" width="9" style="17" customWidth="1"/>
    <col min="497" max="497" width="12.125" style="17" customWidth="1"/>
    <col min="498" max="499" width="10.6875" style="17" customWidth="1"/>
    <col min="500" max="500" width="10.3125" style="17" customWidth="1"/>
    <col min="501" max="501" width="11.6875" style="17" customWidth="1"/>
    <col min="502" max="502" width="13.6875" style="17" customWidth="1"/>
    <col min="503" max="503" width="26.1875" style="17" customWidth="1"/>
    <col min="504" max="504" width="14.6875" style="17" customWidth="1"/>
    <col min="505" max="730" width="5.6875" style="17"/>
    <col min="731" max="731" width="4.6875" style="17" customWidth="1"/>
    <col min="732" max="732" width="8.3125" style="17" customWidth="1"/>
    <col min="733" max="734" width="0" style="17" hidden="1" customWidth="1"/>
    <col min="735" max="735" width="4.875" style="17" customWidth="1"/>
    <col min="736" max="736" width="7.875" style="17" customWidth="1"/>
    <col min="737" max="737" width="6.3125" style="17" customWidth="1"/>
    <col min="738" max="738" width="12.3125" style="17" customWidth="1"/>
    <col min="739" max="741" width="11.3125" style="17" customWidth="1"/>
    <col min="742" max="742" width="10.3125" style="17" customWidth="1"/>
    <col min="743" max="743" width="11.3125" style="17" customWidth="1"/>
    <col min="744" max="744" width="0" style="17" hidden="1" customWidth="1"/>
    <col min="745" max="745" width="13.6875" style="17" bestFit="1" customWidth="1"/>
    <col min="746" max="746" width="13" style="17" customWidth="1"/>
    <col min="747" max="747" width="14.6875" style="17" customWidth="1"/>
    <col min="748" max="748" width="5.875" style="17" customWidth="1"/>
    <col min="749" max="749" width="4.6875" style="17" customWidth="1"/>
    <col min="750" max="750" width="8.6875" style="17" customWidth="1"/>
    <col min="751" max="751" width="10.3125" style="17" customWidth="1"/>
    <col min="752" max="752" width="9" style="17" customWidth="1"/>
    <col min="753" max="753" width="12.125" style="17" customWidth="1"/>
    <col min="754" max="755" width="10.6875" style="17" customWidth="1"/>
    <col min="756" max="756" width="10.3125" style="17" customWidth="1"/>
    <col min="757" max="757" width="11.6875" style="17" customWidth="1"/>
    <col min="758" max="758" width="13.6875" style="17" customWidth="1"/>
    <col min="759" max="759" width="26.1875" style="17" customWidth="1"/>
    <col min="760" max="760" width="14.6875" style="17" customWidth="1"/>
    <col min="761" max="986" width="5.6875" style="17"/>
    <col min="987" max="987" width="4.6875" style="17" customWidth="1"/>
    <col min="988" max="988" width="8.3125" style="17" customWidth="1"/>
    <col min="989" max="990" width="0" style="17" hidden="1" customWidth="1"/>
    <col min="991" max="991" width="4.875" style="17" customWidth="1"/>
    <col min="992" max="992" width="7.875" style="17" customWidth="1"/>
    <col min="993" max="993" width="6.3125" style="17" customWidth="1"/>
    <col min="994" max="994" width="12.3125" style="17" customWidth="1"/>
    <col min="995" max="997" width="11.3125" style="17" customWidth="1"/>
    <col min="998" max="998" width="10.3125" style="17" customWidth="1"/>
    <col min="999" max="999" width="11.3125" style="17" customWidth="1"/>
    <col min="1000" max="1000" width="0" style="17" hidden="1" customWidth="1"/>
    <col min="1001" max="1001" width="13.6875" style="17" bestFit="1" customWidth="1"/>
    <col min="1002" max="1002" width="13" style="17" customWidth="1"/>
    <col min="1003" max="1003" width="14.6875" style="17" customWidth="1"/>
    <col min="1004" max="1004" width="5.875" style="17" customWidth="1"/>
    <col min="1005" max="1005" width="4.6875" style="17" customWidth="1"/>
    <col min="1006" max="1006" width="8.6875" style="17" customWidth="1"/>
    <col min="1007" max="1007" width="10.3125" style="17" customWidth="1"/>
    <col min="1008" max="1008" width="9" style="17" customWidth="1"/>
    <col min="1009" max="1009" width="12.125" style="17" customWidth="1"/>
    <col min="1010" max="1011" width="10.6875" style="17" customWidth="1"/>
    <col min="1012" max="1012" width="10.3125" style="17" customWidth="1"/>
    <col min="1013" max="1013" width="11.6875" style="17" customWidth="1"/>
    <col min="1014" max="1014" width="13.6875" style="17" customWidth="1"/>
    <col min="1015" max="1015" width="26.1875" style="17" customWidth="1"/>
    <col min="1016" max="1016" width="14.6875" style="17" customWidth="1"/>
    <col min="1017" max="1242" width="5.6875" style="17"/>
    <col min="1243" max="1243" width="4.6875" style="17" customWidth="1"/>
    <col min="1244" max="1244" width="8.3125" style="17" customWidth="1"/>
    <col min="1245" max="1246" width="0" style="17" hidden="1" customWidth="1"/>
    <col min="1247" max="1247" width="4.875" style="17" customWidth="1"/>
    <col min="1248" max="1248" width="7.875" style="17" customWidth="1"/>
    <col min="1249" max="1249" width="6.3125" style="17" customWidth="1"/>
    <col min="1250" max="1250" width="12.3125" style="17" customWidth="1"/>
    <col min="1251" max="1253" width="11.3125" style="17" customWidth="1"/>
    <col min="1254" max="1254" width="10.3125" style="17" customWidth="1"/>
    <col min="1255" max="1255" width="11.3125" style="17" customWidth="1"/>
    <col min="1256" max="1256" width="0" style="17" hidden="1" customWidth="1"/>
    <col min="1257" max="1257" width="13.6875" style="17" bestFit="1" customWidth="1"/>
    <col min="1258" max="1258" width="13" style="17" customWidth="1"/>
    <col min="1259" max="1259" width="14.6875" style="17" customWidth="1"/>
    <col min="1260" max="1260" width="5.875" style="17" customWidth="1"/>
    <col min="1261" max="1261" width="4.6875" style="17" customWidth="1"/>
    <col min="1262" max="1262" width="8.6875" style="17" customWidth="1"/>
    <col min="1263" max="1263" width="10.3125" style="17" customWidth="1"/>
    <col min="1264" max="1264" width="9" style="17" customWidth="1"/>
    <col min="1265" max="1265" width="12.125" style="17" customWidth="1"/>
    <col min="1266" max="1267" width="10.6875" style="17" customWidth="1"/>
    <col min="1268" max="1268" width="10.3125" style="17" customWidth="1"/>
    <col min="1269" max="1269" width="11.6875" style="17" customWidth="1"/>
    <col min="1270" max="1270" width="13.6875" style="17" customWidth="1"/>
    <col min="1271" max="1271" width="26.1875" style="17" customWidth="1"/>
    <col min="1272" max="1272" width="14.6875" style="17" customWidth="1"/>
    <col min="1273" max="1498" width="5.6875" style="17"/>
    <col min="1499" max="1499" width="4.6875" style="17" customWidth="1"/>
    <col min="1500" max="1500" width="8.3125" style="17" customWidth="1"/>
    <col min="1501" max="1502" width="0" style="17" hidden="1" customWidth="1"/>
    <col min="1503" max="1503" width="4.875" style="17" customWidth="1"/>
    <col min="1504" max="1504" width="7.875" style="17" customWidth="1"/>
    <col min="1505" max="1505" width="6.3125" style="17" customWidth="1"/>
    <col min="1506" max="1506" width="12.3125" style="17" customWidth="1"/>
    <col min="1507" max="1509" width="11.3125" style="17" customWidth="1"/>
    <col min="1510" max="1510" width="10.3125" style="17" customWidth="1"/>
    <col min="1511" max="1511" width="11.3125" style="17" customWidth="1"/>
    <col min="1512" max="1512" width="0" style="17" hidden="1" customWidth="1"/>
    <col min="1513" max="1513" width="13.6875" style="17" bestFit="1" customWidth="1"/>
    <col min="1514" max="1514" width="13" style="17" customWidth="1"/>
    <col min="1515" max="1515" width="14.6875" style="17" customWidth="1"/>
    <col min="1516" max="1516" width="5.875" style="17" customWidth="1"/>
    <col min="1517" max="1517" width="4.6875" style="17" customWidth="1"/>
    <col min="1518" max="1518" width="8.6875" style="17" customWidth="1"/>
    <col min="1519" max="1519" width="10.3125" style="17" customWidth="1"/>
    <col min="1520" max="1520" width="9" style="17" customWidth="1"/>
    <col min="1521" max="1521" width="12.125" style="17" customWidth="1"/>
    <col min="1522" max="1523" width="10.6875" style="17" customWidth="1"/>
    <col min="1524" max="1524" width="10.3125" style="17" customWidth="1"/>
    <col min="1525" max="1525" width="11.6875" style="17" customWidth="1"/>
    <col min="1526" max="1526" width="13.6875" style="17" customWidth="1"/>
    <col min="1527" max="1527" width="26.1875" style="17" customWidth="1"/>
    <col min="1528" max="1528" width="14.6875" style="17" customWidth="1"/>
    <col min="1529" max="1754" width="5.6875" style="17"/>
    <col min="1755" max="1755" width="4.6875" style="17" customWidth="1"/>
    <col min="1756" max="1756" width="8.3125" style="17" customWidth="1"/>
    <col min="1757" max="1758" width="0" style="17" hidden="1" customWidth="1"/>
    <col min="1759" max="1759" width="4.875" style="17" customWidth="1"/>
    <col min="1760" max="1760" width="7.875" style="17" customWidth="1"/>
    <col min="1761" max="1761" width="6.3125" style="17" customWidth="1"/>
    <col min="1762" max="1762" width="12.3125" style="17" customWidth="1"/>
    <col min="1763" max="1765" width="11.3125" style="17" customWidth="1"/>
    <col min="1766" max="1766" width="10.3125" style="17" customWidth="1"/>
    <col min="1767" max="1767" width="11.3125" style="17" customWidth="1"/>
    <col min="1768" max="1768" width="0" style="17" hidden="1" customWidth="1"/>
    <col min="1769" max="1769" width="13.6875" style="17" bestFit="1" customWidth="1"/>
    <col min="1770" max="1770" width="13" style="17" customWidth="1"/>
    <col min="1771" max="1771" width="14.6875" style="17" customWidth="1"/>
    <col min="1772" max="1772" width="5.875" style="17" customWidth="1"/>
    <col min="1773" max="1773" width="4.6875" style="17" customWidth="1"/>
    <col min="1774" max="1774" width="8.6875" style="17" customWidth="1"/>
    <col min="1775" max="1775" width="10.3125" style="17" customWidth="1"/>
    <col min="1776" max="1776" width="9" style="17" customWidth="1"/>
    <col min="1777" max="1777" width="12.125" style="17" customWidth="1"/>
    <col min="1778" max="1779" width="10.6875" style="17" customWidth="1"/>
    <col min="1780" max="1780" width="10.3125" style="17" customWidth="1"/>
    <col min="1781" max="1781" width="11.6875" style="17" customWidth="1"/>
    <col min="1782" max="1782" width="13.6875" style="17" customWidth="1"/>
    <col min="1783" max="1783" width="26.1875" style="17" customWidth="1"/>
    <col min="1784" max="1784" width="14.6875" style="17" customWidth="1"/>
    <col min="1785" max="2010" width="5.6875" style="17"/>
    <col min="2011" max="2011" width="4.6875" style="17" customWidth="1"/>
    <col min="2012" max="2012" width="8.3125" style="17" customWidth="1"/>
    <col min="2013" max="2014" width="0" style="17" hidden="1" customWidth="1"/>
    <col min="2015" max="2015" width="4.875" style="17" customWidth="1"/>
    <col min="2016" max="2016" width="7.875" style="17" customWidth="1"/>
    <col min="2017" max="2017" width="6.3125" style="17" customWidth="1"/>
    <col min="2018" max="2018" width="12.3125" style="17" customWidth="1"/>
    <col min="2019" max="2021" width="11.3125" style="17" customWidth="1"/>
    <col min="2022" max="2022" width="10.3125" style="17" customWidth="1"/>
    <col min="2023" max="2023" width="11.3125" style="17" customWidth="1"/>
    <col min="2024" max="2024" width="0" style="17" hidden="1" customWidth="1"/>
    <col min="2025" max="2025" width="13.6875" style="17" bestFit="1" customWidth="1"/>
    <col min="2026" max="2026" width="13" style="17" customWidth="1"/>
    <col min="2027" max="2027" width="14.6875" style="17" customWidth="1"/>
    <col min="2028" max="2028" width="5.875" style="17" customWidth="1"/>
    <col min="2029" max="2029" width="4.6875" style="17" customWidth="1"/>
    <col min="2030" max="2030" width="8.6875" style="17" customWidth="1"/>
    <col min="2031" max="2031" width="10.3125" style="17" customWidth="1"/>
    <col min="2032" max="2032" width="9" style="17" customWidth="1"/>
    <col min="2033" max="2033" width="12.125" style="17" customWidth="1"/>
    <col min="2034" max="2035" width="10.6875" style="17" customWidth="1"/>
    <col min="2036" max="2036" width="10.3125" style="17" customWidth="1"/>
    <col min="2037" max="2037" width="11.6875" style="17" customWidth="1"/>
    <col min="2038" max="2038" width="13.6875" style="17" customWidth="1"/>
    <col min="2039" max="2039" width="26.1875" style="17" customWidth="1"/>
    <col min="2040" max="2040" width="14.6875" style="17" customWidth="1"/>
    <col min="2041" max="2266" width="5.6875" style="17"/>
    <col min="2267" max="2267" width="4.6875" style="17" customWidth="1"/>
    <col min="2268" max="2268" width="8.3125" style="17" customWidth="1"/>
    <col min="2269" max="2270" width="0" style="17" hidden="1" customWidth="1"/>
    <col min="2271" max="2271" width="4.875" style="17" customWidth="1"/>
    <col min="2272" max="2272" width="7.875" style="17" customWidth="1"/>
    <col min="2273" max="2273" width="6.3125" style="17" customWidth="1"/>
    <col min="2274" max="2274" width="12.3125" style="17" customWidth="1"/>
    <col min="2275" max="2277" width="11.3125" style="17" customWidth="1"/>
    <col min="2278" max="2278" width="10.3125" style="17" customWidth="1"/>
    <col min="2279" max="2279" width="11.3125" style="17" customWidth="1"/>
    <col min="2280" max="2280" width="0" style="17" hidden="1" customWidth="1"/>
    <col min="2281" max="2281" width="13.6875" style="17" bestFit="1" customWidth="1"/>
    <col min="2282" max="2282" width="13" style="17" customWidth="1"/>
    <col min="2283" max="2283" width="14.6875" style="17" customWidth="1"/>
    <col min="2284" max="2284" width="5.875" style="17" customWidth="1"/>
    <col min="2285" max="2285" width="4.6875" style="17" customWidth="1"/>
    <col min="2286" max="2286" width="8.6875" style="17" customWidth="1"/>
    <col min="2287" max="2287" width="10.3125" style="17" customWidth="1"/>
    <col min="2288" max="2288" width="9" style="17" customWidth="1"/>
    <col min="2289" max="2289" width="12.125" style="17" customWidth="1"/>
    <col min="2290" max="2291" width="10.6875" style="17" customWidth="1"/>
    <col min="2292" max="2292" width="10.3125" style="17" customWidth="1"/>
    <col min="2293" max="2293" width="11.6875" style="17" customWidth="1"/>
    <col min="2294" max="2294" width="13.6875" style="17" customWidth="1"/>
    <col min="2295" max="2295" width="26.1875" style="17" customWidth="1"/>
    <col min="2296" max="2296" width="14.6875" style="17" customWidth="1"/>
    <col min="2297" max="2522" width="5.6875" style="17"/>
    <col min="2523" max="2523" width="4.6875" style="17" customWidth="1"/>
    <col min="2524" max="2524" width="8.3125" style="17" customWidth="1"/>
    <col min="2525" max="2526" width="0" style="17" hidden="1" customWidth="1"/>
    <col min="2527" max="2527" width="4.875" style="17" customWidth="1"/>
    <col min="2528" max="2528" width="7.875" style="17" customWidth="1"/>
    <col min="2529" max="2529" width="6.3125" style="17" customWidth="1"/>
    <col min="2530" max="2530" width="12.3125" style="17" customWidth="1"/>
    <col min="2531" max="2533" width="11.3125" style="17" customWidth="1"/>
    <col min="2534" max="2534" width="10.3125" style="17" customWidth="1"/>
    <col min="2535" max="2535" width="11.3125" style="17" customWidth="1"/>
    <col min="2536" max="2536" width="0" style="17" hidden="1" customWidth="1"/>
    <col min="2537" max="2537" width="13.6875" style="17" bestFit="1" customWidth="1"/>
    <col min="2538" max="2538" width="13" style="17" customWidth="1"/>
    <col min="2539" max="2539" width="14.6875" style="17" customWidth="1"/>
    <col min="2540" max="2540" width="5.875" style="17" customWidth="1"/>
    <col min="2541" max="2541" width="4.6875" style="17" customWidth="1"/>
    <col min="2542" max="2542" width="8.6875" style="17" customWidth="1"/>
    <col min="2543" max="2543" width="10.3125" style="17" customWidth="1"/>
    <col min="2544" max="2544" width="9" style="17" customWidth="1"/>
    <col min="2545" max="2545" width="12.125" style="17" customWidth="1"/>
    <col min="2546" max="2547" width="10.6875" style="17" customWidth="1"/>
    <col min="2548" max="2548" width="10.3125" style="17" customWidth="1"/>
    <col min="2549" max="2549" width="11.6875" style="17" customWidth="1"/>
    <col min="2550" max="2550" width="13.6875" style="17" customWidth="1"/>
    <col min="2551" max="2551" width="26.1875" style="17" customWidth="1"/>
    <col min="2552" max="2552" width="14.6875" style="17" customWidth="1"/>
    <col min="2553" max="2778" width="5.6875" style="17"/>
    <col min="2779" max="2779" width="4.6875" style="17" customWidth="1"/>
    <col min="2780" max="2780" width="8.3125" style="17" customWidth="1"/>
    <col min="2781" max="2782" width="0" style="17" hidden="1" customWidth="1"/>
    <col min="2783" max="2783" width="4.875" style="17" customWidth="1"/>
    <col min="2784" max="2784" width="7.875" style="17" customWidth="1"/>
    <col min="2785" max="2785" width="6.3125" style="17" customWidth="1"/>
    <col min="2786" max="2786" width="12.3125" style="17" customWidth="1"/>
    <col min="2787" max="2789" width="11.3125" style="17" customWidth="1"/>
    <col min="2790" max="2790" width="10.3125" style="17" customWidth="1"/>
    <col min="2791" max="2791" width="11.3125" style="17" customWidth="1"/>
    <col min="2792" max="2792" width="0" style="17" hidden="1" customWidth="1"/>
    <col min="2793" max="2793" width="13.6875" style="17" bestFit="1" customWidth="1"/>
    <col min="2794" max="2794" width="13" style="17" customWidth="1"/>
    <col min="2795" max="2795" width="14.6875" style="17" customWidth="1"/>
    <col min="2796" max="2796" width="5.875" style="17" customWidth="1"/>
    <col min="2797" max="2797" width="4.6875" style="17" customWidth="1"/>
    <col min="2798" max="2798" width="8.6875" style="17" customWidth="1"/>
    <col min="2799" max="2799" width="10.3125" style="17" customWidth="1"/>
    <col min="2800" max="2800" width="9" style="17" customWidth="1"/>
    <col min="2801" max="2801" width="12.125" style="17" customWidth="1"/>
    <col min="2802" max="2803" width="10.6875" style="17" customWidth="1"/>
    <col min="2804" max="2804" width="10.3125" style="17" customWidth="1"/>
    <col min="2805" max="2805" width="11.6875" style="17" customWidth="1"/>
    <col min="2806" max="2806" width="13.6875" style="17" customWidth="1"/>
    <col min="2807" max="2807" width="26.1875" style="17" customWidth="1"/>
    <col min="2808" max="2808" width="14.6875" style="17" customWidth="1"/>
    <col min="2809" max="3034" width="5.6875" style="17"/>
    <col min="3035" max="3035" width="4.6875" style="17" customWidth="1"/>
    <col min="3036" max="3036" width="8.3125" style="17" customWidth="1"/>
    <col min="3037" max="3038" width="0" style="17" hidden="1" customWidth="1"/>
    <col min="3039" max="3039" width="4.875" style="17" customWidth="1"/>
    <col min="3040" max="3040" width="7.875" style="17" customWidth="1"/>
    <col min="3041" max="3041" width="6.3125" style="17" customWidth="1"/>
    <col min="3042" max="3042" width="12.3125" style="17" customWidth="1"/>
    <col min="3043" max="3045" width="11.3125" style="17" customWidth="1"/>
    <col min="3046" max="3046" width="10.3125" style="17" customWidth="1"/>
    <col min="3047" max="3047" width="11.3125" style="17" customWidth="1"/>
    <col min="3048" max="3048" width="0" style="17" hidden="1" customWidth="1"/>
    <col min="3049" max="3049" width="13.6875" style="17" bestFit="1" customWidth="1"/>
    <col min="3050" max="3050" width="13" style="17" customWidth="1"/>
    <col min="3051" max="3051" width="14.6875" style="17" customWidth="1"/>
    <col min="3052" max="3052" width="5.875" style="17" customWidth="1"/>
    <col min="3053" max="3053" width="4.6875" style="17" customWidth="1"/>
    <col min="3054" max="3054" width="8.6875" style="17" customWidth="1"/>
    <col min="3055" max="3055" width="10.3125" style="17" customWidth="1"/>
    <col min="3056" max="3056" width="9" style="17" customWidth="1"/>
    <col min="3057" max="3057" width="12.125" style="17" customWidth="1"/>
    <col min="3058" max="3059" width="10.6875" style="17" customWidth="1"/>
    <col min="3060" max="3060" width="10.3125" style="17" customWidth="1"/>
    <col min="3061" max="3061" width="11.6875" style="17" customWidth="1"/>
    <col min="3062" max="3062" width="13.6875" style="17" customWidth="1"/>
    <col min="3063" max="3063" width="26.1875" style="17" customWidth="1"/>
    <col min="3064" max="3064" width="14.6875" style="17" customWidth="1"/>
    <col min="3065" max="3290" width="5.6875" style="17"/>
    <col min="3291" max="3291" width="4.6875" style="17" customWidth="1"/>
    <col min="3292" max="3292" width="8.3125" style="17" customWidth="1"/>
    <col min="3293" max="3294" width="0" style="17" hidden="1" customWidth="1"/>
    <col min="3295" max="3295" width="4.875" style="17" customWidth="1"/>
    <col min="3296" max="3296" width="7.875" style="17" customWidth="1"/>
    <col min="3297" max="3297" width="6.3125" style="17" customWidth="1"/>
    <col min="3298" max="3298" width="12.3125" style="17" customWidth="1"/>
    <col min="3299" max="3301" width="11.3125" style="17" customWidth="1"/>
    <col min="3302" max="3302" width="10.3125" style="17" customWidth="1"/>
    <col min="3303" max="3303" width="11.3125" style="17" customWidth="1"/>
    <col min="3304" max="3304" width="0" style="17" hidden="1" customWidth="1"/>
    <col min="3305" max="3305" width="13.6875" style="17" bestFit="1" customWidth="1"/>
    <col min="3306" max="3306" width="13" style="17" customWidth="1"/>
    <col min="3307" max="3307" width="14.6875" style="17" customWidth="1"/>
    <col min="3308" max="3308" width="5.875" style="17" customWidth="1"/>
    <col min="3309" max="3309" width="4.6875" style="17" customWidth="1"/>
    <col min="3310" max="3310" width="8.6875" style="17" customWidth="1"/>
    <col min="3311" max="3311" width="10.3125" style="17" customWidth="1"/>
    <col min="3312" max="3312" width="9" style="17" customWidth="1"/>
    <col min="3313" max="3313" width="12.125" style="17" customWidth="1"/>
    <col min="3314" max="3315" width="10.6875" style="17" customWidth="1"/>
    <col min="3316" max="3316" width="10.3125" style="17" customWidth="1"/>
    <col min="3317" max="3317" width="11.6875" style="17" customWidth="1"/>
    <col min="3318" max="3318" width="13.6875" style="17" customWidth="1"/>
    <col min="3319" max="3319" width="26.1875" style="17" customWidth="1"/>
    <col min="3320" max="3320" width="14.6875" style="17" customWidth="1"/>
    <col min="3321" max="3546" width="5.6875" style="17"/>
    <col min="3547" max="3547" width="4.6875" style="17" customWidth="1"/>
    <col min="3548" max="3548" width="8.3125" style="17" customWidth="1"/>
    <col min="3549" max="3550" width="0" style="17" hidden="1" customWidth="1"/>
    <col min="3551" max="3551" width="4.875" style="17" customWidth="1"/>
    <col min="3552" max="3552" width="7.875" style="17" customWidth="1"/>
    <col min="3553" max="3553" width="6.3125" style="17" customWidth="1"/>
    <col min="3554" max="3554" width="12.3125" style="17" customWidth="1"/>
    <col min="3555" max="3557" width="11.3125" style="17" customWidth="1"/>
    <col min="3558" max="3558" width="10.3125" style="17" customWidth="1"/>
    <col min="3559" max="3559" width="11.3125" style="17" customWidth="1"/>
    <col min="3560" max="3560" width="0" style="17" hidden="1" customWidth="1"/>
    <col min="3561" max="3561" width="13.6875" style="17" bestFit="1" customWidth="1"/>
    <col min="3562" max="3562" width="13" style="17" customWidth="1"/>
    <col min="3563" max="3563" width="14.6875" style="17" customWidth="1"/>
    <col min="3564" max="3564" width="5.875" style="17" customWidth="1"/>
    <col min="3565" max="3565" width="4.6875" style="17" customWidth="1"/>
    <col min="3566" max="3566" width="8.6875" style="17" customWidth="1"/>
    <col min="3567" max="3567" width="10.3125" style="17" customWidth="1"/>
    <col min="3568" max="3568" width="9" style="17" customWidth="1"/>
    <col min="3569" max="3569" width="12.125" style="17" customWidth="1"/>
    <col min="3570" max="3571" width="10.6875" style="17" customWidth="1"/>
    <col min="3572" max="3572" width="10.3125" style="17" customWidth="1"/>
    <col min="3573" max="3573" width="11.6875" style="17" customWidth="1"/>
    <col min="3574" max="3574" width="13.6875" style="17" customWidth="1"/>
    <col min="3575" max="3575" width="26.1875" style="17" customWidth="1"/>
    <col min="3576" max="3576" width="14.6875" style="17" customWidth="1"/>
    <col min="3577" max="3802" width="5.6875" style="17"/>
    <col min="3803" max="3803" width="4.6875" style="17" customWidth="1"/>
    <col min="3804" max="3804" width="8.3125" style="17" customWidth="1"/>
    <col min="3805" max="3806" width="0" style="17" hidden="1" customWidth="1"/>
    <col min="3807" max="3807" width="4.875" style="17" customWidth="1"/>
    <col min="3808" max="3808" width="7.875" style="17" customWidth="1"/>
    <col min="3809" max="3809" width="6.3125" style="17" customWidth="1"/>
    <col min="3810" max="3810" width="12.3125" style="17" customWidth="1"/>
    <col min="3811" max="3813" width="11.3125" style="17" customWidth="1"/>
    <col min="3814" max="3814" width="10.3125" style="17" customWidth="1"/>
    <col min="3815" max="3815" width="11.3125" style="17" customWidth="1"/>
    <col min="3816" max="3816" width="0" style="17" hidden="1" customWidth="1"/>
    <col min="3817" max="3817" width="13.6875" style="17" bestFit="1" customWidth="1"/>
    <col min="3818" max="3818" width="13" style="17" customWidth="1"/>
    <col min="3819" max="3819" width="14.6875" style="17" customWidth="1"/>
    <col min="3820" max="3820" width="5.875" style="17" customWidth="1"/>
    <col min="3821" max="3821" width="4.6875" style="17" customWidth="1"/>
    <col min="3822" max="3822" width="8.6875" style="17" customWidth="1"/>
    <col min="3823" max="3823" width="10.3125" style="17" customWidth="1"/>
    <col min="3824" max="3824" width="9" style="17" customWidth="1"/>
    <col min="3825" max="3825" width="12.125" style="17" customWidth="1"/>
    <col min="3826" max="3827" width="10.6875" style="17" customWidth="1"/>
    <col min="3828" max="3828" width="10.3125" style="17" customWidth="1"/>
    <col min="3829" max="3829" width="11.6875" style="17" customWidth="1"/>
    <col min="3830" max="3830" width="13.6875" style="17" customWidth="1"/>
    <col min="3831" max="3831" width="26.1875" style="17" customWidth="1"/>
    <col min="3832" max="3832" width="14.6875" style="17" customWidth="1"/>
    <col min="3833" max="4058" width="5.6875" style="17"/>
    <col min="4059" max="4059" width="4.6875" style="17" customWidth="1"/>
    <col min="4060" max="4060" width="8.3125" style="17" customWidth="1"/>
    <col min="4061" max="4062" width="0" style="17" hidden="1" customWidth="1"/>
    <col min="4063" max="4063" width="4.875" style="17" customWidth="1"/>
    <col min="4064" max="4064" width="7.875" style="17" customWidth="1"/>
    <col min="4065" max="4065" width="6.3125" style="17" customWidth="1"/>
    <col min="4066" max="4066" width="12.3125" style="17" customWidth="1"/>
    <col min="4067" max="4069" width="11.3125" style="17" customWidth="1"/>
    <col min="4070" max="4070" width="10.3125" style="17" customWidth="1"/>
    <col min="4071" max="4071" width="11.3125" style="17" customWidth="1"/>
    <col min="4072" max="4072" width="0" style="17" hidden="1" customWidth="1"/>
    <col min="4073" max="4073" width="13.6875" style="17" bestFit="1" customWidth="1"/>
    <col min="4074" max="4074" width="13" style="17" customWidth="1"/>
    <col min="4075" max="4075" width="14.6875" style="17" customWidth="1"/>
    <col min="4076" max="4076" width="5.875" style="17" customWidth="1"/>
    <col min="4077" max="4077" width="4.6875" style="17" customWidth="1"/>
    <col min="4078" max="4078" width="8.6875" style="17" customWidth="1"/>
    <col min="4079" max="4079" width="10.3125" style="17" customWidth="1"/>
    <col min="4080" max="4080" width="9" style="17" customWidth="1"/>
    <col min="4081" max="4081" width="12.125" style="17" customWidth="1"/>
    <col min="4082" max="4083" width="10.6875" style="17" customWidth="1"/>
    <col min="4084" max="4084" width="10.3125" style="17" customWidth="1"/>
    <col min="4085" max="4085" width="11.6875" style="17" customWidth="1"/>
    <col min="4086" max="4086" width="13.6875" style="17" customWidth="1"/>
    <col min="4087" max="4087" width="26.1875" style="17" customWidth="1"/>
    <col min="4088" max="4088" width="14.6875" style="17" customWidth="1"/>
    <col min="4089" max="4314" width="5.6875" style="17"/>
    <col min="4315" max="4315" width="4.6875" style="17" customWidth="1"/>
    <col min="4316" max="4316" width="8.3125" style="17" customWidth="1"/>
    <col min="4317" max="4318" width="0" style="17" hidden="1" customWidth="1"/>
    <col min="4319" max="4319" width="4.875" style="17" customWidth="1"/>
    <col min="4320" max="4320" width="7.875" style="17" customWidth="1"/>
    <col min="4321" max="4321" width="6.3125" style="17" customWidth="1"/>
    <col min="4322" max="4322" width="12.3125" style="17" customWidth="1"/>
    <col min="4323" max="4325" width="11.3125" style="17" customWidth="1"/>
    <col min="4326" max="4326" width="10.3125" style="17" customWidth="1"/>
    <col min="4327" max="4327" width="11.3125" style="17" customWidth="1"/>
    <col min="4328" max="4328" width="0" style="17" hidden="1" customWidth="1"/>
    <col min="4329" max="4329" width="13.6875" style="17" bestFit="1" customWidth="1"/>
    <col min="4330" max="4330" width="13" style="17" customWidth="1"/>
    <col min="4331" max="4331" width="14.6875" style="17" customWidth="1"/>
    <col min="4332" max="4332" width="5.875" style="17" customWidth="1"/>
    <col min="4333" max="4333" width="4.6875" style="17" customWidth="1"/>
    <col min="4334" max="4334" width="8.6875" style="17" customWidth="1"/>
    <col min="4335" max="4335" width="10.3125" style="17" customWidth="1"/>
    <col min="4336" max="4336" width="9" style="17" customWidth="1"/>
    <col min="4337" max="4337" width="12.125" style="17" customWidth="1"/>
    <col min="4338" max="4339" width="10.6875" style="17" customWidth="1"/>
    <col min="4340" max="4340" width="10.3125" style="17" customWidth="1"/>
    <col min="4341" max="4341" width="11.6875" style="17" customWidth="1"/>
    <col min="4342" max="4342" width="13.6875" style="17" customWidth="1"/>
    <col min="4343" max="4343" width="26.1875" style="17" customWidth="1"/>
    <col min="4344" max="4344" width="14.6875" style="17" customWidth="1"/>
    <col min="4345" max="4570" width="5.6875" style="17"/>
    <col min="4571" max="4571" width="4.6875" style="17" customWidth="1"/>
    <col min="4572" max="4572" width="8.3125" style="17" customWidth="1"/>
    <col min="4573" max="4574" width="0" style="17" hidden="1" customWidth="1"/>
    <col min="4575" max="4575" width="4.875" style="17" customWidth="1"/>
    <col min="4576" max="4576" width="7.875" style="17" customWidth="1"/>
    <col min="4577" max="4577" width="6.3125" style="17" customWidth="1"/>
    <col min="4578" max="4578" width="12.3125" style="17" customWidth="1"/>
    <col min="4579" max="4581" width="11.3125" style="17" customWidth="1"/>
    <col min="4582" max="4582" width="10.3125" style="17" customWidth="1"/>
    <col min="4583" max="4583" width="11.3125" style="17" customWidth="1"/>
    <col min="4584" max="4584" width="0" style="17" hidden="1" customWidth="1"/>
    <col min="4585" max="4585" width="13.6875" style="17" bestFit="1" customWidth="1"/>
    <col min="4586" max="4586" width="13" style="17" customWidth="1"/>
    <col min="4587" max="4587" width="14.6875" style="17" customWidth="1"/>
    <col min="4588" max="4588" width="5.875" style="17" customWidth="1"/>
    <col min="4589" max="4589" width="4.6875" style="17" customWidth="1"/>
    <col min="4590" max="4590" width="8.6875" style="17" customWidth="1"/>
    <col min="4591" max="4591" width="10.3125" style="17" customWidth="1"/>
    <col min="4592" max="4592" width="9" style="17" customWidth="1"/>
    <col min="4593" max="4593" width="12.125" style="17" customWidth="1"/>
    <col min="4594" max="4595" width="10.6875" style="17" customWidth="1"/>
    <col min="4596" max="4596" width="10.3125" style="17" customWidth="1"/>
    <col min="4597" max="4597" width="11.6875" style="17" customWidth="1"/>
    <col min="4598" max="4598" width="13.6875" style="17" customWidth="1"/>
    <col min="4599" max="4599" width="26.1875" style="17" customWidth="1"/>
    <col min="4600" max="4600" width="14.6875" style="17" customWidth="1"/>
    <col min="4601" max="4826" width="5.6875" style="17"/>
    <col min="4827" max="4827" width="4.6875" style="17" customWidth="1"/>
    <col min="4828" max="4828" width="8.3125" style="17" customWidth="1"/>
    <col min="4829" max="4830" width="0" style="17" hidden="1" customWidth="1"/>
    <col min="4831" max="4831" width="4.875" style="17" customWidth="1"/>
    <col min="4832" max="4832" width="7.875" style="17" customWidth="1"/>
    <col min="4833" max="4833" width="6.3125" style="17" customWidth="1"/>
    <col min="4834" max="4834" width="12.3125" style="17" customWidth="1"/>
    <col min="4835" max="4837" width="11.3125" style="17" customWidth="1"/>
    <col min="4838" max="4838" width="10.3125" style="17" customWidth="1"/>
    <col min="4839" max="4839" width="11.3125" style="17" customWidth="1"/>
    <col min="4840" max="4840" width="0" style="17" hidden="1" customWidth="1"/>
    <col min="4841" max="4841" width="13.6875" style="17" bestFit="1" customWidth="1"/>
    <col min="4842" max="4842" width="13" style="17" customWidth="1"/>
    <col min="4843" max="4843" width="14.6875" style="17" customWidth="1"/>
    <col min="4844" max="4844" width="5.875" style="17" customWidth="1"/>
    <col min="4845" max="4845" width="4.6875" style="17" customWidth="1"/>
    <col min="4846" max="4846" width="8.6875" style="17" customWidth="1"/>
    <col min="4847" max="4847" width="10.3125" style="17" customWidth="1"/>
    <col min="4848" max="4848" width="9" style="17" customWidth="1"/>
    <col min="4849" max="4849" width="12.125" style="17" customWidth="1"/>
    <col min="4850" max="4851" width="10.6875" style="17" customWidth="1"/>
    <col min="4852" max="4852" width="10.3125" style="17" customWidth="1"/>
    <col min="4853" max="4853" width="11.6875" style="17" customWidth="1"/>
    <col min="4854" max="4854" width="13.6875" style="17" customWidth="1"/>
    <col min="4855" max="4855" width="26.1875" style="17" customWidth="1"/>
    <col min="4856" max="4856" width="14.6875" style="17" customWidth="1"/>
    <col min="4857" max="5082" width="5.6875" style="17"/>
    <col min="5083" max="5083" width="4.6875" style="17" customWidth="1"/>
    <col min="5084" max="5084" width="8.3125" style="17" customWidth="1"/>
    <col min="5085" max="5086" width="0" style="17" hidden="1" customWidth="1"/>
    <col min="5087" max="5087" width="4.875" style="17" customWidth="1"/>
    <col min="5088" max="5088" width="7.875" style="17" customWidth="1"/>
    <col min="5089" max="5089" width="6.3125" style="17" customWidth="1"/>
    <col min="5090" max="5090" width="12.3125" style="17" customWidth="1"/>
    <col min="5091" max="5093" width="11.3125" style="17" customWidth="1"/>
    <col min="5094" max="5094" width="10.3125" style="17" customWidth="1"/>
    <col min="5095" max="5095" width="11.3125" style="17" customWidth="1"/>
    <col min="5096" max="5096" width="0" style="17" hidden="1" customWidth="1"/>
    <col min="5097" max="5097" width="13.6875" style="17" bestFit="1" customWidth="1"/>
    <col min="5098" max="5098" width="13" style="17" customWidth="1"/>
    <col min="5099" max="5099" width="14.6875" style="17" customWidth="1"/>
    <col min="5100" max="5100" width="5.875" style="17" customWidth="1"/>
    <col min="5101" max="5101" width="4.6875" style="17" customWidth="1"/>
    <col min="5102" max="5102" width="8.6875" style="17" customWidth="1"/>
    <col min="5103" max="5103" width="10.3125" style="17" customWidth="1"/>
    <col min="5104" max="5104" width="9" style="17" customWidth="1"/>
    <col min="5105" max="5105" width="12.125" style="17" customWidth="1"/>
    <col min="5106" max="5107" width="10.6875" style="17" customWidth="1"/>
    <col min="5108" max="5108" width="10.3125" style="17" customWidth="1"/>
    <col min="5109" max="5109" width="11.6875" style="17" customWidth="1"/>
    <col min="5110" max="5110" width="13.6875" style="17" customWidth="1"/>
    <col min="5111" max="5111" width="26.1875" style="17" customWidth="1"/>
    <col min="5112" max="5112" width="14.6875" style="17" customWidth="1"/>
    <col min="5113" max="5338" width="5.6875" style="17"/>
    <col min="5339" max="5339" width="4.6875" style="17" customWidth="1"/>
    <col min="5340" max="5340" width="8.3125" style="17" customWidth="1"/>
    <col min="5341" max="5342" width="0" style="17" hidden="1" customWidth="1"/>
    <col min="5343" max="5343" width="4.875" style="17" customWidth="1"/>
    <col min="5344" max="5344" width="7.875" style="17" customWidth="1"/>
    <col min="5345" max="5345" width="6.3125" style="17" customWidth="1"/>
    <col min="5346" max="5346" width="12.3125" style="17" customWidth="1"/>
    <col min="5347" max="5349" width="11.3125" style="17" customWidth="1"/>
    <col min="5350" max="5350" width="10.3125" style="17" customWidth="1"/>
    <col min="5351" max="5351" width="11.3125" style="17" customWidth="1"/>
    <col min="5352" max="5352" width="0" style="17" hidden="1" customWidth="1"/>
    <col min="5353" max="5353" width="13.6875" style="17" bestFit="1" customWidth="1"/>
    <col min="5354" max="5354" width="13" style="17" customWidth="1"/>
    <col min="5355" max="5355" width="14.6875" style="17" customWidth="1"/>
    <col min="5356" max="5356" width="5.875" style="17" customWidth="1"/>
    <col min="5357" max="5357" width="4.6875" style="17" customWidth="1"/>
    <col min="5358" max="5358" width="8.6875" style="17" customWidth="1"/>
    <col min="5359" max="5359" width="10.3125" style="17" customWidth="1"/>
    <col min="5360" max="5360" width="9" style="17" customWidth="1"/>
    <col min="5361" max="5361" width="12.125" style="17" customWidth="1"/>
    <col min="5362" max="5363" width="10.6875" style="17" customWidth="1"/>
    <col min="5364" max="5364" width="10.3125" style="17" customWidth="1"/>
    <col min="5365" max="5365" width="11.6875" style="17" customWidth="1"/>
    <col min="5366" max="5366" width="13.6875" style="17" customWidth="1"/>
    <col min="5367" max="5367" width="26.1875" style="17" customWidth="1"/>
    <col min="5368" max="5368" width="14.6875" style="17" customWidth="1"/>
    <col min="5369" max="5594" width="5.6875" style="17"/>
    <col min="5595" max="5595" width="4.6875" style="17" customWidth="1"/>
    <col min="5596" max="5596" width="8.3125" style="17" customWidth="1"/>
    <col min="5597" max="5598" width="0" style="17" hidden="1" customWidth="1"/>
    <col min="5599" max="5599" width="4.875" style="17" customWidth="1"/>
    <col min="5600" max="5600" width="7.875" style="17" customWidth="1"/>
    <col min="5601" max="5601" width="6.3125" style="17" customWidth="1"/>
    <col min="5602" max="5602" width="12.3125" style="17" customWidth="1"/>
    <col min="5603" max="5605" width="11.3125" style="17" customWidth="1"/>
    <col min="5606" max="5606" width="10.3125" style="17" customWidth="1"/>
    <col min="5607" max="5607" width="11.3125" style="17" customWidth="1"/>
    <col min="5608" max="5608" width="0" style="17" hidden="1" customWidth="1"/>
    <col min="5609" max="5609" width="13.6875" style="17" bestFit="1" customWidth="1"/>
    <col min="5610" max="5610" width="13" style="17" customWidth="1"/>
    <col min="5611" max="5611" width="14.6875" style="17" customWidth="1"/>
    <col min="5612" max="5612" width="5.875" style="17" customWidth="1"/>
    <col min="5613" max="5613" width="4.6875" style="17" customWidth="1"/>
    <col min="5614" max="5614" width="8.6875" style="17" customWidth="1"/>
    <col min="5615" max="5615" width="10.3125" style="17" customWidth="1"/>
    <col min="5616" max="5616" width="9" style="17" customWidth="1"/>
    <col min="5617" max="5617" width="12.125" style="17" customWidth="1"/>
    <col min="5618" max="5619" width="10.6875" style="17" customWidth="1"/>
    <col min="5620" max="5620" width="10.3125" style="17" customWidth="1"/>
    <col min="5621" max="5621" width="11.6875" style="17" customWidth="1"/>
    <col min="5622" max="5622" width="13.6875" style="17" customWidth="1"/>
    <col min="5623" max="5623" width="26.1875" style="17" customWidth="1"/>
    <col min="5624" max="5624" width="14.6875" style="17" customWidth="1"/>
    <col min="5625" max="5850" width="5.6875" style="17"/>
    <col min="5851" max="5851" width="4.6875" style="17" customWidth="1"/>
    <col min="5852" max="5852" width="8.3125" style="17" customWidth="1"/>
    <col min="5853" max="5854" width="0" style="17" hidden="1" customWidth="1"/>
    <col min="5855" max="5855" width="4.875" style="17" customWidth="1"/>
    <col min="5856" max="5856" width="7.875" style="17" customWidth="1"/>
    <col min="5857" max="5857" width="6.3125" style="17" customWidth="1"/>
    <col min="5858" max="5858" width="12.3125" style="17" customWidth="1"/>
    <col min="5859" max="5861" width="11.3125" style="17" customWidth="1"/>
    <col min="5862" max="5862" width="10.3125" style="17" customWidth="1"/>
    <col min="5863" max="5863" width="11.3125" style="17" customWidth="1"/>
    <col min="5864" max="5864" width="0" style="17" hidden="1" customWidth="1"/>
    <col min="5865" max="5865" width="13.6875" style="17" bestFit="1" customWidth="1"/>
    <col min="5866" max="5866" width="13" style="17" customWidth="1"/>
    <col min="5867" max="5867" width="14.6875" style="17" customWidth="1"/>
    <col min="5868" max="5868" width="5.875" style="17" customWidth="1"/>
    <col min="5869" max="5869" width="4.6875" style="17" customWidth="1"/>
    <col min="5870" max="5870" width="8.6875" style="17" customWidth="1"/>
    <col min="5871" max="5871" width="10.3125" style="17" customWidth="1"/>
    <col min="5872" max="5872" width="9" style="17" customWidth="1"/>
    <col min="5873" max="5873" width="12.125" style="17" customWidth="1"/>
    <col min="5874" max="5875" width="10.6875" style="17" customWidth="1"/>
    <col min="5876" max="5876" width="10.3125" style="17" customWidth="1"/>
    <col min="5877" max="5877" width="11.6875" style="17" customWidth="1"/>
    <col min="5878" max="5878" width="13.6875" style="17" customWidth="1"/>
    <col min="5879" max="5879" width="26.1875" style="17" customWidth="1"/>
    <col min="5880" max="5880" width="14.6875" style="17" customWidth="1"/>
    <col min="5881" max="6106" width="5.6875" style="17"/>
    <col min="6107" max="6107" width="4.6875" style="17" customWidth="1"/>
    <col min="6108" max="6108" width="8.3125" style="17" customWidth="1"/>
    <col min="6109" max="6110" width="0" style="17" hidden="1" customWidth="1"/>
    <col min="6111" max="6111" width="4.875" style="17" customWidth="1"/>
    <col min="6112" max="6112" width="7.875" style="17" customWidth="1"/>
    <col min="6113" max="6113" width="6.3125" style="17" customWidth="1"/>
    <col min="6114" max="6114" width="12.3125" style="17" customWidth="1"/>
    <col min="6115" max="6117" width="11.3125" style="17" customWidth="1"/>
    <col min="6118" max="6118" width="10.3125" style="17" customWidth="1"/>
    <col min="6119" max="6119" width="11.3125" style="17" customWidth="1"/>
    <col min="6120" max="6120" width="0" style="17" hidden="1" customWidth="1"/>
    <col min="6121" max="6121" width="13.6875" style="17" bestFit="1" customWidth="1"/>
    <col min="6122" max="6122" width="13" style="17" customWidth="1"/>
    <col min="6123" max="6123" width="14.6875" style="17" customWidth="1"/>
    <col min="6124" max="6124" width="5.875" style="17" customWidth="1"/>
    <col min="6125" max="6125" width="4.6875" style="17" customWidth="1"/>
    <col min="6126" max="6126" width="8.6875" style="17" customWidth="1"/>
    <col min="6127" max="6127" width="10.3125" style="17" customWidth="1"/>
    <col min="6128" max="6128" width="9" style="17" customWidth="1"/>
    <col min="6129" max="6129" width="12.125" style="17" customWidth="1"/>
    <col min="6130" max="6131" width="10.6875" style="17" customWidth="1"/>
    <col min="6132" max="6132" width="10.3125" style="17" customWidth="1"/>
    <col min="6133" max="6133" width="11.6875" style="17" customWidth="1"/>
    <col min="6134" max="6134" width="13.6875" style="17" customWidth="1"/>
    <col min="6135" max="6135" width="26.1875" style="17" customWidth="1"/>
    <col min="6136" max="6136" width="14.6875" style="17" customWidth="1"/>
    <col min="6137" max="6362" width="5.6875" style="17"/>
    <col min="6363" max="6363" width="4.6875" style="17" customWidth="1"/>
    <col min="6364" max="6364" width="8.3125" style="17" customWidth="1"/>
    <col min="6365" max="6366" width="0" style="17" hidden="1" customWidth="1"/>
    <col min="6367" max="6367" width="4.875" style="17" customWidth="1"/>
    <col min="6368" max="6368" width="7.875" style="17" customWidth="1"/>
    <col min="6369" max="6369" width="6.3125" style="17" customWidth="1"/>
    <col min="6370" max="6370" width="12.3125" style="17" customWidth="1"/>
    <col min="6371" max="6373" width="11.3125" style="17" customWidth="1"/>
    <col min="6374" max="6374" width="10.3125" style="17" customWidth="1"/>
    <col min="6375" max="6375" width="11.3125" style="17" customWidth="1"/>
    <col min="6376" max="6376" width="0" style="17" hidden="1" customWidth="1"/>
    <col min="6377" max="6377" width="13.6875" style="17" bestFit="1" customWidth="1"/>
    <col min="6378" max="6378" width="13" style="17" customWidth="1"/>
    <col min="6379" max="6379" width="14.6875" style="17" customWidth="1"/>
    <col min="6380" max="6380" width="5.875" style="17" customWidth="1"/>
    <col min="6381" max="6381" width="4.6875" style="17" customWidth="1"/>
    <col min="6382" max="6382" width="8.6875" style="17" customWidth="1"/>
    <col min="6383" max="6383" width="10.3125" style="17" customWidth="1"/>
    <col min="6384" max="6384" width="9" style="17" customWidth="1"/>
    <col min="6385" max="6385" width="12.125" style="17" customWidth="1"/>
    <col min="6386" max="6387" width="10.6875" style="17" customWidth="1"/>
    <col min="6388" max="6388" width="10.3125" style="17" customWidth="1"/>
    <col min="6389" max="6389" width="11.6875" style="17" customWidth="1"/>
    <col min="6390" max="6390" width="13.6875" style="17" customWidth="1"/>
    <col min="6391" max="6391" width="26.1875" style="17" customWidth="1"/>
    <col min="6392" max="6392" width="14.6875" style="17" customWidth="1"/>
    <col min="6393" max="6618" width="5.6875" style="17"/>
    <col min="6619" max="6619" width="4.6875" style="17" customWidth="1"/>
    <col min="6620" max="6620" width="8.3125" style="17" customWidth="1"/>
    <col min="6621" max="6622" width="0" style="17" hidden="1" customWidth="1"/>
    <col min="6623" max="6623" width="4.875" style="17" customWidth="1"/>
    <col min="6624" max="6624" width="7.875" style="17" customWidth="1"/>
    <col min="6625" max="6625" width="6.3125" style="17" customWidth="1"/>
    <col min="6626" max="6626" width="12.3125" style="17" customWidth="1"/>
    <col min="6627" max="6629" width="11.3125" style="17" customWidth="1"/>
    <col min="6630" max="6630" width="10.3125" style="17" customWidth="1"/>
    <col min="6631" max="6631" width="11.3125" style="17" customWidth="1"/>
    <col min="6632" max="6632" width="0" style="17" hidden="1" customWidth="1"/>
    <col min="6633" max="6633" width="13.6875" style="17" bestFit="1" customWidth="1"/>
    <col min="6634" max="6634" width="13" style="17" customWidth="1"/>
    <col min="6635" max="6635" width="14.6875" style="17" customWidth="1"/>
    <col min="6636" max="6636" width="5.875" style="17" customWidth="1"/>
    <col min="6637" max="6637" width="4.6875" style="17" customWidth="1"/>
    <col min="6638" max="6638" width="8.6875" style="17" customWidth="1"/>
    <col min="6639" max="6639" width="10.3125" style="17" customWidth="1"/>
    <col min="6640" max="6640" width="9" style="17" customWidth="1"/>
    <col min="6641" max="6641" width="12.125" style="17" customWidth="1"/>
    <col min="6642" max="6643" width="10.6875" style="17" customWidth="1"/>
    <col min="6644" max="6644" width="10.3125" style="17" customWidth="1"/>
    <col min="6645" max="6645" width="11.6875" style="17" customWidth="1"/>
    <col min="6646" max="6646" width="13.6875" style="17" customWidth="1"/>
    <col min="6647" max="6647" width="26.1875" style="17" customWidth="1"/>
    <col min="6648" max="6648" width="14.6875" style="17" customWidth="1"/>
    <col min="6649" max="6874" width="5.6875" style="17"/>
    <col min="6875" max="6875" width="4.6875" style="17" customWidth="1"/>
    <col min="6876" max="6876" width="8.3125" style="17" customWidth="1"/>
    <col min="6877" max="6878" width="0" style="17" hidden="1" customWidth="1"/>
    <col min="6879" max="6879" width="4.875" style="17" customWidth="1"/>
    <col min="6880" max="6880" width="7.875" style="17" customWidth="1"/>
    <col min="6881" max="6881" width="6.3125" style="17" customWidth="1"/>
    <col min="6882" max="6882" width="12.3125" style="17" customWidth="1"/>
    <col min="6883" max="6885" width="11.3125" style="17" customWidth="1"/>
    <col min="6886" max="6886" width="10.3125" style="17" customWidth="1"/>
    <col min="6887" max="6887" width="11.3125" style="17" customWidth="1"/>
    <col min="6888" max="6888" width="0" style="17" hidden="1" customWidth="1"/>
    <col min="6889" max="6889" width="13.6875" style="17" bestFit="1" customWidth="1"/>
    <col min="6890" max="6890" width="13" style="17" customWidth="1"/>
    <col min="6891" max="6891" width="14.6875" style="17" customWidth="1"/>
    <col min="6892" max="6892" width="5.875" style="17" customWidth="1"/>
    <col min="6893" max="6893" width="4.6875" style="17" customWidth="1"/>
    <col min="6894" max="6894" width="8.6875" style="17" customWidth="1"/>
    <col min="6895" max="6895" width="10.3125" style="17" customWidth="1"/>
    <col min="6896" max="6896" width="9" style="17" customWidth="1"/>
    <col min="6897" max="6897" width="12.125" style="17" customWidth="1"/>
    <col min="6898" max="6899" width="10.6875" style="17" customWidth="1"/>
    <col min="6900" max="6900" width="10.3125" style="17" customWidth="1"/>
    <col min="6901" max="6901" width="11.6875" style="17" customWidth="1"/>
    <col min="6902" max="6902" width="13.6875" style="17" customWidth="1"/>
    <col min="6903" max="6903" width="26.1875" style="17" customWidth="1"/>
    <col min="6904" max="6904" width="14.6875" style="17" customWidth="1"/>
    <col min="6905" max="7130" width="5.6875" style="17"/>
    <col min="7131" max="7131" width="4.6875" style="17" customWidth="1"/>
    <col min="7132" max="7132" width="8.3125" style="17" customWidth="1"/>
    <col min="7133" max="7134" width="0" style="17" hidden="1" customWidth="1"/>
    <col min="7135" max="7135" width="4.875" style="17" customWidth="1"/>
    <col min="7136" max="7136" width="7.875" style="17" customWidth="1"/>
    <col min="7137" max="7137" width="6.3125" style="17" customWidth="1"/>
    <col min="7138" max="7138" width="12.3125" style="17" customWidth="1"/>
    <col min="7139" max="7141" width="11.3125" style="17" customWidth="1"/>
    <col min="7142" max="7142" width="10.3125" style="17" customWidth="1"/>
    <col min="7143" max="7143" width="11.3125" style="17" customWidth="1"/>
    <col min="7144" max="7144" width="0" style="17" hidden="1" customWidth="1"/>
    <col min="7145" max="7145" width="13.6875" style="17" bestFit="1" customWidth="1"/>
    <col min="7146" max="7146" width="13" style="17" customWidth="1"/>
    <col min="7147" max="7147" width="14.6875" style="17" customWidth="1"/>
    <col min="7148" max="7148" width="5.875" style="17" customWidth="1"/>
    <col min="7149" max="7149" width="4.6875" style="17" customWidth="1"/>
    <col min="7150" max="7150" width="8.6875" style="17" customWidth="1"/>
    <col min="7151" max="7151" width="10.3125" style="17" customWidth="1"/>
    <col min="7152" max="7152" width="9" style="17" customWidth="1"/>
    <col min="7153" max="7153" width="12.125" style="17" customWidth="1"/>
    <col min="7154" max="7155" width="10.6875" style="17" customWidth="1"/>
    <col min="7156" max="7156" width="10.3125" style="17" customWidth="1"/>
    <col min="7157" max="7157" width="11.6875" style="17" customWidth="1"/>
    <col min="7158" max="7158" width="13.6875" style="17" customWidth="1"/>
    <col min="7159" max="7159" width="26.1875" style="17" customWidth="1"/>
    <col min="7160" max="7160" width="14.6875" style="17" customWidth="1"/>
    <col min="7161" max="7386" width="5.6875" style="17"/>
    <col min="7387" max="7387" width="4.6875" style="17" customWidth="1"/>
    <col min="7388" max="7388" width="8.3125" style="17" customWidth="1"/>
    <col min="7389" max="7390" width="0" style="17" hidden="1" customWidth="1"/>
    <col min="7391" max="7391" width="4.875" style="17" customWidth="1"/>
    <col min="7392" max="7392" width="7.875" style="17" customWidth="1"/>
    <col min="7393" max="7393" width="6.3125" style="17" customWidth="1"/>
    <col min="7394" max="7394" width="12.3125" style="17" customWidth="1"/>
    <col min="7395" max="7397" width="11.3125" style="17" customWidth="1"/>
    <col min="7398" max="7398" width="10.3125" style="17" customWidth="1"/>
    <col min="7399" max="7399" width="11.3125" style="17" customWidth="1"/>
    <col min="7400" max="7400" width="0" style="17" hidden="1" customWidth="1"/>
    <col min="7401" max="7401" width="13.6875" style="17" bestFit="1" customWidth="1"/>
    <col min="7402" max="7402" width="13" style="17" customWidth="1"/>
    <col min="7403" max="7403" width="14.6875" style="17" customWidth="1"/>
    <col min="7404" max="7404" width="5.875" style="17" customWidth="1"/>
    <col min="7405" max="7405" width="4.6875" style="17" customWidth="1"/>
    <col min="7406" max="7406" width="8.6875" style="17" customWidth="1"/>
    <col min="7407" max="7407" width="10.3125" style="17" customWidth="1"/>
    <col min="7408" max="7408" width="9" style="17" customWidth="1"/>
    <col min="7409" max="7409" width="12.125" style="17" customWidth="1"/>
    <col min="7410" max="7411" width="10.6875" style="17" customWidth="1"/>
    <col min="7412" max="7412" width="10.3125" style="17" customWidth="1"/>
    <col min="7413" max="7413" width="11.6875" style="17" customWidth="1"/>
    <col min="7414" max="7414" width="13.6875" style="17" customWidth="1"/>
    <col min="7415" max="7415" width="26.1875" style="17" customWidth="1"/>
    <col min="7416" max="7416" width="14.6875" style="17" customWidth="1"/>
    <col min="7417" max="7642" width="5.6875" style="17"/>
    <col min="7643" max="7643" width="4.6875" style="17" customWidth="1"/>
    <col min="7644" max="7644" width="8.3125" style="17" customWidth="1"/>
    <col min="7645" max="7646" width="0" style="17" hidden="1" customWidth="1"/>
    <col min="7647" max="7647" width="4.875" style="17" customWidth="1"/>
    <col min="7648" max="7648" width="7.875" style="17" customWidth="1"/>
    <col min="7649" max="7649" width="6.3125" style="17" customWidth="1"/>
    <col min="7650" max="7650" width="12.3125" style="17" customWidth="1"/>
    <col min="7651" max="7653" width="11.3125" style="17" customWidth="1"/>
    <col min="7654" max="7654" width="10.3125" style="17" customWidth="1"/>
    <col min="7655" max="7655" width="11.3125" style="17" customWidth="1"/>
    <col min="7656" max="7656" width="0" style="17" hidden="1" customWidth="1"/>
    <col min="7657" max="7657" width="13.6875" style="17" bestFit="1" customWidth="1"/>
    <col min="7658" max="7658" width="13" style="17" customWidth="1"/>
    <col min="7659" max="7659" width="14.6875" style="17" customWidth="1"/>
    <col min="7660" max="7660" width="5.875" style="17" customWidth="1"/>
    <col min="7661" max="7661" width="4.6875" style="17" customWidth="1"/>
    <col min="7662" max="7662" width="8.6875" style="17" customWidth="1"/>
    <col min="7663" max="7663" width="10.3125" style="17" customWidth="1"/>
    <col min="7664" max="7664" width="9" style="17" customWidth="1"/>
    <col min="7665" max="7665" width="12.125" style="17" customWidth="1"/>
    <col min="7666" max="7667" width="10.6875" style="17" customWidth="1"/>
    <col min="7668" max="7668" width="10.3125" style="17" customWidth="1"/>
    <col min="7669" max="7669" width="11.6875" style="17" customWidth="1"/>
    <col min="7670" max="7670" width="13.6875" style="17" customWidth="1"/>
    <col min="7671" max="7671" width="26.1875" style="17" customWidth="1"/>
    <col min="7672" max="7672" width="14.6875" style="17" customWidth="1"/>
    <col min="7673" max="7898" width="5.6875" style="17"/>
    <col min="7899" max="7899" width="4.6875" style="17" customWidth="1"/>
    <col min="7900" max="7900" width="8.3125" style="17" customWidth="1"/>
    <col min="7901" max="7902" width="0" style="17" hidden="1" customWidth="1"/>
    <col min="7903" max="7903" width="4.875" style="17" customWidth="1"/>
    <col min="7904" max="7904" width="7.875" style="17" customWidth="1"/>
    <col min="7905" max="7905" width="6.3125" style="17" customWidth="1"/>
    <col min="7906" max="7906" width="12.3125" style="17" customWidth="1"/>
    <col min="7907" max="7909" width="11.3125" style="17" customWidth="1"/>
    <col min="7910" max="7910" width="10.3125" style="17" customWidth="1"/>
    <col min="7911" max="7911" width="11.3125" style="17" customWidth="1"/>
    <col min="7912" max="7912" width="0" style="17" hidden="1" customWidth="1"/>
    <col min="7913" max="7913" width="13.6875" style="17" bestFit="1" customWidth="1"/>
    <col min="7914" max="7914" width="13" style="17" customWidth="1"/>
    <col min="7915" max="7915" width="14.6875" style="17" customWidth="1"/>
    <col min="7916" max="7916" width="5.875" style="17" customWidth="1"/>
    <col min="7917" max="7917" width="4.6875" style="17" customWidth="1"/>
    <col min="7918" max="7918" width="8.6875" style="17" customWidth="1"/>
    <col min="7919" max="7919" width="10.3125" style="17" customWidth="1"/>
    <col min="7920" max="7920" width="9" style="17" customWidth="1"/>
    <col min="7921" max="7921" width="12.125" style="17" customWidth="1"/>
    <col min="7922" max="7923" width="10.6875" style="17" customWidth="1"/>
    <col min="7924" max="7924" width="10.3125" style="17" customWidth="1"/>
    <col min="7925" max="7925" width="11.6875" style="17" customWidth="1"/>
    <col min="7926" max="7926" width="13.6875" style="17" customWidth="1"/>
    <col min="7927" max="7927" width="26.1875" style="17" customWidth="1"/>
    <col min="7928" max="7928" width="14.6875" style="17" customWidth="1"/>
    <col min="7929" max="8154" width="5.6875" style="17"/>
    <col min="8155" max="8155" width="4.6875" style="17" customWidth="1"/>
    <col min="8156" max="8156" width="8.3125" style="17" customWidth="1"/>
    <col min="8157" max="8158" width="0" style="17" hidden="1" customWidth="1"/>
    <col min="8159" max="8159" width="4.875" style="17" customWidth="1"/>
    <col min="8160" max="8160" width="7.875" style="17" customWidth="1"/>
    <col min="8161" max="8161" width="6.3125" style="17" customWidth="1"/>
    <col min="8162" max="8162" width="12.3125" style="17" customWidth="1"/>
    <col min="8163" max="8165" width="11.3125" style="17" customWidth="1"/>
    <col min="8166" max="8166" width="10.3125" style="17" customWidth="1"/>
    <col min="8167" max="8167" width="11.3125" style="17" customWidth="1"/>
    <col min="8168" max="8168" width="0" style="17" hidden="1" customWidth="1"/>
    <col min="8169" max="8169" width="13.6875" style="17" bestFit="1" customWidth="1"/>
    <col min="8170" max="8170" width="13" style="17" customWidth="1"/>
    <col min="8171" max="8171" width="14.6875" style="17" customWidth="1"/>
    <col min="8172" max="8172" width="5.875" style="17" customWidth="1"/>
    <col min="8173" max="8173" width="4.6875" style="17" customWidth="1"/>
    <col min="8174" max="8174" width="8.6875" style="17" customWidth="1"/>
    <col min="8175" max="8175" width="10.3125" style="17" customWidth="1"/>
    <col min="8176" max="8176" width="9" style="17" customWidth="1"/>
    <col min="8177" max="8177" width="12.125" style="17" customWidth="1"/>
    <col min="8178" max="8179" width="10.6875" style="17" customWidth="1"/>
    <col min="8180" max="8180" width="10.3125" style="17" customWidth="1"/>
    <col min="8181" max="8181" width="11.6875" style="17" customWidth="1"/>
    <col min="8182" max="8182" width="13.6875" style="17" customWidth="1"/>
    <col min="8183" max="8183" width="26.1875" style="17" customWidth="1"/>
    <col min="8184" max="8184" width="14.6875" style="17" customWidth="1"/>
    <col min="8185" max="8410" width="5.6875" style="17"/>
    <col min="8411" max="8411" width="4.6875" style="17" customWidth="1"/>
    <col min="8412" max="8412" width="8.3125" style="17" customWidth="1"/>
    <col min="8413" max="8414" width="0" style="17" hidden="1" customWidth="1"/>
    <col min="8415" max="8415" width="4.875" style="17" customWidth="1"/>
    <col min="8416" max="8416" width="7.875" style="17" customWidth="1"/>
    <col min="8417" max="8417" width="6.3125" style="17" customWidth="1"/>
    <col min="8418" max="8418" width="12.3125" style="17" customWidth="1"/>
    <col min="8419" max="8421" width="11.3125" style="17" customWidth="1"/>
    <col min="8422" max="8422" width="10.3125" style="17" customWidth="1"/>
    <col min="8423" max="8423" width="11.3125" style="17" customWidth="1"/>
    <col min="8424" max="8424" width="0" style="17" hidden="1" customWidth="1"/>
    <col min="8425" max="8425" width="13.6875" style="17" bestFit="1" customWidth="1"/>
    <col min="8426" max="8426" width="13" style="17" customWidth="1"/>
    <col min="8427" max="8427" width="14.6875" style="17" customWidth="1"/>
    <col min="8428" max="8428" width="5.875" style="17" customWidth="1"/>
    <col min="8429" max="8429" width="4.6875" style="17" customWidth="1"/>
    <col min="8430" max="8430" width="8.6875" style="17" customWidth="1"/>
    <col min="8431" max="8431" width="10.3125" style="17" customWidth="1"/>
    <col min="8432" max="8432" width="9" style="17" customWidth="1"/>
    <col min="8433" max="8433" width="12.125" style="17" customWidth="1"/>
    <col min="8434" max="8435" width="10.6875" style="17" customWidth="1"/>
    <col min="8436" max="8436" width="10.3125" style="17" customWidth="1"/>
    <col min="8437" max="8437" width="11.6875" style="17" customWidth="1"/>
    <col min="8438" max="8438" width="13.6875" style="17" customWidth="1"/>
    <col min="8439" max="8439" width="26.1875" style="17" customWidth="1"/>
    <col min="8440" max="8440" width="14.6875" style="17" customWidth="1"/>
    <col min="8441" max="8666" width="5.6875" style="17"/>
    <col min="8667" max="8667" width="4.6875" style="17" customWidth="1"/>
    <col min="8668" max="8668" width="8.3125" style="17" customWidth="1"/>
    <col min="8669" max="8670" width="0" style="17" hidden="1" customWidth="1"/>
    <col min="8671" max="8671" width="4.875" style="17" customWidth="1"/>
    <col min="8672" max="8672" width="7.875" style="17" customWidth="1"/>
    <col min="8673" max="8673" width="6.3125" style="17" customWidth="1"/>
    <col min="8674" max="8674" width="12.3125" style="17" customWidth="1"/>
    <col min="8675" max="8677" width="11.3125" style="17" customWidth="1"/>
    <col min="8678" max="8678" width="10.3125" style="17" customWidth="1"/>
    <col min="8679" max="8679" width="11.3125" style="17" customWidth="1"/>
    <col min="8680" max="8680" width="0" style="17" hidden="1" customWidth="1"/>
    <col min="8681" max="8681" width="13.6875" style="17" bestFit="1" customWidth="1"/>
    <col min="8682" max="8682" width="13" style="17" customWidth="1"/>
    <col min="8683" max="8683" width="14.6875" style="17" customWidth="1"/>
    <col min="8684" max="8684" width="5.875" style="17" customWidth="1"/>
    <col min="8685" max="8685" width="4.6875" style="17" customWidth="1"/>
    <col min="8686" max="8686" width="8.6875" style="17" customWidth="1"/>
    <col min="8687" max="8687" width="10.3125" style="17" customWidth="1"/>
    <col min="8688" max="8688" width="9" style="17" customWidth="1"/>
    <col min="8689" max="8689" width="12.125" style="17" customWidth="1"/>
    <col min="8690" max="8691" width="10.6875" style="17" customWidth="1"/>
    <col min="8692" max="8692" width="10.3125" style="17" customWidth="1"/>
    <col min="8693" max="8693" width="11.6875" style="17" customWidth="1"/>
    <col min="8694" max="8694" width="13.6875" style="17" customWidth="1"/>
    <col min="8695" max="8695" width="26.1875" style="17" customWidth="1"/>
    <col min="8696" max="8696" width="14.6875" style="17" customWidth="1"/>
    <col min="8697" max="8922" width="5.6875" style="17"/>
    <col min="8923" max="8923" width="4.6875" style="17" customWidth="1"/>
    <col min="8924" max="8924" width="8.3125" style="17" customWidth="1"/>
    <col min="8925" max="8926" width="0" style="17" hidden="1" customWidth="1"/>
    <col min="8927" max="8927" width="4.875" style="17" customWidth="1"/>
    <col min="8928" max="8928" width="7.875" style="17" customWidth="1"/>
    <col min="8929" max="8929" width="6.3125" style="17" customWidth="1"/>
    <col min="8930" max="8930" width="12.3125" style="17" customWidth="1"/>
    <col min="8931" max="8933" width="11.3125" style="17" customWidth="1"/>
    <col min="8934" max="8934" width="10.3125" style="17" customWidth="1"/>
    <col min="8935" max="8935" width="11.3125" style="17" customWidth="1"/>
    <col min="8936" max="8936" width="0" style="17" hidden="1" customWidth="1"/>
    <col min="8937" max="8937" width="13.6875" style="17" bestFit="1" customWidth="1"/>
    <col min="8938" max="8938" width="13" style="17" customWidth="1"/>
    <col min="8939" max="8939" width="14.6875" style="17" customWidth="1"/>
    <col min="8940" max="8940" width="5.875" style="17" customWidth="1"/>
    <col min="8941" max="8941" width="4.6875" style="17" customWidth="1"/>
    <col min="8942" max="8942" width="8.6875" style="17" customWidth="1"/>
    <col min="8943" max="8943" width="10.3125" style="17" customWidth="1"/>
    <col min="8944" max="8944" width="9" style="17" customWidth="1"/>
    <col min="8945" max="8945" width="12.125" style="17" customWidth="1"/>
    <col min="8946" max="8947" width="10.6875" style="17" customWidth="1"/>
    <col min="8948" max="8948" width="10.3125" style="17" customWidth="1"/>
    <col min="8949" max="8949" width="11.6875" style="17" customWidth="1"/>
    <col min="8950" max="8950" width="13.6875" style="17" customWidth="1"/>
    <col min="8951" max="8951" width="26.1875" style="17" customWidth="1"/>
    <col min="8952" max="8952" width="14.6875" style="17" customWidth="1"/>
    <col min="8953" max="9178" width="5.6875" style="17"/>
    <col min="9179" max="9179" width="4.6875" style="17" customWidth="1"/>
    <col min="9180" max="9180" width="8.3125" style="17" customWidth="1"/>
    <col min="9181" max="9182" width="0" style="17" hidden="1" customWidth="1"/>
    <col min="9183" max="9183" width="4.875" style="17" customWidth="1"/>
    <col min="9184" max="9184" width="7.875" style="17" customWidth="1"/>
    <col min="9185" max="9185" width="6.3125" style="17" customWidth="1"/>
    <col min="9186" max="9186" width="12.3125" style="17" customWidth="1"/>
    <col min="9187" max="9189" width="11.3125" style="17" customWidth="1"/>
    <col min="9190" max="9190" width="10.3125" style="17" customWidth="1"/>
    <col min="9191" max="9191" width="11.3125" style="17" customWidth="1"/>
    <col min="9192" max="9192" width="0" style="17" hidden="1" customWidth="1"/>
    <col min="9193" max="9193" width="13.6875" style="17" bestFit="1" customWidth="1"/>
    <col min="9194" max="9194" width="13" style="17" customWidth="1"/>
    <col min="9195" max="9195" width="14.6875" style="17" customWidth="1"/>
    <col min="9196" max="9196" width="5.875" style="17" customWidth="1"/>
    <col min="9197" max="9197" width="4.6875" style="17" customWidth="1"/>
    <col min="9198" max="9198" width="8.6875" style="17" customWidth="1"/>
    <col min="9199" max="9199" width="10.3125" style="17" customWidth="1"/>
    <col min="9200" max="9200" width="9" style="17" customWidth="1"/>
    <col min="9201" max="9201" width="12.125" style="17" customWidth="1"/>
    <col min="9202" max="9203" width="10.6875" style="17" customWidth="1"/>
    <col min="9204" max="9204" width="10.3125" style="17" customWidth="1"/>
    <col min="9205" max="9205" width="11.6875" style="17" customWidth="1"/>
    <col min="9206" max="9206" width="13.6875" style="17" customWidth="1"/>
    <col min="9207" max="9207" width="26.1875" style="17" customWidth="1"/>
    <col min="9208" max="9208" width="14.6875" style="17" customWidth="1"/>
    <col min="9209" max="9434" width="5.6875" style="17"/>
    <col min="9435" max="9435" width="4.6875" style="17" customWidth="1"/>
    <col min="9436" max="9436" width="8.3125" style="17" customWidth="1"/>
    <col min="9437" max="9438" width="0" style="17" hidden="1" customWidth="1"/>
    <col min="9439" max="9439" width="4.875" style="17" customWidth="1"/>
    <col min="9440" max="9440" width="7.875" style="17" customWidth="1"/>
    <col min="9441" max="9441" width="6.3125" style="17" customWidth="1"/>
    <col min="9442" max="9442" width="12.3125" style="17" customWidth="1"/>
    <col min="9443" max="9445" width="11.3125" style="17" customWidth="1"/>
    <col min="9446" max="9446" width="10.3125" style="17" customWidth="1"/>
    <col min="9447" max="9447" width="11.3125" style="17" customWidth="1"/>
    <col min="9448" max="9448" width="0" style="17" hidden="1" customWidth="1"/>
    <col min="9449" max="9449" width="13.6875" style="17" bestFit="1" customWidth="1"/>
    <col min="9450" max="9450" width="13" style="17" customWidth="1"/>
    <col min="9451" max="9451" width="14.6875" style="17" customWidth="1"/>
    <col min="9452" max="9452" width="5.875" style="17" customWidth="1"/>
    <col min="9453" max="9453" width="4.6875" style="17" customWidth="1"/>
    <col min="9454" max="9454" width="8.6875" style="17" customWidth="1"/>
    <col min="9455" max="9455" width="10.3125" style="17" customWidth="1"/>
    <col min="9456" max="9456" width="9" style="17" customWidth="1"/>
    <col min="9457" max="9457" width="12.125" style="17" customWidth="1"/>
    <col min="9458" max="9459" width="10.6875" style="17" customWidth="1"/>
    <col min="9460" max="9460" width="10.3125" style="17" customWidth="1"/>
    <col min="9461" max="9461" width="11.6875" style="17" customWidth="1"/>
    <col min="9462" max="9462" width="13.6875" style="17" customWidth="1"/>
    <col min="9463" max="9463" width="26.1875" style="17" customWidth="1"/>
    <col min="9464" max="9464" width="14.6875" style="17" customWidth="1"/>
    <col min="9465" max="9690" width="5.6875" style="17"/>
    <col min="9691" max="9691" width="4.6875" style="17" customWidth="1"/>
    <col min="9692" max="9692" width="8.3125" style="17" customWidth="1"/>
    <col min="9693" max="9694" width="0" style="17" hidden="1" customWidth="1"/>
    <col min="9695" max="9695" width="4.875" style="17" customWidth="1"/>
    <col min="9696" max="9696" width="7.875" style="17" customWidth="1"/>
    <col min="9697" max="9697" width="6.3125" style="17" customWidth="1"/>
    <col min="9698" max="9698" width="12.3125" style="17" customWidth="1"/>
    <col min="9699" max="9701" width="11.3125" style="17" customWidth="1"/>
    <col min="9702" max="9702" width="10.3125" style="17" customWidth="1"/>
    <col min="9703" max="9703" width="11.3125" style="17" customWidth="1"/>
    <col min="9704" max="9704" width="0" style="17" hidden="1" customWidth="1"/>
    <col min="9705" max="9705" width="13.6875" style="17" bestFit="1" customWidth="1"/>
    <col min="9706" max="9706" width="13" style="17" customWidth="1"/>
    <col min="9707" max="9707" width="14.6875" style="17" customWidth="1"/>
    <col min="9708" max="9708" width="5.875" style="17" customWidth="1"/>
    <col min="9709" max="9709" width="4.6875" style="17" customWidth="1"/>
    <col min="9710" max="9710" width="8.6875" style="17" customWidth="1"/>
    <col min="9711" max="9711" width="10.3125" style="17" customWidth="1"/>
    <col min="9712" max="9712" width="9" style="17" customWidth="1"/>
    <col min="9713" max="9713" width="12.125" style="17" customWidth="1"/>
    <col min="9714" max="9715" width="10.6875" style="17" customWidth="1"/>
    <col min="9716" max="9716" width="10.3125" style="17" customWidth="1"/>
    <col min="9717" max="9717" width="11.6875" style="17" customWidth="1"/>
    <col min="9718" max="9718" width="13.6875" style="17" customWidth="1"/>
    <col min="9719" max="9719" width="26.1875" style="17" customWidth="1"/>
    <col min="9720" max="9720" width="14.6875" style="17" customWidth="1"/>
    <col min="9721" max="9946" width="5.6875" style="17"/>
    <col min="9947" max="9947" width="4.6875" style="17" customWidth="1"/>
    <col min="9948" max="9948" width="8.3125" style="17" customWidth="1"/>
    <col min="9949" max="9950" width="0" style="17" hidden="1" customWidth="1"/>
    <col min="9951" max="9951" width="4.875" style="17" customWidth="1"/>
    <col min="9952" max="9952" width="7.875" style="17" customWidth="1"/>
    <col min="9953" max="9953" width="6.3125" style="17" customWidth="1"/>
    <col min="9954" max="9954" width="12.3125" style="17" customWidth="1"/>
    <col min="9955" max="9957" width="11.3125" style="17" customWidth="1"/>
    <col min="9958" max="9958" width="10.3125" style="17" customWidth="1"/>
    <col min="9959" max="9959" width="11.3125" style="17" customWidth="1"/>
    <col min="9960" max="9960" width="0" style="17" hidden="1" customWidth="1"/>
    <col min="9961" max="9961" width="13.6875" style="17" bestFit="1" customWidth="1"/>
    <col min="9962" max="9962" width="13" style="17" customWidth="1"/>
    <col min="9963" max="9963" width="14.6875" style="17" customWidth="1"/>
    <col min="9964" max="9964" width="5.875" style="17" customWidth="1"/>
    <col min="9965" max="9965" width="4.6875" style="17" customWidth="1"/>
    <col min="9966" max="9966" width="8.6875" style="17" customWidth="1"/>
    <col min="9967" max="9967" width="10.3125" style="17" customWidth="1"/>
    <col min="9968" max="9968" width="9" style="17" customWidth="1"/>
    <col min="9969" max="9969" width="12.125" style="17" customWidth="1"/>
    <col min="9970" max="9971" width="10.6875" style="17" customWidth="1"/>
    <col min="9972" max="9972" width="10.3125" style="17" customWidth="1"/>
    <col min="9973" max="9973" width="11.6875" style="17" customWidth="1"/>
    <col min="9974" max="9974" width="13.6875" style="17" customWidth="1"/>
    <col min="9975" max="9975" width="26.1875" style="17" customWidth="1"/>
    <col min="9976" max="9976" width="14.6875" style="17" customWidth="1"/>
    <col min="9977" max="10202" width="5.6875" style="17"/>
    <col min="10203" max="10203" width="4.6875" style="17" customWidth="1"/>
    <col min="10204" max="10204" width="8.3125" style="17" customWidth="1"/>
    <col min="10205" max="10206" width="0" style="17" hidden="1" customWidth="1"/>
    <col min="10207" max="10207" width="4.875" style="17" customWidth="1"/>
    <col min="10208" max="10208" width="7.875" style="17" customWidth="1"/>
    <col min="10209" max="10209" width="6.3125" style="17" customWidth="1"/>
    <col min="10210" max="10210" width="12.3125" style="17" customWidth="1"/>
    <col min="10211" max="10213" width="11.3125" style="17" customWidth="1"/>
    <col min="10214" max="10214" width="10.3125" style="17" customWidth="1"/>
    <col min="10215" max="10215" width="11.3125" style="17" customWidth="1"/>
    <col min="10216" max="10216" width="0" style="17" hidden="1" customWidth="1"/>
    <col min="10217" max="10217" width="13.6875" style="17" bestFit="1" customWidth="1"/>
    <col min="10218" max="10218" width="13" style="17" customWidth="1"/>
    <col min="10219" max="10219" width="14.6875" style="17" customWidth="1"/>
    <col min="10220" max="10220" width="5.875" style="17" customWidth="1"/>
    <col min="10221" max="10221" width="4.6875" style="17" customWidth="1"/>
    <col min="10222" max="10222" width="8.6875" style="17" customWidth="1"/>
    <col min="10223" max="10223" width="10.3125" style="17" customWidth="1"/>
    <col min="10224" max="10224" width="9" style="17" customWidth="1"/>
    <col min="10225" max="10225" width="12.125" style="17" customWidth="1"/>
    <col min="10226" max="10227" width="10.6875" style="17" customWidth="1"/>
    <col min="10228" max="10228" width="10.3125" style="17" customWidth="1"/>
    <col min="10229" max="10229" width="11.6875" style="17" customWidth="1"/>
    <col min="10230" max="10230" width="13.6875" style="17" customWidth="1"/>
    <col min="10231" max="10231" width="26.1875" style="17" customWidth="1"/>
    <col min="10232" max="10232" width="14.6875" style="17" customWidth="1"/>
    <col min="10233" max="10458" width="5.6875" style="17"/>
    <col min="10459" max="10459" width="4.6875" style="17" customWidth="1"/>
    <col min="10460" max="10460" width="8.3125" style="17" customWidth="1"/>
    <col min="10461" max="10462" width="0" style="17" hidden="1" customWidth="1"/>
    <col min="10463" max="10463" width="4.875" style="17" customWidth="1"/>
    <col min="10464" max="10464" width="7.875" style="17" customWidth="1"/>
    <col min="10465" max="10465" width="6.3125" style="17" customWidth="1"/>
    <col min="10466" max="10466" width="12.3125" style="17" customWidth="1"/>
    <col min="10467" max="10469" width="11.3125" style="17" customWidth="1"/>
    <col min="10470" max="10470" width="10.3125" style="17" customWidth="1"/>
    <col min="10471" max="10471" width="11.3125" style="17" customWidth="1"/>
    <col min="10472" max="10472" width="0" style="17" hidden="1" customWidth="1"/>
    <col min="10473" max="10473" width="13.6875" style="17" bestFit="1" customWidth="1"/>
    <col min="10474" max="10474" width="13" style="17" customWidth="1"/>
    <col min="10475" max="10475" width="14.6875" style="17" customWidth="1"/>
    <col min="10476" max="10476" width="5.875" style="17" customWidth="1"/>
    <col min="10477" max="10477" width="4.6875" style="17" customWidth="1"/>
    <col min="10478" max="10478" width="8.6875" style="17" customWidth="1"/>
    <col min="10479" max="10479" width="10.3125" style="17" customWidth="1"/>
    <col min="10480" max="10480" width="9" style="17" customWidth="1"/>
    <col min="10481" max="10481" width="12.125" style="17" customWidth="1"/>
    <col min="10482" max="10483" width="10.6875" style="17" customWidth="1"/>
    <col min="10484" max="10484" width="10.3125" style="17" customWidth="1"/>
    <col min="10485" max="10485" width="11.6875" style="17" customWidth="1"/>
    <col min="10486" max="10486" width="13.6875" style="17" customWidth="1"/>
    <col min="10487" max="10487" width="26.1875" style="17" customWidth="1"/>
    <col min="10488" max="10488" width="14.6875" style="17" customWidth="1"/>
    <col min="10489" max="10714" width="5.6875" style="17"/>
    <col min="10715" max="10715" width="4.6875" style="17" customWidth="1"/>
    <col min="10716" max="10716" width="8.3125" style="17" customWidth="1"/>
    <col min="10717" max="10718" width="0" style="17" hidden="1" customWidth="1"/>
    <col min="10719" max="10719" width="4.875" style="17" customWidth="1"/>
    <col min="10720" max="10720" width="7.875" style="17" customWidth="1"/>
    <col min="10721" max="10721" width="6.3125" style="17" customWidth="1"/>
    <col min="10722" max="10722" width="12.3125" style="17" customWidth="1"/>
    <col min="10723" max="10725" width="11.3125" style="17" customWidth="1"/>
    <col min="10726" max="10726" width="10.3125" style="17" customWidth="1"/>
    <col min="10727" max="10727" width="11.3125" style="17" customWidth="1"/>
    <col min="10728" max="10728" width="0" style="17" hidden="1" customWidth="1"/>
    <col min="10729" max="10729" width="13.6875" style="17" bestFit="1" customWidth="1"/>
    <col min="10730" max="10730" width="13" style="17" customWidth="1"/>
    <col min="10731" max="10731" width="14.6875" style="17" customWidth="1"/>
    <col min="10732" max="10732" width="5.875" style="17" customWidth="1"/>
    <col min="10733" max="10733" width="4.6875" style="17" customWidth="1"/>
    <col min="10734" max="10734" width="8.6875" style="17" customWidth="1"/>
    <col min="10735" max="10735" width="10.3125" style="17" customWidth="1"/>
    <col min="10736" max="10736" width="9" style="17" customWidth="1"/>
    <col min="10737" max="10737" width="12.125" style="17" customWidth="1"/>
    <col min="10738" max="10739" width="10.6875" style="17" customWidth="1"/>
    <col min="10740" max="10740" width="10.3125" style="17" customWidth="1"/>
    <col min="10741" max="10741" width="11.6875" style="17" customWidth="1"/>
    <col min="10742" max="10742" width="13.6875" style="17" customWidth="1"/>
    <col min="10743" max="10743" width="26.1875" style="17" customWidth="1"/>
    <col min="10744" max="10744" width="14.6875" style="17" customWidth="1"/>
    <col min="10745" max="10970" width="5.6875" style="17"/>
    <col min="10971" max="10971" width="4.6875" style="17" customWidth="1"/>
    <col min="10972" max="10972" width="8.3125" style="17" customWidth="1"/>
    <col min="10973" max="10974" width="0" style="17" hidden="1" customWidth="1"/>
    <col min="10975" max="10975" width="4.875" style="17" customWidth="1"/>
    <col min="10976" max="10976" width="7.875" style="17" customWidth="1"/>
    <col min="10977" max="10977" width="6.3125" style="17" customWidth="1"/>
    <col min="10978" max="10978" width="12.3125" style="17" customWidth="1"/>
    <col min="10979" max="10981" width="11.3125" style="17" customWidth="1"/>
    <col min="10982" max="10982" width="10.3125" style="17" customWidth="1"/>
    <col min="10983" max="10983" width="11.3125" style="17" customWidth="1"/>
    <col min="10984" max="10984" width="0" style="17" hidden="1" customWidth="1"/>
    <col min="10985" max="10985" width="13.6875" style="17" bestFit="1" customWidth="1"/>
    <col min="10986" max="10986" width="13" style="17" customWidth="1"/>
    <col min="10987" max="10987" width="14.6875" style="17" customWidth="1"/>
    <col min="10988" max="10988" width="5.875" style="17" customWidth="1"/>
    <col min="10989" max="10989" width="4.6875" style="17" customWidth="1"/>
    <col min="10990" max="10990" width="8.6875" style="17" customWidth="1"/>
    <col min="10991" max="10991" width="10.3125" style="17" customWidth="1"/>
    <col min="10992" max="10992" width="9" style="17" customWidth="1"/>
    <col min="10993" max="10993" width="12.125" style="17" customWidth="1"/>
    <col min="10994" max="10995" width="10.6875" style="17" customWidth="1"/>
    <col min="10996" max="10996" width="10.3125" style="17" customWidth="1"/>
    <col min="10997" max="10997" width="11.6875" style="17" customWidth="1"/>
    <col min="10998" max="10998" width="13.6875" style="17" customWidth="1"/>
    <col min="10999" max="10999" width="26.1875" style="17" customWidth="1"/>
    <col min="11000" max="11000" width="14.6875" style="17" customWidth="1"/>
    <col min="11001" max="11226" width="5.6875" style="17"/>
    <col min="11227" max="11227" width="4.6875" style="17" customWidth="1"/>
    <col min="11228" max="11228" width="8.3125" style="17" customWidth="1"/>
    <col min="11229" max="11230" width="0" style="17" hidden="1" customWidth="1"/>
    <col min="11231" max="11231" width="4.875" style="17" customWidth="1"/>
    <col min="11232" max="11232" width="7.875" style="17" customWidth="1"/>
    <col min="11233" max="11233" width="6.3125" style="17" customWidth="1"/>
    <col min="11234" max="11234" width="12.3125" style="17" customWidth="1"/>
    <col min="11235" max="11237" width="11.3125" style="17" customWidth="1"/>
    <col min="11238" max="11238" width="10.3125" style="17" customWidth="1"/>
    <col min="11239" max="11239" width="11.3125" style="17" customWidth="1"/>
    <col min="11240" max="11240" width="0" style="17" hidden="1" customWidth="1"/>
    <col min="11241" max="11241" width="13.6875" style="17" bestFit="1" customWidth="1"/>
    <col min="11242" max="11242" width="13" style="17" customWidth="1"/>
    <col min="11243" max="11243" width="14.6875" style="17" customWidth="1"/>
    <col min="11244" max="11244" width="5.875" style="17" customWidth="1"/>
    <col min="11245" max="11245" width="4.6875" style="17" customWidth="1"/>
    <col min="11246" max="11246" width="8.6875" style="17" customWidth="1"/>
    <col min="11247" max="11247" width="10.3125" style="17" customWidth="1"/>
    <col min="11248" max="11248" width="9" style="17" customWidth="1"/>
    <col min="11249" max="11249" width="12.125" style="17" customWidth="1"/>
    <col min="11250" max="11251" width="10.6875" style="17" customWidth="1"/>
    <col min="11252" max="11252" width="10.3125" style="17" customWidth="1"/>
    <col min="11253" max="11253" width="11.6875" style="17" customWidth="1"/>
    <col min="11254" max="11254" width="13.6875" style="17" customWidth="1"/>
    <col min="11255" max="11255" width="26.1875" style="17" customWidth="1"/>
    <col min="11256" max="11256" width="14.6875" style="17" customWidth="1"/>
    <col min="11257" max="11482" width="5.6875" style="17"/>
    <col min="11483" max="11483" width="4.6875" style="17" customWidth="1"/>
    <col min="11484" max="11484" width="8.3125" style="17" customWidth="1"/>
    <col min="11485" max="11486" width="0" style="17" hidden="1" customWidth="1"/>
    <col min="11487" max="11487" width="4.875" style="17" customWidth="1"/>
    <col min="11488" max="11488" width="7.875" style="17" customWidth="1"/>
    <col min="11489" max="11489" width="6.3125" style="17" customWidth="1"/>
    <col min="11490" max="11490" width="12.3125" style="17" customWidth="1"/>
    <col min="11491" max="11493" width="11.3125" style="17" customWidth="1"/>
    <col min="11494" max="11494" width="10.3125" style="17" customWidth="1"/>
    <col min="11495" max="11495" width="11.3125" style="17" customWidth="1"/>
    <col min="11496" max="11496" width="0" style="17" hidden="1" customWidth="1"/>
    <col min="11497" max="11497" width="13.6875" style="17" bestFit="1" customWidth="1"/>
    <col min="11498" max="11498" width="13" style="17" customWidth="1"/>
    <col min="11499" max="11499" width="14.6875" style="17" customWidth="1"/>
    <col min="11500" max="11500" width="5.875" style="17" customWidth="1"/>
    <col min="11501" max="11501" width="4.6875" style="17" customWidth="1"/>
    <col min="11502" max="11502" width="8.6875" style="17" customWidth="1"/>
    <col min="11503" max="11503" width="10.3125" style="17" customWidth="1"/>
    <col min="11504" max="11504" width="9" style="17" customWidth="1"/>
    <col min="11505" max="11505" width="12.125" style="17" customWidth="1"/>
    <col min="11506" max="11507" width="10.6875" style="17" customWidth="1"/>
    <col min="11508" max="11508" width="10.3125" style="17" customWidth="1"/>
    <col min="11509" max="11509" width="11.6875" style="17" customWidth="1"/>
    <col min="11510" max="11510" width="13.6875" style="17" customWidth="1"/>
    <col min="11511" max="11511" width="26.1875" style="17" customWidth="1"/>
    <col min="11512" max="11512" width="14.6875" style="17" customWidth="1"/>
    <col min="11513" max="11738" width="5.6875" style="17"/>
    <col min="11739" max="11739" width="4.6875" style="17" customWidth="1"/>
    <col min="11740" max="11740" width="8.3125" style="17" customWidth="1"/>
    <col min="11741" max="11742" width="0" style="17" hidden="1" customWidth="1"/>
    <col min="11743" max="11743" width="4.875" style="17" customWidth="1"/>
    <col min="11744" max="11744" width="7.875" style="17" customWidth="1"/>
    <col min="11745" max="11745" width="6.3125" style="17" customWidth="1"/>
    <col min="11746" max="11746" width="12.3125" style="17" customWidth="1"/>
    <col min="11747" max="11749" width="11.3125" style="17" customWidth="1"/>
    <col min="11750" max="11750" width="10.3125" style="17" customWidth="1"/>
    <col min="11751" max="11751" width="11.3125" style="17" customWidth="1"/>
    <col min="11752" max="11752" width="0" style="17" hidden="1" customWidth="1"/>
    <col min="11753" max="11753" width="13.6875" style="17" bestFit="1" customWidth="1"/>
    <col min="11754" max="11754" width="13" style="17" customWidth="1"/>
    <col min="11755" max="11755" width="14.6875" style="17" customWidth="1"/>
    <col min="11756" max="11756" width="5.875" style="17" customWidth="1"/>
    <col min="11757" max="11757" width="4.6875" style="17" customWidth="1"/>
    <col min="11758" max="11758" width="8.6875" style="17" customWidth="1"/>
    <col min="11759" max="11759" width="10.3125" style="17" customWidth="1"/>
    <col min="11760" max="11760" width="9" style="17" customWidth="1"/>
    <col min="11761" max="11761" width="12.125" style="17" customWidth="1"/>
    <col min="11762" max="11763" width="10.6875" style="17" customWidth="1"/>
    <col min="11764" max="11764" width="10.3125" style="17" customWidth="1"/>
    <col min="11765" max="11765" width="11.6875" style="17" customWidth="1"/>
    <col min="11766" max="11766" width="13.6875" style="17" customWidth="1"/>
    <col min="11767" max="11767" width="26.1875" style="17" customWidth="1"/>
    <col min="11768" max="11768" width="14.6875" style="17" customWidth="1"/>
    <col min="11769" max="11994" width="5.6875" style="17"/>
    <col min="11995" max="11995" width="4.6875" style="17" customWidth="1"/>
    <col min="11996" max="11996" width="8.3125" style="17" customWidth="1"/>
    <col min="11997" max="11998" width="0" style="17" hidden="1" customWidth="1"/>
    <col min="11999" max="11999" width="4.875" style="17" customWidth="1"/>
    <col min="12000" max="12000" width="7.875" style="17" customWidth="1"/>
    <col min="12001" max="12001" width="6.3125" style="17" customWidth="1"/>
    <col min="12002" max="12002" width="12.3125" style="17" customWidth="1"/>
    <col min="12003" max="12005" width="11.3125" style="17" customWidth="1"/>
    <col min="12006" max="12006" width="10.3125" style="17" customWidth="1"/>
    <col min="12007" max="12007" width="11.3125" style="17" customWidth="1"/>
    <col min="12008" max="12008" width="0" style="17" hidden="1" customWidth="1"/>
    <col min="12009" max="12009" width="13.6875" style="17" bestFit="1" customWidth="1"/>
    <col min="12010" max="12010" width="13" style="17" customWidth="1"/>
    <col min="12011" max="12011" width="14.6875" style="17" customWidth="1"/>
    <col min="12012" max="12012" width="5.875" style="17" customWidth="1"/>
    <col min="12013" max="12013" width="4.6875" style="17" customWidth="1"/>
    <col min="12014" max="12014" width="8.6875" style="17" customWidth="1"/>
    <col min="12015" max="12015" width="10.3125" style="17" customWidth="1"/>
    <col min="12016" max="12016" width="9" style="17" customWidth="1"/>
    <col min="12017" max="12017" width="12.125" style="17" customWidth="1"/>
    <col min="12018" max="12019" width="10.6875" style="17" customWidth="1"/>
    <col min="12020" max="12020" width="10.3125" style="17" customWidth="1"/>
    <col min="12021" max="12021" width="11.6875" style="17" customWidth="1"/>
    <col min="12022" max="12022" width="13.6875" style="17" customWidth="1"/>
    <col min="12023" max="12023" width="26.1875" style="17" customWidth="1"/>
    <col min="12024" max="12024" width="14.6875" style="17" customWidth="1"/>
    <col min="12025" max="12250" width="5.6875" style="17"/>
    <col min="12251" max="12251" width="4.6875" style="17" customWidth="1"/>
    <col min="12252" max="12252" width="8.3125" style="17" customWidth="1"/>
    <col min="12253" max="12254" width="0" style="17" hidden="1" customWidth="1"/>
    <col min="12255" max="12255" width="4.875" style="17" customWidth="1"/>
    <col min="12256" max="12256" width="7.875" style="17" customWidth="1"/>
    <col min="12257" max="12257" width="6.3125" style="17" customWidth="1"/>
    <col min="12258" max="12258" width="12.3125" style="17" customWidth="1"/>
    <col min="12259" max="12261" width="11.3125" style="17" customWidth="1"/>
    <col min="12262" max="12262" width="10.3125" style="17" customWidth="1"/>
    <col min="12263" max="12263" width="11.3125" style="17" customWidth="1"/>
    <col min="12264" max="12264" width="0" style="17" hidden="1" customWidth="1"/>
    <col min="12265" max="12265" width="13.6875" style="17" bestFit="1" customWidth="1"/>
    <col min="12266" max="12266" width="13" style="17" customWidth="1"/>
    <col min="12267" max="12267" width="14.6875" style="17" customWidth="1"/>
    <col min="12268" max="12268" width="5.875" style="17" customWidth="1"/>
    <col min="12269" max="12269" width="4.6875" style="17" customWidth="1"/>
    <col min="12270" max="12270" width="8.6875" style="17" customWidth="1"/>
    <col min="12271" max="12271" width="10.3125" style="17" customWidth="1"/>
    <col min="12272" max="12272" width="9" style="17" customWidth="1"/>
    <col min="12273" max="12273" width="12.125" style="17" customWidth="1"/>
    <col min="12274" max="12275" width="10.6875" style="17" customWidth="1"/>
    <col min="12276" max="12276" width="10.3125" style="17" customWidth="1"/>
    <col min="12277" max="12277" width="11.6875" style="17" customWidth="1"/>
    <col min="12278" max="12278" width="13.6875" style="17" customWidth="1"/>
    <col min="12279" max="12279" width="26.1875" style="17" customWidth="1"/>
    <col min="12280" max="12280" width="14.6875" style="17" customWidth="1"/>
    <col min="12281" max="12506" width="5.6875" style="17"/>
    <col min="12507" max="12507" width="4.6875" style="17" customWidth="1"/>
    <col min="12508" max="12508" width="8.3125" style="17" customWidth="1"/>
    <col min="12509" max="12510" width="0" style="17" hidden="1" customWidth="1"/>
    <col min="12511" max="12511" width="4.875" style="17" customWidth="1"/>
    <col min="12512" max="12512" width="7.875" style="17" customWidth="1"/>
    <col min="12513" max="12513" width="6.3125" style="17" customWidth="1"/>
    <col min="12514" max="12514" width="12.3125" style="17" customWidth="1"/>
    <col min="12515" max="12517" width="11.3125" style="17" customWidth="1"/>
    <col min="12518" max="12518" width="10.3125" style="17" customWidth="1"/>
    <col min="12519" max="12519" width="11.3125" style="17" customWidth="1"/>
    <col min="12520" max="12520" width="0" style="17" hidden="1" customWidth="1"/>
    <col min="12521" max="12521" width="13.6875" style="17" bestFit="1" customWidth="1"/>
    <col min="12522" max="12522" width="13" style="17" customWidth="1"/>
    <col min="12523" max="12523" width="14.6875" style="17" customWidth="1"/>
    <col min="12524" max="12524" width="5.875" style="17" customWidth="1"/>
    <col min="12525" max="12525" width="4.6875" style="17" customWidth="1"/>
    <col min="12526" max="12526" width="8.6875" style="17" customWidth="1"/>
    <col min="12527" max="12527" width="10.3125" style="17" customWidth="1"/>
    <col min="12528" max="12528" width="9" style="17" customWidth="1"/>
    <col min="12529" max="12529" width="12.125" style="17" customWidth="1"/>
    <col min="12530" max="12531" width="10.6875" style="17" customWidth="1"/>
    <col min="12532" max="12532" width="10.3125" style="17" customWidth="1"/>
    <col min="12533" max="12533" width="11.6875" style="17" customWidth="1"/>
    <col min="12534" max="12534" width="13.6875" style="17" customWidth="1"/>
    <col min="12535" max="12535" width="26.1875" style="17" customWidth="1"/>
    <col min="12536" max="12536" width="14.6875" style="17" customWidth="1"/>
    <col min="12537" max="12762" width="5.6875" style="17"/>
    <col min="12763" max="12763" width="4.6875" style="17" customWidth="1"/>
    <col min="12764" max="12764" width="8.3125" style="17" customWidth="1"/>
    <col min="12765" max="12766" width="0" style="17" hidden="1" customWidth="1"/>
    <col min="12767" max="12767" width="4.875" style="17" customWidth="1"/>
    <col min="12768" max="12768" width="7.875" style="17" customWidth="1"/>
    <col min="12769" max="12769" width="6.3125" style="17" customWidth="1"/>
    <col min="12770" max="12770" width="12.3125" style="17" customWidth="1"/>
    <col min="12771" max="12773" width="11.3125" style="17" customWidth="1"/>
    <col min="12774" max="12774" width="10.3125" style="17" customWidth="1"/>
    <col min="12775" max="12775" width="11.3125" style="17" customWidth="1"/>
    <col min="12776" max="12776" width="0" style="17" hidden="1" customWidth="1"/>
    <col min="12777" max="12777" width="13.6875" style="17" bestFit="1" customWidth="1"/>
    <col min="12778" max="12778" width="13" style="17" customWidth="1"/>
    <col min="12779" max="12779" width="14.6875" style="17" customWidth="1"/>
    <col min="12780" max="12780" width="5.875" style="17" customWidth="1"/>
    <col min="12781" max="12781" width="4.6875" style="17" customWidth="1"/>
    <col min="12782" max="12782" width="8.6875" style="17" customWidth="1"/>
    <col min="12783" max="12783" width="10.3125" style="17" customWidth="1"/>
    <col min="12784" max="12784" width="9" style="17" customWidth="1"/>
    <col min="12785" max="12785" width="12.125" style="17" customWidth="1"/>
    <col min="12786" max="12787" width="10.6875" style="17" customWidth="1"/>
    <col min="12788" max="12788" width="10.3125" style="17" customWidth="1"/>
    <col min="12789" max="12789" width="11.6875" style="17" customWidth="1"/>
    <col min="12790" max="12790" width="13.6875" style="17" customWidth="1"/>
    <col min="12791" max="12791" width="26.1875" style="17" customWidth="1"/>
    <col min="12792" max="12792" width="14.6875" style="17" customWidth="1"/>
    <col min="12793" max="13018" width="5.6875" style="17"/>
    <col min="13019" max="13019" width="4.6875" style="17" customWidth="1"/>
    <col min="13020" max="13020" width="8.3125" style="17" customWidth="1"/>
    <col min="13021" max="13022" width="0" style="17" hidden="1" customWidth="1"/>
    <col min="13023" max="13023" width="4.875" style="17" customWidth="1"/>
    <col min="13024" max="13024" width="7.875" style="17" customWidth="1"/>
    <col min="13025" max="13025" width="6.3125" style="17" customWidth="1"/>
    <col min="13026" max="13026" width="12.3125" style="17" customWidth="1"/>
    <col min="13027" max="13029" width="11.3125" style="17" customWidth="1"/>
    <col min="13030" max="13030" width="10.3125" style="17" customWidth="1"/>
    <col min="13031" max="13031" width="11.3125" style="17" customWidth="1"/>
    <col min="13032" max="13032" width="0" style="17" hidden="1" customWidth="1"/>
    <col min="13033" max="13033" width="13.6875" style="17" bestFit="1" customWidth="1"/>
    <col min="13034" max="13034" width="13" style="17" customWidth="1"/>
    <col min="13035" max="13035" width="14.6875" style="17" customWidth="1"/>
    <col min="13036" max="13036" width="5.875" style="17" customWidth="1"/>
    <col min="13037" max="13037" width="4.6875" style="17" customWidth="1"/>
    <col min="13038" max="13038" width="8.6875" style="17" customWidth="1"/>
    <col min="13039" max="13039" width="10.3125" style="17" customWidth="1"/>
    <col min="13040" max="13040" width="9" style="17" customWidth="1"/>
    <col min="13041" max="13041" width="12.125" style="17" customWidth="1"/>
    <col min="13042" max="13043" width="10.6875" style="17" customWidth="1"/>
    <col min="13044" max="13044" width="10.3125" style="17" customWidth="1"/>
    <col min="13045" max="13045" width="11.6875" style="17" customWidth="1"/>
    <col min="13046" max="13046" width="13.6875" style="17" customWidth="1"/>
    <col min="13047" max="13047" width="26.1875" style="17" customWidth="1"/>
    <col min="13048" max="13048" width="14.6875" style="17" customWidth="1"/>
    <col min="13049" max="13274" width="5.6875" style="17"/>
    <col min="13275" max="13275" width="4.6875" style="17" customWidth="1"/>
    <col min="13276" max="13276" width="8.3125" style="17" customWidth="1"/>
    <col min="13277" max="13278" width="0" style="17" hidden="1" customWidth="1"/>
    <col min="13279" max="13279" width="4.875" style="17" customWidth="1"/>
    <col min="13280" max="13280" width="7.875" style="17" customWidth="1"/>
    <col min="13281" max="13281" width="6.3125" style="17" customWidth="1"/>
    <col min="13282" max="13282" width="12.3125" style="17" customWidth="1"/>
    <col min="13283" max="13285" width="11.3125" style="17" customWidth="1"/>
    <col min="13286" max="13286" width="10.3125" style="17" customWidth="1"/>
    <col min="13287" max="13287" width="11.3125" style="17" customWidth="1"/>
    <col min="13288" max="13288" width="0" style="17" hidden="1" customWidth="1"/>
    <col min="13289" max="13289" width="13.6875" style="17" bestFit="1" customWidth="1"/>
    <col min="13290" max="13290" width="13" style="17" customWidth="1"/>
    <col min="13291" max="13291" width="14.6875" style="17" customWidth="1"/>
    <col min="13292" max="13292" width="5.875" style="17" customWidth="1"/>
    <col min="13293" max="13293" width="4.6875" style="17" customWidth="1"/>
    <col min="13294" max="13294" width="8.6875" style="17" customWidth="1"/>
    <col min="13295" max="13295" width="10.3125" style="17" customWidth="1"/>
    <col min="13296" max="13296" width="9" style="17" customWidth="1"/>
    <col min="13297" max="13297" width="12.125" style="17" customWidth="1"/>
    <col min="13298" max="13299" width="10.6875" style="17" customWidth="1"/>
    <col min="13300" max="13300" width="10.3125" style="17" customWidth="1"/>
    <col min="13301" max="13301" width="11.6875" style="17" customWidth="1"/>
    <col min="13302" max="13302" width="13.6875" style="17" customWidth="1"/>
    <col min="13303" max="13303" width="26.1875" style="17" customWidth="1"/>
    <col min="13304" max="13304" width="14.6875" style="17" customWidth="1"/>
    <col min="13305" max="13530" width="5.6875" style="17"/>
    <col min="13531" max="13531" width="4.6875" style="17" customWidth="1"/>
    <col min="13532" max="13532" width="8.3125" style="17" customWidth="1"/>
    <col min="13533" max="13534" width="0" style="17" hidden="1" customWidth="1"/>
    <col min="13535" max="13535" width="4.875" style="17" customWidth="1"/>
    <col min="13536" max="13536" width="7.875" style="17" customWidth="1"/>
    <col min="13537" max="13537" width="6.3125" style="17" customWidth="1"/>
    <col min="13538" max="13538" width="12.3125" style="17" customWidth="1"/>
    <col min="13539" max="13541" width="11.3125" style="17" customWidth="1"/>
    <col min="13542" max="13542" width="10.3125" style="17" customWidth="1"/>
    <col min="13543" max="13543" width="11.3125" style="17" customWidth="1"/>
    <col min="13544" max="13544" width="0" style="17" hidden="1" customWidth="1"/>
    <col min="13545" max="13545" width="13.6875" style="17" bestFit="1" customWidth="1"/>
    <col min="13546" max="13546" width="13" style="17" customWidth="1"/>
    <col min="13547" max="13547" width="14.6875" style="17" customWidth="1"/>
    <col min="13548" max="13548" width="5.875" style="17" customWidth="1"/>
    <col min="13549" max="13549" width="4.6875" style="17" customWidth="1"/>
    <col min="13550" max="13550" width="8.6875" style="17" customWidth="1"/>
    <col min="13551" max="13551" width="10.3125" style="17" customWidth="1"/>
    <col min="13552" max="13552" width="9" style="17" customWidth="1"/>
    <col min="13553" max="13553" width="12.125" style="17" customWidth="1"/>
    <col min="13554" max="13555" width="10.6875" style="17" customWidth="1"/>
    <col min="13556" max="13556" width="10.3125" style="17" customWidth="1"/>
    <col min="13557" max="13557" width="11.6875" style="17" customWidth="1"/>
    <col min="13558" max="13558" width="13.6875" style="17" customWidth="1"/>
    <col min="13559" max="13559" width="26.1875" style="17" customWidth="1"/>
    <col min="13560" max="13560" width="14.6875" style="17" customWidth="1"/>
    <col min="13561" max="13786" width="5.6875" style="17"/>
    <col min="13787" max="13787" width="4.6875" style="17" customWidth="1"/>
    <col min="13788" max="13788" width="8.3125" style="17" customWidth="1"/>
    <col min="13789" max="13790" width="0" style="17" hidden="1" customWidth="1"/>
    <col min="13791" max="13791" width="4.875" style="17" customWidth="1"/>
    <col min="13792" max="13792" width="7.875" style="17" customWidth="1"/>
    <col min="13793" max="13793" width="6.3125" style="17" customWidth="1"/>
    <col min="13794" max="13794" width="12.3125" style="17" customWidth="1"/>
    <col min="13795" max="13797" width="11.3125" style="17" customWidth="1"/>
    <col min="13798" max="13798" width="10.3125" style="17" customWidth="1"/>
    <col min="13799" max="13799" width="11.3125" style="17" customWidth="1"/>
    <col min="13800" max="13800" width="0" style="17" hidden="1" customWidth="1"/>
    <col min="13801" max="13801" width="13.6875" style="17" bestFit="1" customWidth="1"/>
    <col min="13802" max="13802" width="13" style="17" customWidth="1"/>
    <col min="13803" max="13803" width="14.6875" style="17" customWidth="1"/>
    <col min="13804" max="13804" width="5.875" style="17" customWidth="1"/>
    <col min="13805" max="13805" width="4.6875" style="17" customWidth="1"/>
    <col min="13806" max="13806" width="8.6875" style="17" customWidth="1"/>
    <col min="13807" max="13807" width="10.3125" style="17" customWidth="1"/>
    <col min="13808" max="13808" width="9" style="17" customWidth="1"/>
    <col min="13809" max="13809" width="12.125" style="17" customWidth="1"/>
    <col min="13810" max="13811" width="10.6875" style="17" customWidth="1"/>
    <col min="13812" max="13812" width="10.3125" style="17" customWidth="1"/>
    <col min="13813" max="13813" width="11.6875" style="17" customWidth="1"/>
    <col min="13814" max="13814" width="13.6875" style="17" customWidth="1"/>
    <col min="13815" max="13815" width="26.1875" style="17" customWidth="1"/>
    <col min="13816" max="13816" width="14.6875" style="17" customWidth="1"/>
    <col min="13817" max="14042" width="5.6875" style="17"/>
    <col min="14043" max="14043" width="4.6875" style="17" customWidth="1"/>
    <col min="14044" max="14044" width="8.3125" style="17" customWidth="1"/>
    <col min="14045" max="14046" width="0" style="17" hidden="1" customWidth="1"/>
    <col min="14047" max="14047" width="4.875" style="17" customWidth="1"/>
    <col min="14048" max="14048" width="7.875" style="17" customWidth="1"/>
    <col min="14049" max="14049" width="6.3125" style="17" customWidth="1"/>
    <col min="14050" max="14050" width="12.3125" style="17" customWidth="1"/>
    <col min="14051" max="14053" width="11.3125" style="17" customWidth="1"/>
    <col min="14054" max="14054" width="10.3125" style="17" customWidth="1"/>
    <col min="14055" max="14055" width="11.3125" style="17" customWidth="1"/>
    <col min="14056" max="14056" width="0" style="17" hidden="1" customWidth="1"/>
    <col min="14057" max="14057" width="13.6875" style="17" bestFit="1" customWidth="1"/>
    <col min="14058" max="14058" width="13" style="17" customWidth="1"/>
    <col min="14059" max="14059" width="14.6875" style="17" customWidth="1"/>
    <col min="14060" max="14060" width="5.875" style="17" customWidth="1"/>
    <col min="14061" max="14061" width="4.6875" style="17" customWidth="1"/>
    <col min="14062" max="14062" width="8.6875" style="17" customWidth="1"/>
    <col min="14063" max="14063" width="10.3125" style="17" customWidth="1"/>
    <col min="14064" max="14064" width="9" style="17" customWidth="1"/>
    <col min="14065" max="14065" width="12.125" style="17" customWidth="1"/>
    <col min="14066" max="14067" width="10.6875" style="17" customWidth="1"/>
    <col min="14068" max="14068" width="10.3125" style="17" customWidth="1"/>
    <col min="14069" max="14069" width="11.6875" style="17" customWidth="1"/>
    <col min="14070" max="14070" width="13.6875" style="17" customWidth="1"/>
    <col min="14071" max="14071" width="26.1875" style="17" customWidth="1"/>
    <col min="14072" max="14072" width="14.6875" style="17" customWidth="1"/>
    <col min="14073" max="14298" width="5.6875" style="17"/>
    <col min="14299" max="14299" width="4.6875" style="17" customWidth="1"/>
    <col min="14300" max="14300" width="8.3125" style="17" customWidth="1"/>
    <col min="14301" max="14302" width="0" style="17" hidden="1" customWidth="1"/>
    <col min="14303" max="14303" width="4.875" style="17" customWidth="1"/>
    <col min="14304" max="14304" width="7.875" style="17" customWidth="1"/>
    <col min="14305" max="14305" width="6.3125" style="17" customWidth="1"/>
    <col min="14306" max="14306" width="12.3125" style="17" customWidth="1"/>
    <col min="14307" max="14309" width="11.3125" style="17" customWidth="1"/>
    <col min="14310" max="14310" width="10.3125" style="17" customWidth="1"/>
    <col min="14311" max="14311" width="11.3125" style="17" customWidth="1"/>
    <col min="14312" max="14312" width="0" style="17" hidden="1" customWidth="1"/>
    <col min="14313" max="14313" width="13.6875" style="17" bestFit="1" customWidth="1"/>
    <col min="14314" max="14314" width="13" style="17" customWidth="1"/>
    <col min="14315" max="14315" width="14.6875" style="17" customWidth="1"/>
    <col min="14316" max="14316" width="5.875" style="17" customWidth="1"/>
    <col min="14317" max="14317" width="4.6875" style="17" customWidth="1"/>
    <col min="14318" max="14318" width="8.6875" style="17" customWidth="1"/>
    <col min="14319" max="14319" width="10.3125" style="17" customWidth="1"/>
    <col min="14320" max="14320" width="9" style="17" customWidth="1"/>
    <col min="14321" max="14321" width="12.125" style="17" customWidth="1"/>
    <col min="14322" max="14323" width="10.6875" style="17" customWidth="1"/>
    <col min="14324" max="14324" width="10.3125" style="17" customWidth="1"/>
    <col min="14325" max="14325" width="11.6875" style="17" customWidth="1"/>
    <col min="14326" max="14326" width="13.6875" style="17" customWidth="1"/>
    <col min="14327" max="14327" width="26.1875" style="17" customWidth="1"/>
    <col min="14328" max="14328" width="14.6875" style="17" customWidth="1"/>
    <col min="14329" max="14554" width="5.6875" style="17"/>
    <col min="14555" max="14555" width="4.6875" style="17" customWidth="1"/>
    <col min="14556" max="14556" width="8.3125" style="17" customWidth="1"/>
    <col min="14557" max="14558" width="0" style="17" hidden="1" customWidth="1"/>
    <col min="14559" max="14559" width="4.875" style="17" customWidth="1"/>
    <col min="14560" max="14560" width="7.875" style="17" customWidth="1"/>
    <col min="14561" max="14561" width="6.3125" style="17" customWidth="1"/>
    <col min="14562" max="14562" width="12.3125" style="17" customWidth="1"/>
    <col min="14563" max="14565" width="11.3125" style="17" customWidth="1"/>
    <col min="14566" max="14566" width="10.3125" style="17" customWidth="1"/>
    <col min="14567" max="14567" width="11.3125" style="17" customWidth="1"/>
    <col min="14568" max="14568" width="0" style="17" hidden="1" customWidth="1"/>
    <col min="14569" max="14569" width="13.6875" style="17" bestFit="1" customWidth="1"/>
    <col min="14570" max="14570" width="13" style="17" customWidth="1"/>
    <col min="14571" max="14571" width="14.6875" style="17" customWidth="1"/>
    <col min="14572" max="14572" width="5.875" style="17" customWidth="1"/>
    <col min="14573" max="14573" width="4.6875" style="17" customWidth="1"/>
    <col min="14574" max="14574" width="8.6875" style="17" customWidth="1"/>
    <col min="14575" max="14575" width="10.3125" style="17" customWidth="1"/>
    <col min="14576" max="14576" width="9" style="17" customWidth="1"/>
    <col min="14577" max="14577" width="12.125" style="17" customWidth="1"/>
    <col min="14578" max="14579" width="10.6875" style="17" customWidth="1"/>
    <col min="14580" max="14580" width="10.3125" style="17" customWidth="1"/>
    <col min="14581" max="14581" width="11.6875" style="17" customWidth="1"/>
    <col min="14582" max="14582" width="13.6875" style="17" customWidth="1"/>
    <col min="14583" max="14583" width="26.1875" style="17" customWidth="1"/>
    <col min="14584" max="14584" width="14.6875" style="17" customWidth="1"/>
    <col min="14585" max="14810" width="5.6875" style="17"/>
    <col min="14811" max="14811" width="4.6875" style="17" customWidth="1"/>
    <col min="14812" max="14812" width="8.3125" style="17" customWidth="1"/>
    <col min="14813" max="14814" width="0" style="17" hidden="1" customWidth="1"/>
    <col min="14815" max="14815" width="4.875" style="17" customWidth="1"/>
    <col min="14816" max="14816" width="7.875" style="17" customWidth="1"/>
    <col min="14817" max="14817" width="6.3125" style="17" customWidth="1"/>
    <col min="14818" max="14818" width="12.3125" style="17" customWidth="1"/>
    <col min="14819" max="14821" width="11.3125" style="17" customWidth="1"/>
    <col min="14822" max="14822" width="10.3125" style="17" customWidth="1"/>
    <col min="14823" max="14823" width="11.3125" style="17" customWidth="1"/>
    <col min="14824" max="14824" width="0" style="17" hidden="1" customWidth="1"/>
    <col min="14825" max="14825" width="13.6875" style="17" bestFit="1" customWidth="1"/>
    <col min="14826" max="14826" width="13" style="17" customWidth="1"/>
    <col min="14827" max="14827" width="14.6875" style="17" customWidth="1"/>
    <col min="14828" max="14828" width="5.875" style="17" customWidth="1"/>
    <col min="14829" max="14829" width="4.6875" style="17" customWidth="1"/>
    <col min="14830" max="14830" width="8.6875" style="17" customWidth="1"/>
    <col min="14831" max="14831" width="10.3125" style="17" customWidth="1"/>
    <col min="14832" max="14832" width="9" style="17" customWidth="1"/>
    <col min="14833" max="14833" width="12.125" style="17" customWidth="1"/>
    <col min="14834" max="14835" width="10.6875" style="17" customWidth="1"/>
    <col min="14836" max="14836" width="10.3125" style="17" customWidth="1"/>
    <col min="14837" max="14837" width="11.6875" style="17" customWidth="1"/>
    <col min="14838" max="14838" width="13.6875" style="17" customWidth="1"/>
    <col min="14839" max="14839" width="26.1875" style="17" customWidth="1"/>
    <col min="14840" max="14840" width="14.6875" style="17" customWidth="1"/>
    <col min="14841" max="15066" width="5.6875" style="17"/>
    <col min="15067" max="15067" width="4.6875" style="17" customWidth="1"/>
    <col min="15068" max="15068" width="8.3125" style="17" customWidth="1"/>
    <col min="15069" max="15070" width="0" style="17" hidden="1" customWidth="1"/>
    <col min="15071" max="15071" width="4.875" style="17" customWidth="1"/>
    <col min="15072" max="15072" width="7.875" style="17" customWidth="1"/>
    <col min="15073" max="15073" width="6.3125" style="17" customWidth="1"/>
    <col min="15074" max="15074" width="12.3125" style="17" customWidth="1"/>
    <col min="15075" max="15077" width="11.3125" style="17" customWidth="1"/>
    <col min="15078" max="15078" width="10.3125" style="17" customWidth="1"/>
    <col min="15079" max="15079" width="11.3125" style="17" customWidth="1"/>
    <col min="15080" max="15080" width="0" style="17" hidden="1" customWidth="1"/>
    <col min="15081" max="15081" width="13.6875" style="17" bestFit="1" customWidth="1"/>
    <col min="15082" max="15082" width="13" style="17" customWidth="1"/>
    <col min="15083" max="15083" width="14.6875" style="17" customWidth="1"/>
    <col min="15084" max="15084" width="5.875" style="17" customWidth="1"/>
    <col min="15085" max="15085" width="4.6875" style="17" customWidth="1"/>
    <col min="15086" max="15086" width="8.6875" style="17" customWidth="1"/>
    <col min="15087" max="15087" width="10.3125" style="17" customWidth="1"/>
    <col min="15088" max="15088" width="9" style="17" customWidth="1"/>
    <col min="15089" max="15089" width="12.125" style="17" customWidth="1"/>
    <col min="15090" max="15091" width="10.6875" style="17" customWidth="1"/>
    <col min="15092" max="15092" width="10.3125" style="17" customWidth="1"/>
    <col min="15093" max="15093" width="11.6875" style="17" customWidth="1"/>
    <col min="15094" max="15094" width="13.6875" style="17" customWidth="1"/>
    <col min="15095" max="15095" width="26.1875" style="17" customWidth="1"/>
    <col min="15096" max="15096" width="14.6875" style="17" customWidth="1"/>
    <col min="15097" max="15322" width="5.6875" style="17"/>
    <col min="15323" max="15323" width="4.6875" style="17" customWidth="1"/>
    <col min="15324" max="15324" width="8.3125" style="17" customWidth="1"/>
    <col min="15325" max="15326" width="0" style="17" hidden="1" customWidth="1"/>
    <col min="15327" max="15327" width="4.875" style="17" customWidth="1"/>
    <col min="15328" max="15328" width="7.875" style="17" customWidth="1"/>
    <col min="15329" max="15329" width="6.3125" style="17" customWidth="1"/>
    <col min="15330" max="15330" width="12.3125" style="17" customWidth="1"/>
    <col min="15331" max="15333" width="11.3125" style="17" customWidth="1"/>
    <col min="15334" max="15334" width="10.3125" style="17" customWidth="1"/>
    <col min="15335" max="15335" width="11.3125" style="17" customWidth="1"/>
    <col min="15336" max="15336" width="0" style="17" hidden="1" customWidth="1"/>
    <col min="15337" max="15337" width="13.6875" style="17" bestFit="1" customWidth="1"/>
    <col min="15338" max="15338" width="13" style="17" customWidth="1"/>
    <col min="15339" max="15339" width="14.6875" style="17" customWidth="1"/>
    <col min="15340" max="15340" width="5.875" style="17" customWidth="1"/>
    <col min="15341" max="15341" width="4.6875" style="17" customWidth="1"/>
    <col min="15342" max="15342" width="8.6875" style="17" customWidth="1"/>
    <col min="15343" max="15343" width="10.3125" style="17" customWidth="1"/>
    <col min="15344" max="15344" width="9" style="17" customWidth="1"/>
    <col min="15345" max="15345" width="12.125" style="17" customWidth="1"/>
    <col min="15346" max="15347" width="10.6875" style="17" customWidth="1"/>
    <col min="15348" max="15348" width="10.3125" style="17" customWidth="1"/>
    <col min="15349" max="15349" width="11.6875" style="17" customWidth="1"/>
    <col min="15350" max="15350" width="13.6875" style="17" customWidth="1"/>
    <col min="15351" max="15351" width="26.1875" style="17" customWidth="1"/>
    <col min="15352" max="15352" width="14.6875" style="17" customWidth="1"/>
    <col min="15353" max="15578" width="5.6875" style="17"/>
    <col min="15579" max="15579" width="4.6875" style="17" customWidth="1"/>
    <col min="15580" max="15580" width="8.3125" style="17" customWidth="1"/>
    <col min="15581" max="15582" width="0" style="17" hidden="1" customWidth="1"/>
    <col min="15583" max="15583" width="4.875" style="17" customWidth="1"/>
    <col min="15584" max="15584" width="7.875" style="17" customWidth="1"/>
    <col min="15585" max="15585" width="6.3125" style="17" customWidth="1"/>
    <col min="15586" max="15586" width="12.3125" style="17" customWidth="1"/>
    <col min="15587" max="15589" width="11.3125" style="17" customWidth="1"/>
    <col min="15590" max="15590" width="10.3125" style="17" customWidth="1"/>
    <col min="15591" max="15591" width="11.3125" style="17" customWidth="1"/>
    <col min="15592" max="15592" width="0" style="17" hidden="1" customWidth="1"/>
    <col min="15593" max="15593" width="13.6875" style="17" bestFit="1" customWidth="1"/>
    <col min="15594" max="15594" width="13" style="17" customWidth="1"/>
    <col min="15595" max="15595" width="14.6875" style="17" customWidth="1"/>
    <col min="15596" max="15596" width="5.875" style="17" customWidth="1"/>
    <col min="15597" max="15597" width="4.6875" style="17" customWidth="1"/>
    <col min="15598" max="15598" width="8.6875" style="17" customWidth="1"/>
    <col min="15599" max="15599" width="10.3125" style="17" customWidth="1"/>
    <col min="15600" max="15600" width="9" style="17" customWidth="1"/>
    <col min="15601" max="15601" width="12.125" style="17" customWidth="1"/>
    <col min="15602" max="15603" width="10.6875" style="17" customWidth="1"/>
    <col min="15604" max="15604" width="10.3125" style="17" customWidth="1"/>
    <col min="15605" max="15605" width="11.6875" style="17" customWidth="1"/>
    <col min="15606" max="15606" width="13.6875" style="17" customWidth="1"/>
    <col min="15607" max="15607" width="26.1875" style="17" customWidth="1"/>
    <col min="15608" max="15608" width="14.6875" style="17" customWidth="1"/>
    <col min="15609" max="15834" width="5.6875" style="17"/>
    <col min="15835" max="15835" width="4.6875" style="17" customWidth="1"/>
    <col min="15836" max="15836" width="8.3125" style="17" customWidth="1"/>
    <col min="15837" max="15838" width="0" style="17" hidden="1" customWidth="1"/>
    <col min="15839" max="15839" width="4.875" style="17" customWidth="1"/>
    <col min="15840" max="15840" width="7.875" style="17" customWidth="1"/>
    <col min="15841" max="15841" width="6.3125" style="17" customWidth="1"/>
    <col min="15842" max="15842" width="12.3125" style="17" customWidth="1"/>
    <col min="15843" max="15845" width="11.3125" style="17" customWidth="1"/>
    <col min="15846" max="15846" width="10.3125" style="17" customWidth="1"/>
    <col min="15847" max="15847" width="11.3125" style="17" customWidth="1"/>
    <col min="15848" max="15848" width="0" style="17" hidden="1" customWidth="1"/>
    <col min="15849" max="15849" width="13.6875" style="17" bestFit="1" customWidth="1"/>
    <col min="15850" max="15850" width="13" style="17" customWidth="1"/>
    <col min="15851" max="15851" width="14.6875" style="17" customWidth="1"/>
    <col min="15852" max="15852" width="5.875" style="17" customWidth="1"/>
    <col min="15853" max="15853" width="4.6875" style="17" customWidth="1"/>
    <col min="15854" max="15854" width="8.6875" style="17" customWidth="1"/>
    <col min="15855" max="15855" width="10.3125" style="17" customWidth="1"/>
    <col min="15856" max="15856" width="9" style="17" customWidth="1"/>
    <col min="15857" max="15857" width="12.125" style="17" customWidth="1"/>
    <col min="15858" max="15859" width="10.6875" style="17" customWidth="1"/>
    <col min="15860" max="15860" width="10.3125" style="17" customWidth="1"/>
    <col min="15861" max="15861" width="11.6875" style="17" customWidth="1"/>
    <col min="15862" max="15862" width="13.6875" style="17" customWidth="1"/>
    <col min="15863" max="15863" width="26.1875" style="17" customWidth="1"/>
    <col min="15864" max="15864" width="14.6875" style="17" customWidth="1"/>
    <col min="15865" max="16090" width="5.6875" style="17"/>
    <col min="16091" max="16091" width="4.6875" style="17" customWidth="1"/>
    <col min="16092" max="16092" width="8.3125" style="17" customWidth="1"/>
    <col min="16093" max="16094" width="0" style="17" hidden="1" customWidth="1"/>
    <col min="16095" max="16095" width="4.875" style="17" customWidth="1"/>
    <col min="16096" max="16096" width="7.875" style="17" customWidth="1"/>
    <col min="16097" max="16097" width="6.3125" style="17" customWidth="1"/>
    <col min="16098" max="16098" width="12.3125" style="17" customWidth="1"/>
    <col min="16099" max="16101" width="11.3125" style="17" customWidth="1"/>
    <col min="16102" max="16102" width="10.3125" style="17" customWidth="1"/>
    <col min="16103" max="16103" width="11.3125" style="17" customWidth="1"/>
    <col min="16104" max="16104" width="0" style="17" hidden="1" customWidth="1"/>
    <col min="16105" max="16105" width="13.6875" style="17" bestFit="1" customWidth="1"/>
    <col min="16106" max="16106" width="13" style="17" customWidth="1"/>
    <col min="16107" max="16107" width="14.6875" style="17" customWidth="1"/>
    <col min="16108" max="16108" width="5.875" style="17" customWidth="1"/>
    <col min="16109" max="16109" width="4.6875" style="17" customWidth="1"/>
    <col min="16110" max="16110" width="8.6875" style="17" customWidth="1"/>
    <col min="16111" max="16111" width="10.3125" style="17" customWidth="1"/>
    <col min="16112" max="16112" width="9" style="17" customWidth="1"/>
    <col min="16113" max="16113" width="12.125" style="17" customWidth="1"/>
    <col min="16114" max="16115" width="10.6875" style="17" customWidth="1"/>
    <col min="16116" max="16116" width="10.3125" style="17" customWidth="1"/>
    <col min="16117" max="16117" width="11.6875" style="17" customWidth="1"/>
    <col min="16118" max="16118" width="13.6875" style="17" customWidth="1"/>
    <col min="16119" max="16119" width="26.1875" style="17" customWidth="1"/>
    <col min="16120" max="16120" width="14.6875" style="17" customWidth="1"/>
    <col min="16121" max="16384" width="5.6875" style="17"/>
  </cols>
  <sheetData>
    <row r="1" spans="1:50" ht="25.5" x14ac:dyDescent="0.6">
      <c r="A1" s="297" t="s">
        <v>396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110"/>
      <c r="V1" s="110"/>
      <c r="W1" s="297" t="s">
        <v>397</v>
      </c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</row>
    <row r="2" spans="1:50" ht="7.7" customHeight="1" x14ac:dyDescent="0.6">
      <c r="A2" s="18"/>
      <c r="B2" s="18"/>
      <c r="C2" s="18"/>
      <c r="D2" s="18"/>
      <c r="E2" s="18"/>
      <c r="F2" s="18"/>
      <c r="G2" s="18"/>
      <c r="H2" s="94"/>
      <c r="I2" s="19"/>
      <c r="J2" s="19"/>
      <c r="K2" s="19"/>
      <c r="L2" s="19"/>
      <c r="M2" s="19"/>
      <c r="N2" s="123"/>
      <c r="O2" s="134"/>
      <c r="P2" s="134"/>
      <c r="Q2" s="94"/>
      <c r="R2" s="104"/>
      <c r="S2" s="94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</row>
    <row r="3" spans="1:50" s="22" customFormat="1" ht="14.1" customHeight="1" x14ac:dyDescent="0.6">
      <c r="A3" s="20" t="s">
        <v>0</v>
      </c>
      <c r="B3" s="21"/>
      <c r="C3" s="21"/>
      <c r="D3" s="21"/>
      <c r="E3" s="21"/>
      <c r="F3" s="21"/>
      <c r="G3" s="21"/>
      <c r="H3" s="95"/>
      <c r="I3" s="23"/>
      <c r="J3" s="23"/>
      <c r="K3" s="23"/>
      <c r="L3" s="23"/>
      <c r="M3" s="244">
        <f>VALUE(LEFT(A1,4))</f>
        <v>2026</v>
      </c>
      <c r="N3" s="245">
        <f>VALUE(MID(A1,FIND("년",A1)+2,FIND("월",A1)-FIND("년",A1)-2))</f>
        <v>1</v>
      </c>
      <c r="O3" s="135">
        <f>DAY(EOMONTH(DATE(VALUE(LEFT(A1,4)), N3, 1), 0))</f>
        <v>31</v>
      </c>
      <c r="P3" s="135"/>
      <c r="Q3" s="95"/>
      <c r="R3" s="105"/>
      <c r="S3" s="95"/>
      <c r="W3" s="20" t="s">
        <v>0</v>
      </c>
      <c r="X3" s="24"/>
      <c r="AI3" s="76"/>
    </row>
    <row r="4" spans="1:50" s="22" customFormat="1" ht="14.25" customHeight="1" x14ac:dyDescent="0.6">
      <c r="A4" s="300" t="s">
        <v>1</v>
      </c>
      <c r="B4" s="298" t="s">
        <v>2</v>
      </c>
      <c r="C4" s="298" t="s">
        <v>3</v>
      </c>
      <c r="D4" s="298" t="s">
        <v>4</v>
      </c>
      <c r="E4" s="298" t="s">
        <v>5</v>
      </c>
      <c r="F4" s="298" t="s">
        <v>6</v>
      </c>
      <c r="G4" s="298" t="s">
        <v>7</v>
      </c>
      <c r="H4" s="301" t="s">
        <v>8</v>
      </c>
      <c r="I4" s="303" t="s">
        <v>9</v>
      </c>
      <c r="J4" s="304"/>
      <c r="K4" s="304"/>
      <c r="L4" s="304"/>
      <c r="M4" s="304"/>
      <c r="N4" s="304"/>
      <c r="O4" s="305" t="s">
        <v>10</v>
      </c>
      <c r="P4" s="307" t="s">
        <v>11</v>
      </c>
      <c r="Q4" s="301" t="s">
        <v>12</v>
      </c>
      <c r="R4" s="308" t="s">
        <v>13</v>
      </c>
      <c r="S4" s="301" t="s">
        <v>14</v>
      </c>
      <c r="T4" s="310" t="s">
        <v>15</v>
      </c>
      <c r="U4" s="111"/>
      <c r="V4" s="111"/>
      <c r="W4" s="300" t="s">
        <v>1</v>
      </c>
      <c r="X4" s="300" t="s">
        <v>2</v>
      </c>
      <c r="Y4" s="311" t="s">
        <v>16</v>
      </c>
      <c r="Z4" s="312"/>
      <c r="AA4" s="312"/>
      <c r="AB4" s="312"/>
      <c r="AC4" s="312"/>
      <c r="AD4" s="312"/>
      <c r="AE4" s="109"/>
      <c r="AF4" s="109"/>
      <c r="AG4" s="310" t="s">
        <v>17</v>
      </c>
      <c r="AH4" s="310" t="s">
        <v>18</v>
      </c>
      <c r="AI4" s="298" t="s">
        <v>19</v>
      </c>
    </row>
    <row r="5" spans="1:50" s="22" customFormat="1" ht="27.2" customHeight="1" x14ac:dyDescent="0.6">
      <c r="A5" s="300"/>
      <c r="B5" s="299"/>
      <c r="C5" s="299"/>
      <c r="D5" s="299"/>
      <c r="E5" s="299"/>
      <c r="F5" s="299"/>
      <c r="G5" s="299"/>
      <c r="H5" s="302"/>
      <c r="I5" s="165" t="s">
        <v>20</v>
      </c>
      <c r="J5" s="202" t="s">
        <v>21</v>
      </c>
      <c r="K5" s="202" t="s">
        <v>261</v>
      </c>
      <c r="L5" s="225" t="s">
        <v>262</v>
      </c>
      <c r="M5" s="202" t="s">
        <v>23</v>
      </c>
      <c r="N5" s="203" t="s">
        <v>24</v>
      </c>
      <c r="O5" s="306"/>
      <c r="P5" s="306"/>
      <c r="Q5" s="302"/>
      <c r="R5" s="309"/>
      <c r="S5" s="302"/>
      <c r="T5" s="310"/>
      <c r="U5" s="72" t="s">
        <v>25</v>
      </c>
      <c r="V5" s="204" t="s">
        <v>26</v>
      </c>
      <c r="W5" s="300"/>
      <c r="X5" s="300"/>
      <c r="Y5" s="55" t="s">
        <v>27</v>
      </c>
      <c r="Z5" s="55" t="s">
        <v>28</v>
      </c>
      <c r="AA5" s="55" t="s">
        <v>29</v>
      </c>
      <c r="AB5" s="55" t="s">
        <v>30</v>
      </c>
      <c r="AC5" s="55" t="s">
        <v>31</v>
      </c>
      <c r="AD5" s="55" t="s">
        <v>32</v>
      </c>
      <c r="AE5" s="165" t="s">
        <v>33</v>
      </c>
      <c r="AF5" s="165" t="s">
        <v>327</v>
      </c>
      <c r="AG5" s="310"/>
      <c r="AH5" s="310"/>
      <c r="AI5" s="299"/>
      <c r="AL5" s="22">
        <v>12</v>
      </c>
      <c r="AM5" s="22">
        <v>11</v>
      </c>
      <c r="AN5" s="22">
        <v>10</v>
      </c>
      <c r="AO5" s="22">
        <v>9</v>
      </c>
      <c r="AP5" s="22">
        <v>8</v>
      </c>
      <c r="AQ5" s="22">
        <v>7</v>
      </c>
      <c r="AR5" s="22">
        <v>6</v>
      </c>
      <c r="AS5" s="22">
        <v>5</v>
      </c>
      <c r="AT5" s="22">
        <v>4</v>
      </c>
      <c r="AU5" s="22">
        <v>3</v>
      </c>
      <c r="AV5" s="22">
        <v>2</v>
      </c>
      <c r="AW5" s="22">
        <v>1</v>
      </c>
    </row>
    <row r="6" spans="1:50" s="22" customFormat="1" ht="20.45" customHeight="1" x14ac:dyDescent="0.6">
      <c r="A6" s="72">
        <f t="shared" ref="A6:A83" si="0">ROW()-5</f>
        <v>1</v>
      </c>
      <c r="B6" s="156" t="s">
        <v>35</v>
      </c>
      <c r="C6" s="156" t="str">
        <f>INDEX('정직원 (2)'!$B$4:$B$10,MATCH(임금대장!B6,'정직원 (2)'!$C$4:$C$10,0))</f>
        <v>초다이</v>
      </c>
      <c r="D6" s="122" t="str">
        <f>VLOOKUP(B6,'정직원 (2)'!$C$4:$F$10,4,0)</f>
        <v>870923-1243215</v>
      </c>
      <c r="E6" s="116">
        <f>VLOOKUP(B6,'정직원 (2)'!$C$4:$J$81,8,0)</f>
        <v>44593</v>
      </c>
      <c r="F6" s="116">
        <f>VLOOKUP(B6,'정직원 (2)'!$C$4:$L$81,10,0)</f>
        <v>0</v>
      </c>
      <c r="G6" s="129">
        <f>VLOOKUP(B6,'정직원 (2)'!$C$4:$F$81,3,0)</f>
        <v>4300000</v>
      </c>
      <c r="H6" s="96">
        <f t="shared" ref="H6" si="1">ROUNDDOWN(G6/291,0)</f>
        <v>14776</v>
      </c>
      <c r="I6" s="97">
        <f t="shared" ref="I6:I20" si="2">ROUNDDOWN(($G6/291*209),0)</f>
        <v>3088316</v>
      </c>
      <c r="J6" s="97">
        <f>ROUNDDOWN(($G6/291*65.2),0)</f>
        <v>963436</v>
      </c>
      <c r="K6" s="97">
        <f t="shared" ref="K6:K20" si="3">ROUNDUP(($G6/291*8.8),0)</f>
        <v>130035</v>
      </c>
      <c r="L6" s="223">
        <f>VLOOKUP(B6,'정직원 (2)'!$C$4:$O$95,13,0)</f>
        <v>0</v>
      </c>
      <c r="M6" s="97">
        <f>ROUNDDOWN(($G6/291*8),0)</f>
        <v>118213</v>
      </c>
      <c r="N6" s="120">
        <f t="shared" ref="N6" si="4">IF(OR(AI6="",AI6=0),0, IF(ISNUMBER(SEARCH("추가",AI6)), G6/$O$3*VALUE(SUBSTITUTE(SUBSTITUTE(TRIM(AI6)," ",""),"추가","")), 0))</f>
        <v>69354.838709677424</v>
      </c>
      <c r="O6" s="136">
        <f t="shared" ref="O6" si="5">$O$3-P6</f>
        <v>31</v>
      </c>
      <c r="P6" s="137">
        <f t="shared" ref="P6" si="6">IF(ISNUMBER(SEARCH("차감",AI6)), VALUE(SUBSTITUTE(SUBSTITUTE(SUBSTITUTE(TRIM(AI6)," ",""),"차감",""),"일","")), IF(AND(YEAR(F6)=$M$3,MONTH(F6)=$N$3),$O$3-DAY(F6), IF(AND(YEAR(E6)=$M$3,MONTH(E6)=$N$3),DAY(E6)-1,0)))</f>
        <v>0</v>
      </c>
      <c r="Q6" s="96">
        <f t="shared" ref="Q6" si="7">ROUNDDOWN(G6/$O$3*P6,-1)</f>
        <v>0</v>
      </c>
      <c r="R6" s="103"/>
      <c r="S6" s="96">
        <f t="shared" ref="S6" si="8">ROUNDDOWN(H6*R6,-1)</f>
        <v>0</v>
      </c>
      <c r="T6" s="132">
        <f t="shared" ref="T6" si="9">G6-Q6-S6+N6+L6</f>
        <v>4369354.8387096776</v>
      </c>
      <c r="U6" s="73">
        <v>1800000</v>
      </c>
      <c r="V6" s="64" t="s">
        <v>247</v>
      </c>
      <c r="W6" s="72">
        <f t="shared" ref="W6" si="10">A6</f>
        <v>1</v>
      </c>
      <c r="X6" s="72" t="str">
        <f t="shared" ref="X6" si="11">B6</f>
        <v>박은규</v>
      </c>
      <c r="Y6" s="55">
        <f>IF(T6&lt;800000,0,(VLOOKUP(T6,'세액표(1202)'!A:L,V6+1)))</f>
        <v>132410</v>
      </c>
      <c r="Z6" s="55">
        <f t="shared" ref="Z6" si="12">ROUNDDOWN(Y6*10%,-1)</f>
        <v>13240</v>
      </c>
      <c r="AA6" s="183">
        <v>209900</v>
      </c>
      <c r="AB6" s="55">
        <f t="shared" ref="AB6" si="13">ROUNDDOWN(T6*3.595%,-1)</f>
        <v>157070</v>
      </c>
      <c r="AC6" s="55">
        <f t="shared" ref="AC6:AC36" si="14">ROUNDDOWN(AB6*13.14%,-1)</f>
        <v>20630</v>
      </c>
      <c r="AD6" s="55">
        <f t="shared" ref="AD6" si="15">ROUNDDOWN(T6*0.9%,-1)</f>
        <v>39320</v>
      </c>
      <c r="AE6" s="70">
        <f t="shared" ref="AE6" si="16">L6</f>
        <v>0</v>
      </c>
      <c r="AF6" s="70"/>
      <c r="AG6" s="132">
        <f t="shared" ref="AG6" si="17">SUM(Y6:AF6)</f>
        <v>572570</v>
      </c>
      <c r="AH6" s="54">
        <f t="shared" ref="AH6" si="18">T6-AG6</f>
        <v>3796784.8387096776</v>
      </c>
      <c r="AI6" s="77" t="str">
        <f>VLOOKUP(D6,'정직원 (2)'!$F$4:$M$90,8,0)</f>
        <v>0.5추가</v>
      </c>
      <c r="AJ6" s="22">
        <f t="shared" ref="AJ6" ca="1" si="19">DATEDIF(DATE(IF(VALUE(LEFT(D6,2))&gt;22,1900,2000)+VALUE(LEFT(D6,2)),VALUE(MID(D6,3,2)),VALUE(MID(D6,5,2))),TODAY(),"Y")</f>
        <v>38</v>
      </c>
      <c r="AK6" s="22" t="str">
        <f>_xlfn.LET(
 _xlpm.tag0, AI6,
 _xlpm.tag, TRIM(SUBSTITUTE(SUBSTITUTE(_xlpm.tag0," ",""),CHAR(160),"")),
 _xlpm.hasAdd, ISNUMBER(SEARCH("추가",_xlpm.tag)),
 _xlpm.hasSub, ISNUMBER(SEARCH("차감",_xlpm.tag)),
 _xlpm.rawText, SUBSTITUTE(SUBSTITUTE(_xlpm.tag,"추가",""),"차감",""),
 _xlpm.fac, IFERROR(VALUE(_xlpm.rawText),""),
 _xlpm.base, G6,
 _xlpm.denom, $O$3,
 _xlpm.expected, IF(_xlpm.hasAdd, _xlpm.base/_xlpm.denom*_xlpm.fac,
            IF(_xlpm.hasSub, ROUNDDOWN(_xlpm.base/_xlpm.denom*_xlpm.fac,-1),"")),
 _xlpm.tgt0, IF(_xlpm.hasSub, Q6, IF(_xlpm.hasAdd, N6, "")),
 _xlpm.tgt, IF(_xlpm.tgt0="","",IFERROR(1*SUBSTITUTE(_xlpm.tgt0,",",""),"")),
 _xlpm.diff, IF(AND(_xlpm.expected&lt;&gt;"",_xlpm.tgt&lt;&gt;""), _xlpm.tgt-_xlpm.expected,""),
 _xlpm.ok, IF(_xlpm.diff&lt;&gt;"", ABS(_xlpm.diff)&lt;=1, FALSE),
 IF(_xlpm.tag="", "NO TAG",
   IF(NOT(OR(_xlpm.hasAdd,_xlpm.hasSub)), "INVALID TAG",
     IF(_xlpm.fac="", "BAD NUM",
       IF(_xlpm.tgt="", "NO VAL",
         IF(_xlpm.ok,"OK","NG: "&amp;TEXT(_xlpm.diff,"#,##0"))
       )
     )
   )
 )
)</f>
        <v>OK</v>
      </c>
      <c r="AL6" s="22">
        <v>5508064.5161290327</v>
      </c>
      <c r="AO6" s="22">
        <v>7443333.333333333</v>
      </c>
      <c r="AP6" s="159">
        <v>4785483.8709677421</v>
      </c>
      <c r="AQ6" s="159">
        <v>4114520</v>
      </c>
      <c r="AR6" s="159">
        <v>5015000</v>
      </c>
      <c r="AS6" s="159">
        <v>4646774.1935483869</v>
      </c>
      <c r="AT6" s="159">
        <v>4300000</v>
      </c>
      <c r="AU6" s="159">
        <v>4508065</v>
      </c>
      <c r="AV6" s="159">
        <v>4453571.4285714282</v>
      </c>
      <c r="AW6" s="159">
        <v>5008065</v>
      </c>
      <c r="AX6" s="22">
        <f t="shared" ref="AX6" si="20">SUM(AM6:AW6)</f>
        <v>44274812.826420888</v>
      </c>
    </row>
    <row r="7" spans="1:50" s="22" customFormat="1" ht="20.45" customHeight="1" x14ac:dyDescent="0.6">
      <c r="A7" s="72">
        <f t="shared" si="0"/>
        <v>2</v>
      </c>
      <c r="B7" s="156" t="s">
        <v>36</v>
      </c>
      <c r="C7" s="156" t="str">
        <f>INDEX('정직원 (2)'!$B$4:$B$10,MATCH(임금대장!B7,'정직원 (2)'!$C$4:$C$10,0))</f>
        <v>롤</v>
      </c>
      <c r="D7" s="122" t="str">
        <f>VLOOKUP(B7,'정직원 (2)'!$C$4:$F$10,4,0)</f>
        <v>830729-6100013</v>
      </c>
      <c r="E7" s="116">
        <f>VLOOKUP(B7,'정직원 (2)'!$C$4:$J$81,8,0)</f>
        <v>44743</v>
      </c>
      <c r="F7" s="116">
        <f>VLOOKUP(B7,'정직원 (2)'!$C$4:$L$81,10,0)</f>
        <v>0</v>
      </c>
      <c r="G7" s="129">
        <f>VLOOKUP(B7,'정직원 (2)'!$C$4:$F$81,3,0)</f>
        <v>3400000</v>
      </c>
      <c r="H7" s="96">
        <f t="shared" ref="H7:H12" si="21">ROUNDDOWN(G7/291,0)</f>
        <v>11683</v>
      </c>
      <c r="I7" s="97">
        <f t="shared" si="2"/>
        <v>2441924</v>
      </c>
      <c r="J7" s="97">
        <f>ROUNDUP(($G7/291*65.2),0)</f>
        <v>761787</v>
      </c>
      <c r="K7" s="97">
        <f t="shared" si="3"/>
        <v>102818</v>
      </c>
      <c r="L7" s="223">
        <f>VLOOKUP(B7,'정직원 (2)'!$C$4:$O$95,13,0)</f>
        <v>0</v>
      </c>
      <c r="M7" s="97">
        <f t="shared" ref="M7:M12" si="22">ROUNDUP(($G7/291*8),0)</f>
        <v>93471</v>
      </c>
      <c r="N7" s="120">
        <f t="shared" ref="N7:N34" si="23">IF(OR(AI7="",AI7=0),0, IF(ISNUMBER(SEARCH("추가",AI7)), G7/$O$3*VALUE(SUBSTITUTE(SUBSTITUTE(TRIM(AI7)," ",""),"추가","")), 0))</f>
        <v>274193.54838709679</v>
      </c>
      <c r="O7" s="136">
        <f t="shared" ref="O7" si="24">$O$3-P7</f>
        <v>31</v>
      </c>
      <c r="P7" s="137">
        <f t="shared" ref="P7:P34" si="25">IF(ISNUMBER(SEARCH("차감",AI7)), VALUE(SUBSTITUTE(SUBSTITUTE(SUBSTITUTE(TRIM(AI7)," ",""),"차감",""),"일","")), IF(AND(YEAR(F7)=$M$3,MONTH(F7)=$N$3),$O$3-DAY(F7), IF(AND(YEAR(E7)=$M$3,MONTH(E7)=$N$3),DAY(E7)-1,0)))</f>
        <v>0</v>
      </c>
      <c r="Q7" s="96">
        <f t="shared" ref="Q7:Q34" si="26">ROUNDDOWN(G7/$O$3*P7,-1)</f>
        <v>0</v>
      </c>
      <c r="R7" s="103"/>
      <c r="S7" s="96">
        <f t="shared" ref="S7:S17" si="27">ROUNDDOWN(H7*R7,-1)</f>
        <v>0</v>
      </c>
      <c r="T7" s="132">
        <f t="shared" ref="T7:T70" si="28">G7-Q7-S7+N7+L7</f>
        <v>3674193.5483870967</v>
      </c>
      <c r="U7" s="73">
        <v>1800000</v>
      </c>
      <c r="V7" s="64" t="s">
        <v>34</v>
      </c>
      <c r="W7" s="72">
        <f t="shared" ref="W7:W70" si="29">A7</f>
        <v>2</v>
      </c>
      <c r="X7" s="72" t="str">
        <f t="shared" ref="X7:X70" si="30">B7</f>
        <v>piao jing</v>
      </c>
      <c r="Y7" s="55">
        <f>IF(T7&lt;800000,0,(VLOOKUP(T7,'세액표(1202)'!A:L,V7+1)))</f>
        <v>144330</v>
      </c>
      <c r="Z7" s="55">
        <f t="shared" ref="Z7" si="31">ROUNDDOWN(Y7*10%,-1)</f>
        <v>14430</v>
      </c>
      <c r="AA7" s="183">
        <v>165630</v>
      </c>
      <c r="AB7" s="55">
        <f t="shared" ref="AB7:AB36" si="32">ROUNDDOWN(T7*3.595%,-1)</f>
        <v>132080</v>
      </c>
      <c r="AC7" s="55">
        <f t="shared" si="14"/>
        <v>17350</v>
      </c>
      <c r="AD7" s="55">
        <f t="shared" ref="AD7" si="33">ROUNDDOWN(T7*0.9%,-1)</f>
        <v>33060</v>
      </c>
      <c r="AE7" s="70">
        <f t="shared" ref="AE7:AE22" si="34">L7</f>
        <v>0</v>
      </c>
      <c r="AF7" s="70"/>
      <c r="AG7" s="132">
        <f t="shared" ref="AG7" si="35">SUM(Y7:AF7)</f>
        <v>506880</v>
      </c>
      <c r="AH7" s="54">
        <f t="shared" ref="AH7" si="36">T7-AG7</f>
        <v>3167313.5483870967</v>
      </c>
      <c r="AI7" s="77" t="str">
        <f>VLOOKUP(D7,'정직원 (2)'!$F$4:$M$90,8,0)</f>
        <v>2.5추가</v>
      </c>
      <c r="AJ7" s="22">
        <f t="shared" ref="AJ7:AJ17" ca="1" si="37">DATEDIF(DATE(IF(VALUE(LEFT(D7,2))&gt;22,1900,2000)+VALUE(LEFT(D7,2)),VALUE(MID(D7,3,2)),VALUE(MID(D7,5,2))),TODAY(),"Y")</f>
        <v>42</v>
      </c>
      <c r="AK7" s="22" t="str">
        <f t="shared" ref="AK7:AK34" si="38">_xlfn.LET(
 _xlpm.tag0, AI7,
 _xlpm.tag, TRIM(SUBSTITUTE(SUBSTITUTE(_xlpm.tag0," ",""),CHAR(160),"")),
 _xlpm.hasAdd, ISNUMBER(SEARCH("추가",_xlpm.tag)),
 _xlpm.hasSub, ISNUMBER(SEARCH("차감",_xlpm.tag)),
 _xlpm.rawText, SUBSTITUTE(SUBSTITUTE(_xlpm.tag,"추가",""),"차감",""),
 _xlpm.fac, IFERROR(VALUE(_xlpm.rawText),""),
 _xlpm.base, G7,
 _xlpm.denom, $O$3,
 _xlpm.expected, IF(_xlpm.hasAdd, _xlpm.base/_xlpm.denom*_xlpm.fac,
            IF(_xlpm.hasSub, ROUNDDOWN(_xlpm.base/_xlpm.denom*_xlpm.fac,-1),"")),
 _xlpm.tgt0, IF(_xlpm.hasSub, Q7, IF(_xlpm.hasAdd, N7, "")),
 _xlpm.tgt, IF(_xlpm.tgt0="","",IFERROR(1*SUBSTITUTE(_xlpm.tgt0,",",""),"")),
 _xlpm.diff, IF(AND(_xlpm.expected&lt;&gt;"",_xlpm.tgt&lt;&gt;""), _xlpm.tgt-_xlpm.expected,""),
 _xlpm.ok, IF(_xlpm.diff&lt;&gt;"", ABS(_xlpm.diff)&lt;=1, FALSE),
 IF(_xlpm.tag="", "NO TAG",
   IF(NOT(OR(_xlpm.hasAdd,_xlpm.hasSub)), "INVALID TAG",
     IF(_xlpm.fac="", "BAD NUM",
       IF(_xlpm.tgt="", "NO VAL",
         IF(_xlpm.ok,"OK","NG: "&amp;TEXT(_xlpm.diff,"#,##0"))
       )
     )
   )
 )
)</f>
        <v>OK</v>
      </c>
      <c r="AL7" s="22">
        <v>3564516.1290322579</v>
      </c>
      <c r="AO7" s="22">
        <v>4013333.3333333335</v>
      </c>
      <c r="AP7" s="159">
        <v>3564516.1290322579</v>
      </c>
      <c r="AQ7" s="159">
        <v>3535490</v>
      </c>
      <c r="AR7" s="159">
        <v>3940000</v>
      </c>
      <c r="AS7" s="159">
        <v>3783870.9677419355</v>
      </c>
      <c r="AT7" s="159">
        <v>3400000</v>
      </c>
      <c r="AU7" s="159">
        <v>3674194</v>
      </c>
      <c r="AV7" s="159">
        <v>3400000</v>
      </c>
      <c r="AW7" s="159">
        <v>3764517</v>
      </c>
      <c r="AX7" s="22">
        <f t="shared" ref="AX7:AX9" si="39">SUM(AM7:AW7)</f>
        <v>33075921.430107526</v>
      </c>
    </row>
    <row r="8" spans="1:50" s="22" customFormat="1" ht="20.45" customHeight="1" x14ac:dyDescent="0.6">
      <c r="A8" s="72">
        <f t="shared" si="0"/>
        <v>3</v>
      </c>
      <c r="B8" s="156" t="s">
        <v>65</v>
      </c>
      <c r="C8" s="156">
        <f>INDEX('정직원 (2)'!$B$4:$B$10,MATCH(임금대장!B8,'정직원 (2)'!$C$4:$C$10,0))</f>
        <v>0</v>
      </c>
      <c r="D8" s="122" t="str">
        <f>VLOOKUP(B8,'정직원 (2)'!$C$4:$F$10,4,0)</f>
        <v>630526-2252859</v>
      </c>
      <c r="E8" s="116">
        <f>VLOOKUP(B8,'정직원 (2)'!$C$4:$J$81,8,0)</f>
        <v>45012</v>
      </c>
      <c r="F8" s="116">
        <f>VLOOKUP(B8,'정직원 (2)'!$C$4:$L$81,10,0)</f>
        <v>0</v>
      </c>
      <c r="G8" s="129">
        <f>VLOOKUP(B8,'정직원 (2)'!$C$4:$F$81,3,0)</f>
        <v>3300000</v>
      </c>
      <c r="H8" s="96">
        <f t="shared" si="21"/>
        <v>11340</v>
      </c>
      <c r="I8" s="97">
        <f t="shared" si="2"/>
        <v>2370103</v>
      </c>
      <c r="J8" s="97">
        <f>ROUNDDOWN(($G8/291*65.2),0)</f>
        <v>739381</v>
      </c>
      <c r="K8" s="97">
        <f t="shared" si="3"/>
        <v>99794</v>
      </c>
      <c r="L8" s="223">
        <f>VLOOKUP(B8,'정직원 (2)'!$C$4:$O$95,13,0)</f>
        <v>0</v>
      </c>
      <c r="M8" s="97">
        <f t="shared" si="22"/>
        <v>90722</v>
      </c>
      <c r="N8" s="120">
        <f t="shared" si="23"/>
        <v>53225.806451612902</v>
      </c>
      <c r="O8" s="136">
        <f t="shared" ref="O8" si="40">$O$3-P8</f>
        <v>31</v>
      </c>
      <c r="P8" s="137">
        <f t="shared" si="25"/>
        <v>0</v>
      </c>
      <c r="Q8" s="96">
        <f t="shared" si="26"/>
        <v>0</v>
      </c>
      <c r="R8" s="103"/>
      <c r="S8" s="96">
        <f t="shared" si="27"/>
        <v>0</v>
      </c>
      <c r="T8" s="132">
        <f t="shared" si="28"/>
        <v>3353225.8064516131</v>
      </c>
      <c r="U8" s="73"/>
      <c r="V8" s="64" t="s">
        <v>34</v>
      </c>
      <c r="W8" s="72">
        <f t="shared" si="29"/>
        <v>3</v>
      </c>
      <c r="X8" s="72" t="str">
        <f t="shared" si="30"/>
        <v>박옥순</v>
      </c>
      <c r="Y8" s="55">
        <f>IF(T8&lt;800000,0,(VLOOKUP(T8,'세액표(1202)'!A:L,V8+1)))</f>
        <v>105210</v>
      </c>
      <c r="Z8" s="55">
        <f t="shared" ref="Z8" si="41">ROUNDDOWN(Y8*10%,-1)</f>
        <v>10520</v>
      </c>
      <c r="AA8" s="361"/>
      <c r="AB8" s="55">
        <f t="shared" si="32"/>
        <v>120540</v>
      </c>
      <c r="AC8" s="55">
        <f t="shared" si="14"/>
        <v>15830</v>
      </c>
      <c r="AD8" s="55">
        <f t="shared" ref="AD8" si="42">ROUNDDOWN(T8*0.9%,-1)</f>
        <v>30170</v>
      </c>
      <c r="AE8" s="70">
        <f t="shared" si="34"/>
        <v>0</v>
      </c>
      <c r="AF8" s="70"/>
      <c r="AG8" s="132">
        <f t="shared" ref="AG8" si="43">SUM(Y8:AF8)</f>
        <v>282270</v>
      </c>
      <c r="AH8" s="54">
        <f t="shared" ref="AH8" si="44">T8-AG8</f>
        <v>3070955.8064516131</v>
      </c>
      <c r="AI8" s="77" t="str">
        <f>VLOOKUP(D8,'정직원 (2)'!$F$4:$M$90,8,0)</f>
        <v>0.5추가</v>
      </c>
      <c r="AJ8" s="22">
        <f t="shared" ca="1" si="37"/>
        <v>62</v>
      </c>
      <c r="AK8" s="22" t="str">
        <f t="shared" si="38"/>
        <v>OK</v>
      </c>
      <c r="AL8" s="22">
        <v>3459677.4193548388</v>
      </c>
      <c r="AO8" s="22">
        <v>3300000</v>
      </c>
      <c r="AP8" s="159">
        <v>3353225.8064516131</v>
      </c>
      <c r="AQ8" s="159">
        <v>3140330</v>
      </c>
      <c r="AR8" s="159">
        <v>3410000</v>
      </c>
      <c r="AS8" s="159">
        <v>3566129.0322580645</v>
      </c>
      <c r="AT8" s="159">
        <v>3300000</v>
      </c>
      <c r="AU8" s="159">
        <v>3250000</v>
      </c>
      <c r="AV8" s="159">
        <v>3100000</v>
      </c>
      <c r="AW8" s="159">
        <v>3350000</v>
      </c>
      <c r="AX8" s="22">
        <f t="shared" si="39"/>
        <v>29769684.838709679</v>
      </c>
    </row>
    <row r="9" spans="1:50" s="22" customFormat="1" ht="20.45" customHeight="1" x14ac:dyDescent="0.6">
      <c r="A9" s="122">
        <f t="shared" si="0"/>
        <v>4</v>
      </c>
      <c r="B9" s="156" t="s">
        <v>256</v>
      </c>
      <c r="C9" s="156" t="str">
        <f>INDEX('정직원 (2)'!$B$4:$B$10,MATCH(임금대장!B9,'정직원 (2)'!$C$4:$C$10,0))</f>
        <v>핫</v>
      </c>
      <c r="D9" s="122" t="str">
        <f>VLOOKUP(B9,'정직원 (2)'!$C$4:$F$10,4,0)</f>
        <v>970504-1019024</v>
      </c>
      <c r="E9" s="116">
        <f>VLOOKUP(B9,'정직원 (2)'!$C$4:$J$81,8,0)</f>
        <v>45278</v>
      </c>
      <c r="F9" s="116">
        <f>VLOOKUP(B9,'정직원 (2)'!$C$4:$L$81,10,0)</f>
        <v>0</v>
      </c>
      <c r="G9" s="129">
        <f>VLOOKUP(B9,'정직원 (2)'!$C$4:$F$81,3,0)</f>
        <v>3500000</v>
      </c>
      <c r="H9" s="96">
        <f t="shared" si="21"/>
        <v>12027</v>
      </c>
      <c r="I9" s="97">
        <f t="shared" si="2"/>
        <v>2513745</v>
      </c>
      <c r="J9" s="97">
        <f t="shared" ref="J9:J12" si="45">ROUNDUP(($G9/291*65.2),0)</f>
        <v>784193</v>
      </c>
      <c r="K9" s="97">
        <f t="shared" si="3"/>
        <v>105842</v>
      </c>
      <c r="L9" s="223">
        <f>VLOOKUP(B9,'정직원 (2)'!$C$4:$O$95,13,0)</f>
        <v>0</v>
      </c>
      <c r="M9" s="97">
        <f t="shared" si="22"/>
        <v>96220</v>
      </c>
      <c r="N9" s="120">
        <f t="shared" si="23"/>
        <v>282258.06451612903</v>
      </c>
      <c r="O9" s="218">
        <f>$O$3-P9</f>
        <v>31</v>
      </c>
      <c r="P9" s="137">
        <f t="shared" si="25"/>
        <v>0</v>
      </c>
      <c r="Q9" s="96">
        <f t="shared" si="26"/>
        <v>0</v>
      </c>
      <c r="R9" s="103"/>
      <c r="S9" s="96">
        <f t="shared" si="27"/>
        <v>0</v>
      </c>
      <c r="T9" s="132">
        <f t="shared" si="28"/>
        <v>3782258.064516129</v>
      </c>
      <c r="U9" s="73">
        <v>1800000</v>
      </c>
      <c r="V9" s="64" t="s">
        <v>34</v>
      </c>
      <c r="W9" s="72">
        <f t="shared" si="29"/>
        <v>4</v>
      </c>
      <c r="X9" s="72" t="str">
        <f t="shared" si="30"/>
        <v>김성환</v>
      </c>
      <c r="Y9" s="55">
        <f>IF(T9&lt;800000,0,(VLOOKUP(T9,'세액표(1202)'!A:L,V9+1)))</f>
        <v>163920</v>
      </c>
      <c r="Z9" s="55">
        <f t="shared" ref="Z9" si="46">ROUNDDOWN(Y9*10%,-1)</f>
        <v>16390</v>
      </c>
      <c r="AA9" s="183">
        <v>169950</v>
      </c>
      <c r="AB9" s="55">
        <f t="shared" si="32"/>
        <v>135970</v>
      </c>
      <c r="AC9" s="55">
        <f t="shared" si="14"/>
        <v>17860</v>
      </c>
      <c r="AD9" s="55">
        <f t="shared" ref="AD9" si="47">ROUNDDOWN(T9*0.9%,-1)</f>
        <v>34040</v>
      </c>
      <c r="AE9" s="70">
        <f t="shared" si="34"/>
        <v>0</v>
      </c>
      <c r="AF9" s="70"/>
      <c r="AG9" s="132">
        <f t="shared" ref="AG9" si="48">SUM(Y9:AF9)</f>
        <v>538130</v>
      </c>
      <c r="AH9" s="54">
        <f t="shared" ref="AH9" si="49">T9-AG9</f>
        <v>3244128.064516129</v>
      </c>
      <c r="AI9" s="77" t="str">
        <f>VLOOKUP(D9,'정직원 (2)'!$F$4:$M$90,8,0)</f>
        <v>2.5추가</v>
      </c>
      <c r="AJ9" s="22">
        <f t="shared" ca="1" si="37"/>
        <v>28</v>
      </c>
      <c r="AK9" s="22" t="str">
        <f t="shared" si="38"/>
        <v>OK</v>
      </c>
      <c r="AL9" s="22">
        <v>3669354.8387096776</v>
      </c>
      <c r="AO9" s="22">
        <v>4200000</v>
      </c>
      <c r="AP9" s="159">
        <v>3500000</v>
      </c>
      <c r="AQ9" s="159">
        <v>3630650</v>
      </c>
      <c r="AR9" s="159">
        <v>4050000</v>
      </c>
      <c r="AS9" s="159">
        <v>3895161.2903225804</v>
      </c>
      <c r="AT9" s="159">
        <v>3500000</v>
      </c>
      <c r="AU9" s="159">
        <v>3556452</v>
      </c>
      <c r="AV9" s="159">
        <v>3500000</v>
      </c>
      <c r="AW9" s="159">
        <v>3969355</v>
      </c>
      <c r="AX9" s="22">
        <f t="shared" si="39"/>
        <v>33801618.290322579</v>
      </c>
    </row>
    <row r="10" spans="1:50" s="22" customFormat="1" ht="20.45" customHeight="1" x14ac:dyDescent="0.6">
      <c r="A10" s="122">
        <f t="shared" si="0"/>
        <v>5</v>
      </c>
      <c r="B10" s="156" t="s">
        <v>273</v>
      </c>
      <c r="C10" s="156" t="str">
        <f>INDEX('정직원 (2)'!$B$4:$B$10,MATCH(임금대장!B10,'정직원 (2)'!$C$4:$C$10,0))</f>
        <v>핫</v>
      </c>
      <c r="D10" s="122" t="str">
        <f>VLOOKUP(B10,'정직원 (2)'!$C$4:$F$10,4,0)</f>
        <v>970726-2155815</v>
      </c>
      <c r="E10" s="116">
        <f>VLOOKUP(B10,'정직원 (2)'!$C$4:$J$81,8,0)</f>
        <v>45369</v>
      </c>
      <c r="F10" s="116">
        <f>VLOOKUP(B10,'정직원 (2)'!$C$4:$L$81,10,0)</f>
        <v>0</v>
      </c>
      <c r="G10" s="129">
        <f>VLOOKUP(B10,'정직원 (2)'!$C$4:$F$81,3,0)</f>
        <v>3500000</v>
      </c>
      <c r="H10" s="96">
        <f t="shared" si="21"/>
        <v>12027</v>
      </c>
      <c r="I10" s="97">
        <f t="shared" si="2"/>
        <v>2513745</v>
      </c>
      <c r="J10" s="97">
        <f t="shared" si="45"/>
        <v>784193</v>
      </c>
      <c r="K10" s="97">
        <f t="shared" si="3"/>
        <v>105842</v>
      </c>
      <c r="L10" s="223">
        <f>VLOOKUP(B10,'정직원 (2)'!$C$4:$O$95,13,0)</f>
        <v>0</v>
      </c>
      <c r="M10" s="97">
        <f t="shared" si="22"/>
        <v>96220</v>
      </c>
      <c r="N10" s="120">
        <f t="shared" si="23"/>
        <v>169354.83870967739</v>
      </c>
      <c r="O10" s="218">
        <f t="shared" ref="O10" si="50">$O$3-P10</f>
        <v>31</v>
      </c>
      <c r="P10" s="137">
        <f t="shared" si="25"/>
        <v>0</v>
      </c>
      <c r="Q10" s="96">
        <f t="shared" si="26"/>
        <v>0</v>
      </c>
      <c r="R10" s="103"/>
      <c r="S10" s="96">
        <f t="shared" si="27"/>
        <v>0</v>
      </c>
      <c r="T10" s="132">
        <f t="shared" si="28"/>
        <v>3669354.8387096776</v>
      </c>
      <c r="U10" s="73">
        <v>1800000</v>
      </c>
      <c r="V10" s="64" t="s">
        <v>34</v>
      </c>
      <c r="W10" s="72">
        <f t="shared" si="29"/>
        <v>5</v>
      </c>
      <c r="X10" s="72" t="str">
        <f t="shared" si="30"/>
        <v>강수정</v>
      </c>
      <c r="Y10" s="55">
        <f>IF(T10&lt;800000,0,(VLOOKUP(T10,'세액표(1202)'!A:L,V10+1)))</f>
        <v>144330</v>
      </c>
      <c r="Z10" s="55">
        <f t="shared" ref="Z10" si="51">ROUNDDOWN(Y10*10%,-1)</f>
        <v>14430</v>
      </c>
      <c r="AA10" s="183">
        <v>154890</v>
      </c>
      <c r="AB10" s="55">
        <f t="shared" si="32"/>
        <v>131910</v>
      </c>
      <c r="AC10" s="55">
        <f t="shared" si="14"/>
        <v>17330</v>
      </c>
      <c r="AD10" s="55">
        <f t="shared" ref="AD10" si="52">ROUNDDOWN(T10*0.9%,-1)</f>
        <v>33020</v>
      </c>
      <c r="AE10" s="70">
        <f t="shared" si="34"/>
        <v>0</v>
      </c>
      <c r="AF10" s="70"/>
      <c r="AG10" s="132">
        <f t="shared" ref="AG10" si="53">SUM(Y10:AF10)</f>
        <v>495910</v>
      </c>
      <c r="AH10" s="54">
        <f t="shared" ref="AH10" si="54">T10-AG10</f>
        <v>3173444.8387096776</v>
      </c>
      <c r="AI10" s="77" t="str">
        <f>VLOOKUP(D10,'정직원 (2)'!$F$4:$M$90,8,0)</f>
        <v>1.5추가</v>
      </c>
      <c r="AJ10" s="22">
        <f t="shared" ca="1" si="37"/>
        <v>28</v>
      </c>
      <c r="AK10" s="22" t="str">
        <f t="shared" si="38"/>
        <v>OK</v>
      </c>
      <c r="AL10" s="22">
        <v>3669354.8387096776</v>
      </c>
      <c r="AO10" s="22">
        <v>4100000</v>
      </c>
      <c r="AP10" s="159">
        <v>3400000</v>
      </c>
      <c r="AQ10" s="159">
        <v>3333880</v>
      </c>
      <c r="AR10" s="159">
        <v>3720000</v>
      </c>
      <c r="AS10" s="159">
        <v>3566129.0322580645</v>
      </c>
      <c r="AT10" s="159">
        <v>3410000</v>
      </c>
      <c r="AU10" s="159">
        <v>3251613</v>
      </c>
      <c r="AV10" s="159">
        <v>3200000</v>
      </c>
      <c r="AW10" s="159">
        <v>3654839</v>
      </c>
      <c r="AX10" s="22">
        <f t="shared" ref="AX10:AX11" si="55">SUM(AM10:AW10)</f>
        <v>31636461.032258064</v>
      </c>
    </row>
    <row r="11" spans="1:50" s="22" customFormat="1" ht="20.45" customHeight="1" x14ac:dyDescent="0.6">
      <c r="A11" s="122">
        <f t="shared" si="0"/>
        <v>6</v>
      </c>
      <c r="B11" s="156" t="s">
        <v>274</v>
      </c>
      <c r="C11" s="156" t="str">
        <f>INDEX('정직원 (2)'!$B$4:$B$10,MATCH(임금대장!B11,'정직원 (2)'!$C$4:$C$10,0))</f>
        <v>홀</v>
      </c>
      <c r="D11" s="122" t="str">
        <f>VLOOKUP(B11,'정직원 (2)'!$C$4:$F$10,4,0)</f>
        <v>890417-1709714</v>
      </c>
      <c r="E11" s="116">
        <f>VLOOKUP(B11,'정직원 (2)'!$C$4:$J$81,8,0)</f>
        <v>45355</v>
      </c>
      <c r="F11" s="116">
        <f>VLOOKUP(B11,'정직원 (2)'!$C$4:$L$81,10,0)</f>
        <v>0</v>
      </c>
      <c r="G11" s="129">
        <f>VLOOKUP(B11,'정직원 (2)'!$C$4:$F$81,3,0)</f>
        <v>3500000</v>
      </c>
      <c r="H11" s="96">
        <f t="shared" si="21"/>
        <v>12027</v>
      </c>
      <c r="I11" s="97">
        <f t="shared" si="2"/>
        <v>2513745</v>
      </c>
      <c r="J11" s="97">
        <f t="shared" si="45"/>
        <v>784193</v>
      </c>
      <c r="K11" s="97">
        <f t="shared" si="3"/>
        <v>105842</v>
      </c>
      <c r="L11" s="223">
        <f>VLOOKUP(B11,'정직원 (2)'!$C$4:$O$95,13,0)</f>
        <v>0</v>
      </c>
      <c r="M11" s="97">
        <f t="shared" si="22"/>
        <v>96220</v>
      </c>
      <c r="N11" s="120">
        <f t="shared" si="23"/>
        <v>169354.83870967739</v>
      </c>
      <c r="O11" s="219">
        <f t="shared" ref="O11" si="56">$O$3-P11</f>
        <v>31</v>
      </c>
      <c r="P11" s="137">
        <f t="shared" si="25"/>
        <v>0</v>
      </c>
      <c r="Q11" s="96">
        <f t="shared" si="26"/>
        <v>0</v>
      </c>
      <c r="R11" s="103"/>
      <c r="S11" s="96">
        <f t="shared" si="27"/>
        <v>0</v>
      </c>
      <c r="T11" s="132">
        <f t="shared" si="28"/>
        <v>3669354.8387096776</v>
      </c>
      <c r="U11" s="73">
        <v>1800000</v>
      </c>
      <c r="V11" s="64" t="s">
        <v>34</v>
      </c>
      <c r="W11" s="72">
        <f t="shared" si="29"/>
        <v>6</v>
      </c>
      <c r="X11" s="72" t="str">
        <f t="shared" si="30"/>
        <v>장준수</v>
      </c>
      <c r="Y11" s="55">
        <f>IF(T11&lt;800000,0,(VLOOKUP(T11,'세액표(1202)'!A:L,V11+1)))</f>
        <v>144330</v>
      </c>
      <c r="Z11" s="55">
        <f t="shared" ref="Z11" si="57">ROUNDDOWN(Y11*10%,-1)</f>
        <v>14430</v>
      </c>
      <c r="AA11" s="183">
        <v>163210</v>
      </c>
      <c r="AB11" s="55">
        <f t="shared" si="32"/>
        <v>131910</v>
      </c>
      <c r="AC11" s="55">
        <f t="shared" si="14"/>
        <v>17330</v>
      </c>
      <c r="AD11" s="55">
        <f t="shared" ref="AD11" si="58">ROUNDDOWN(T11*0.9%,-1)</f>
        <v>33020</v>
      </c>
      <c r="AE11" s="70">
        <f t="shared" si="34"/>
        <v>0</v>
      </c>
      <c r="AF11" s="70"/>
      <c r="AG11" s="132">
        <f t="shared" ref="AG11" si="59">SUM(Y11:AF11)</f>
        <v>504230</v>
      </c>
      <c r="AH11" s="54">
        <f t="shared" ref="AH11" si="60">T11-AG11</f>
        <v>3165124.8387096776</v>
      </c>
      <c r="AI11" s="77" t="str">
        <f>VLOOKUP(D11,'정직원 (2)'!$F$4:$M$90,8,0)</f>
        <v>1.5추가</v>
      </c>
      <c r="AJ11" s="22">
        <f t="shared" ca="1" si="37"/>
        <v>36</v>
      </c>
      <c r="AK11" s="22" t="str">
        <f t="shared" si="38"/>
        <v>OK</v>
      </c>
      <c r="AL11" s="22">
        <v>3969354.8387096776</v>
      </c>
      <c r="AO11" s="22">
        <v>3975000</v>
      </c>
      <c r="AP11" s="159">
        <v>3838709.6774193547</v>
      </c>
      <c r="AQ11" s="159">
        <v>3330650</v>
      </c>
      <c r="AR11" s="159">
        <v>4108333.3333333335</v>
      </c>
      <c r="AS11" s="159">
        <v>4008064.5161290322</v>
      </c>
      <c r="AT11" s="159">
        <v>3616666.6666666665</v>
      </c>
      <c r="AU11" s="159">
        <v>3782258</v>
      </c>
      <c r="AV11" s="159">
        <v>3625000</v>
      </c>
      <c r="AW11" s="159">
        <v>3856452</v>
      </c>
      <c r="AX11" s="22">
        <f t="shared" si="55"/>
        <v>34141134.193548389</v>
      </c>
    </row>
    <row r="12" spans="1:50" s="22" customFormat="1" ht="20.45" customHeight="1" x14ac:dyDescent="0.6">
      <c r="A12" s="122">
        <f t="shared" si="0"/>
        <v>7</v>
      </c>
      <c r="B12" s="156" t="s">
        <v>282</v>
      </c>
      <c r="C12" s="156" t="str">
        <f>INDEX('정직원 (2)'!$B$4:$B$10,MATCH(임금대장!B12,'정직원 (2)'!$C$4:$C$10,0))</f>
        <v>샐러드</v>
      </c>
      <c r="D12" s="122" t="str">
        <f>VLOOKUP(B12,'정직원 (2)'!$C$4:$F$10,4,0)</f>
        <v>621005-6100899</v>
      </c>
      <c r="E12" s="116">
        <v>45484</v>
      </c>
      <c r="F12" s="116">
        <f>VLOOKUP(B12,'정직원 (2)'!$C$4:$L$81,10,0)</f>
        <v>0</v>
      </c>
      <c r="G12" s="129">
        <f>VLOOKUP(B12,'정직원 (2)'!$C$4:$F$81,3,0)</f>
        <v>3300000</v>
      </c>
      <c r="H12" s="96">
        <f t="shared" si="21"/>
        <v>11340</v>
      </c>
      <c r="I12" s="97">
        <f t="shared" si="2"/>
        <v>2370103</v>
      </c>
      <c r="J12" s="97">
        <f t="shared" si="45"/>
        <v>739382</v>
      </c>
      <c r="K12" s="97">
        <f t="shared" si="3"/>
        <v>99794</v>
      </c>
      <c r="L12" s="223">
        <f>VLOOKUP(B12,'정직원 (2)'!$C$4:$O$95,13,0)</f>
        <v>0</v>
      </c>
      <c r="M12" s="97">
        <f t="shared" si="22"/>
        <v>90722</v>
      </c>
      <c r="N12" s="120">
        <f t="shared" si="23"/>
        <v>53225.806451612902</v>
      </c>
      <c r="O12" s="219">
        <f t="shared" ref="O12:O13" si="61">$O$3-P12</f>
        <v>31</v>
      </c>
      <c r="P12" s="137">
        <f t="shared" si="25"/>
        <v>0</v>
      </c>
      <c r="Q12" s="96">
        <f t="shared" si="26"/>
        <v>0</v>
      </c>
      <c r="R12" s="103"/>
      <c r="S12" s="96">
        <f t="shared" si="27"/>
        <v>0</v>
      </c>
      <c r="T12" s="132">
        <f t="shared" si="28"/>
        <v>3353225.8064516131</v>
      </c>
      <c r="U12" s="73">
        <v>1800000</v>
      </c>
      <c r="V12" s="64" t="s">
        <v>34</v>
      </c>
      <c r="W12" s="72">
        <f t="shared" si="29"/>
        <v>7</v>
      </c>
      <c r="X12" s="72" t="str">
        <f t="shared" si="30"/>
        <v>강정애</v>
      </c>
      <c r="Y12" s="55">
        <f>IF(T12&lt;800000,0,(VLOOKUP(T12,'세액표(1202)'!A:L,V12+1)))</f>
        <v>105210</v>
      </c>
      <c r="Z12" s="55">
        <f t="shared" ref="Z12:Z13" si="62">ROUNDDOWN(Y12*10%,-1)</f>
        <v>10520</v>
      </c>
      <c r="AA12" s="361"/>
      <c r="AB12" s="55">
        <f t="shared" si="32"/>
        <v>120540</v>
      </c>
      <c r="AC12" s="55">
        <f t="shared" si="14"/>
        <v>15830</v>
      </c>
      <c r="AD12" s="55">
        <f t="shared" ref="AD12" si="63">ROUNDDOWN(T12*0.9%,-1)</f>
        <v>30170</v>
      </c>
      <c r="AE12" s="70">
        <f t="shared" si="34"/>
        <v>0</v>
      </c>
      <c r="AF12" s="70"/>
      <c r="AG12" s="132">
        <f t="shared" ref="AG12" si="64">SUM(Y12:AF12)</f>
        <v>282270</v>
      </c>
      <c r="AH12" s="54">
        <f t="shared" ref="AH12:AH13" si="65">T12-AG12</f>
        <v>3070955.8064516131</v>
      </c>
      <c r="AI12" s="77" t="str">
        <f>VLOOKUP(D12,'정직원 (2)'!$F$4:$M$90,8,0)</f>
        <v>0.5추가</v>
      </c>
      <c r="AJ12" s="22">
        <f t="shared" ca="1" si="37"/>
        <v>63</v>
      </c>
      <c r="AK12" s="22" t="str">
        <f t="shared" si="38"/>
        <v>OK</v>
      </c>
      <c r="AL12" s="22">
        <v>3353225.8064516131</v>
      </c>
      <c r="AO12" s="22">
        <v>3300000</v>
      </c>
      <c r="AP12" s="159">
        <v>3353225.8064516131</v>
      </c>
      <c r="AQ12" s="159">
        <v>3440330</v>
      </c>
      <c r="AR12" s="159">
        <v>3610000</v>
      </c>
      <c r="AS12" s="159">
        <v>3459677.4193548388</v>
      </c>
      <c r="AT12" s="159">
        <v>3300000</v>
      </c>
      <c r="AU12" s="159">
        <v>3354839</v>
      </c>
      <c r="AV12" s="159">
        <v>3200000</v>
      </c>
      <c r="AW12" s="159">
        <v>3451613</v>
      </c>
      <c r="AX12" s="22">
        <f t="shared" ref="AX12:AX17" si="66">SUM(AM12:AW12)</f>
        <v>30469685.225806452</v>
      </c>
    </row>
    <row r="13" spans="1:50" s="22" customFormat="1" ht="20.45" customHeight="1" x14ac:dyDescent="0.6">
      <c r="A13" s="122">
        <f t="shared" si="0"/>
        <v>8</v>
      </c>
      <c r="B13" s="157" t="s">
        <v>300</v>
      </c>
      <c r="C13" s="156">
        <f>INDEX('정직원 (2)'!$B$4:$B$20,MATCH(임금대장!B13,'정직원 (2)'!$C$4:$C$20,0))</f>
        <v>0</v>
      </c>
      <c r="D13" s="122" t="str">
        <f>VLOOKUP(B13,'정직원 (2)'!$C$4:$F$20,4,0)</f>
        <v>700318-2018314</v>
      </c>
      <c r="E13" s="116">
        <f>VLOOKUP(B13,'정직원 (2)'!$C$4:$J$81,8,0)</f>
        <v>45499</v>
      </c>
      <c r="F13" s="116">
        <f>VLOOKUP(B13,'정직원 (2)'!$C$4:$L$81,10,0)</f>
        <v>0</v>
      </c>
      <c r="G13" s="129">
        <f>VLOOKUP(B13,'정직원 (2)'!$C$4:$F$81,3,0)</f>
        <v>2300000</v>
      </c>
      <c r="H13" s="96">
        <f>ROUNDDOWN(G13/217,0)</f>
        <v>10599</v>
      </c>
      <c r="I13" s="97">
        <f t="shared" si="2"/>
        <v>1651890</v>
      </c>
      <c r="J13" s="97">
        <f>ROUNDDOWN(($G13/291*65.2),0)</f>
        <v>515326</v>
      </c>
      <c r="K13" s="97">
        <f t="shared" si="3"/>
        <v>69554</v>
      </c>
      <c r="L13" s="223">
        <f>VLOOKUP(B13,'정직원 (2)'!$C$4:$O$95,13,0)</f>
        <v>0</v>
      </c>
      <c r="M13" s="97">
        <f>ROUNDDOWN(($G13/291*8),0)</f>
        <v>63230</v>
      </c>
      <c r="N13" s="120">
        <f t="shared" si="23"/>
        <v>37096.774193548386</v>
      </c>
      <c r="O13" s="219">
        <f t="shared" si="61"/>
        <v>31</v>
      </c>
      <c r="P13" s="137">
        <f t="shared" si="25"/>
        <v>0</v>
      </c>
      <c r="Q13" s="96">
        <f t="shared" si="26"/>
        <v>0</v>
      </c>
      <c r="R13" s="103"/>
      <c r="S13" s="96">
        <f t="shared" si="27"/>
        <v>0</v>
      </c>
      <c r="T13" s="132">
        <f t="shared" si="28"/>
        <v>2337096.7741935486</v>
      </c>
      <c r="U13" s="73">
        <v>1800000</v>
      </c>
      <c r="V13" s="64" t="s">
        <v>34</v>
      </c>
      <c r="W13" s="72">
        <f t="shared" si="29"/>
        <v>8</v>
      </c>
      <c r="X13" s="72" t="str">
        <f t="shared" si="30"/>
        <v>김금희</v>
      </c>
      <c r="Y13" s="55">
        <f>IF(T13&lt;800000,0,(VLOOKUP(T13,'세액표(1202)'!A:L,V13+1)))</f>
        <v>29810</v>
      </c>
      <c r="Z13" s="55">
        <f t="shared" si="62"/>
        <v>2980</v>
      </c>
      <c r="AA13" s="183">
        <v>112290</v>
      </c>
      <c r="AB13" s="55">
        <f t="shared" si="32"/>
        <v>84010</v>
      </c>
      <c r="AC13" s="55">
        <f t="shared" si="14"/>
        <v>11030</v>
      </c>
      <c r="AD13" s="55">
        <f t="shared" ref="AD13" si="67">ROUNDDOWN(T13*0.9%,-1)</f>
        <v>21030</v>
      </c>
      <c r="AE13" s="70">
        <f t="shared" si="34"/>
        <v>0</v>
      </c>
      <c r="AF13" s="70"/>
      <c r="AG13" s="132">
        <f t="shared" ref="AG13" si="68">SUM(Y13:AF13)</f>
        <v>261150</v>
      </c>
      <c r="AH13" s="54">
        <f t="shared" si="65"/>
        <v>2075946.7741935486</v>
      </c>
      <c r="AI13" s="77" t="str">
        <f>VLOOKUP(D13,'정직원 (2)'!$F$4:$M$90,8,0)</f>
        <v>0.5추가</v>
      </c>
      <c r="AJ13" s="22">
        <f t="shared" ca="1" si="37"/>
        <v>55</v>
      </c>
      <c r="AK13" s="22" t="str">
        <f t="shared" si="38"/>
        <v>OK</v>
      </c>
      <c r="AL13" s="22">
        <v>2337096.7741935486</v>
      </c>
      <c r="AO13" s="22">
        <v>2300000</v>
      </c>
      <c r="AP13" s="159">
        <v>2337096.7741935486</v>
      </c>
      <c r="AQ13" s="159">
        <v>2114520</v>
      </c>
      <c r="AR13" s="159">
        <v>2376666.6666666665</v>
      </c>
      <c r="AS13" s="159">
        <v>2411290.3225806453</v>
      </c>
      <c r="AT13" s="159">
        <v>2300000</v>
      </c>
      <c r="AU13" s="159">
        <v>2337097</v>
      </c>
      <c r="AV13" s="159">
        <v>2300000</v>
      </c>
      <c r="AW13" s="159">
        <v>2537097</v>
      </c>
      <c r="AX13" s="22">
        <f t="shared" si="66"/>
        <v>21013767.763440862</v>
      </c>
    </row>
    <row r="14" spans="1:50" s="22" customFormat="1" ht="20.45" customHeight="1" x14ac:dyDescent="0.6">
      <c r="A14" s="122">
        <f t="shared" si="0"/>
        <v>9</v>
      </c>
      <c r="B14" s="157" t="s">
        <v>299</v>
      </c>
      <c r="C14" s="156">
        <f>INDEX('정직원 (2)'!$B$4:$B$20,MATCH(임금대장!B14,'정직원 (2)'!$C$4:$C$20,0))</f>
        <v>0</v>
      </c>
      <c r="D14" s="122" t="str">
        <f>VLOOKUP(B14,'정직원 (2)'!$C$4:$F$20,4,0)</f>
        <v>921204-1748215</v>
      </c>
      <c r="E14" s="116">
        <f>VLOOKUP(B14,'정직원 (2)'!$C$4:$J$81,8,0)</f>
        <v>45502</v>
      </c>
      <c r="F14" s="116">
        <f>VLOOKUP(B14,'정직원 (2)'!$C$4:$L$81,10,0)</f>
        <v>0</v>
      </c>
      <c r="G14" s="129">
        <f>VLOOKUP(B14,'정직원 (2)'!$C$4:$F$81,3,0)</f>
        <v>3400000</v>
      </c>
      <c r="H14" s="96">
        <f t="shared" ref="H14:H17" si="69">ROUNDDOWN(G14/291,0)</f>
        <v>11683</v>
      </c>
      <c r="I14" s="97">
        <f t="shared" si="2"/>
        <v>2441924</v>
      </c>
      <c r="J14" s="97">
        <f>ROUNDUP(($G14/291*65.2),0)</f>
        <v>761787</v>
      </c>
      <c r="K14" s="97">
        <f t="shared" si="3"/>
        <v>102818</v>
      </c>
      <c r="L14" s="223">
        <f>VLOOKUP(B14,'정직원 (2)'!$C$4:$O$95,13,0)</f>
        <v>0</v>
      </c>
      <c r="M14" s="97">
        <f t="shared" ref="M14:M20" si="70">ROUNDUP(($G14/291*8),0)</f>
        <v>93471</v>
      </c>
      <c r="N14" s="120">
        <f t="shared" si="23"/>
        <v>164516.12903225806</v>
      </c>
      <c r="O14" s="219">
        <f>$O$3-P14</f>
        <v>31</v>
      </c>
      <c r="P14" s="137">
        <f t="shared" si="25"/>
        <v>0</v>
      </c>
      <c r="Q14" s="96">
        <f t="shared" si="26"/>
        <v>0</v>
      </c>
      <c r="R14" s="103"/>
      <c r="S14" s="96">
        <f t="shared" si="27"/>
        <v>0</v>
      </c>
      <c r="T14" s="132">
        <f t="shared" si="28"/>
        <v>3564516.1290322579</v>
      </c>
      <c r="U14" s="73">
        <v>1800000</v>
      </c>
      <c r="V14" s="64" t="s">
        <v>34</v>
      </c>
      <c r="W14" s="72">
        <f t="shared" si="29"/>
        <v>9</v>
      </c>
      <c r="X14" s="72" t="str">
        <f t="shared" si="30"/>
        <v>서헌규</v>
      </c>
      <c r="Y14" s="55">
        <f>IF(T14&lt;800000,0,(VLOOKUP(T14,'세액표(1202)'!A:L,V14+1)))</f>
        <v>132110</v>
      </c>
      <c r="Z14" s="55">
        <f t="shared" ref="Z14" si="71">ROUNDDOWN(Y14*10%,-1)</f>
        <v>13210</v>
      </c>
      <c r="AA14" s="183">
        <v>160020</v>
      </c>
      <c r="AB14" s="55">
        <f t="shared" si="32"/>
        <v>128140</v>
      </c>
      <c r="AC14" s="55">
        <f t="shared" si="14"/>
        <v>16830</v>
      </c>
      <c r="AD14" s="55">
        <f t="shared" ref="AD14" si="72">ROUNDDOWN(T14*0.9%,-1)</f>
        <v>32080</v>
      </c>
      <c r="AE14" s="70">
        <f t="shared" si="34"/>
        <v>0</v>
      </c>
      <c r="AF14" s="70"/>
      <c r="AG14" s="132">
        <f t="shared" ref="AG14" si="73">SUM(Y14:AF14)</f>
        <v>482390</v>
      </c>
      <c r="AH14" s="54">
        <f t="shared" ref="AH14" si="74">T14-AG14</f>
        <v>3082126.1290322579</v>
      </c>
      <c r="AI14" s="77" t="str">
        <f>VLOOKUP(D14,'정직원 (2)'!$F$4:$M$90,8,0)</f>
        <v>1.5추가</v>
      </c>
      <c r="AJ14" s="22">
        <f t="shared" ca="1" si="37"/>
        <v>33</v>
      </c>
      <c r="AK14" s="22" t="str">
        <f t="shared" si="38"/>
        <v>OK</v>
      </c>
      <c r="AL14" s="22">
        <v>3454838.7096774192</v>
      </c>
      <c r="AO14" s="22">
        <v>3410000</v>
      </c>
      <c r="AP14" s="159">
        <v>3566129.0322580645</v>
      </c>
      <c r="AQ14" s="159">
        <v>3045170</v>
      </c>
      <c r="AR14" s="159">
        <v>3520000</v>
      </c>
      <c r="AS14" s="159">
        <v>3561290.3225806453</v>
      </c>
      <c r="AT14" s="159">
        <v>3200000</v>
      </c>
      <c r="AU14" s="159">
        <v>3354839</v>
      </c>
      <c r="AV14" s="159">
        <v>3314285.7142857141</v>
      </c>
      <c r="AW14" s="159">
        <v>3551613</v>
      </c>
      <c r="AX14" s="22">
        <f t="shared" si="66"/>
        <v>30523327.069124423</v>
      </c>
    </row>
    <row r="15" spans="1:50" s="22" customFormat="1" ht="20.45" customHeight="1" x14ac:dyDescent="0.6">
      <c r="A15" s="122">
        <f t="shared" si="0"/>
        <v>10</v>
      </c>
      <c r="B15" s="157" t="s">
        <v>305</v>
      </c>
      <c r="C15" s="156" t="str">
        <f>INDEX('정직원 (2)'!$B$4:$B$20,MATCH(임금대장!B15,'정직원 (2)'!$C$4:$C$20,0))</f>
        <v>샐러드</v>
      </c>
      <c r="D15" s="122" t="str">
        <f>VLOOKUP(B15,'정직원 (2)'!$C$4:$F$20,4,0)</f>
        <v>631004-6320198</v>
      </c>
      <c r="E15" s="116">
        <f>VLOOKUP(B15,'정직원 (2)'!$C$4:$J$81,8,0)</f>
        <v>45610</v>
      </c>
      <c r="F15" s="116">
        <f>VLOOKUP(B15,'정직원 (2)'!$C$4:$L$81,10,0)</f>
        <v>0</v>
      </c>
      <c r="G15" s="129">
        <f>VLOOKUP(B15,'정직원 (2)'!$C$4:$F$81,3,0)</f>
        <v>3300000</v>
      </c>
      <c r="H15" s="96">
        <f t="shared" si="69"/>
        <v>11340</v>
      </c>
      <c r="I15" s="97">
        <f t="shared" si="2"/>
        <v>2370103</v>
      </c>
      <c r="J15" s="97">
        <f>ROUNDDOWN(($G15/291*65.2),0)</f>
        <v>739381</v>
      </c>
      <c r="K15" s="97">
        <f t="shared" si="3"/>
        <v>99794</v>
      </c>
      <c r="L15" s="223">
        <f>VLOOKUP(B15,'정직원 (2)'!$C$4:$O$95,13,0)</f>
        <v>0</v>
      </c>
      <c r="M15" s="97">
        <f t="shared" si="70"/>
        <v>90722</v>
      </c>
      <c r="N15" s="120">
        <f t="shared" si="23"/>
        <v>53225.806451612902</v>
      </c>
      <c r="O15" s="219">
        <f t="shared" ref="O15" si="75">$O$3-P15</f>
        <v>31</v>
      </c>
      <c r="P15" s="137">
        <f t="shared" si="25"/>
        <v>0</v>
      </c>
      <c r="Q15" s="96">
        <f t="shared" si="26"/>
        <v>0</v>
      </c>
      <c r="R15" s="103"/>
      <c r="S15" s="96">
        <f t="shared" si="27"/>
        <v>0</v>
      </c>
      <c r="T15" s="132">
        <f t="shared" si="28"/>
        <v>3353225.8064516131</v>
      </c>
      <c r="U15" s="73">
        <v>1800000</v>
      </c>
      <c r="V15" s="64" t="s">
        <v>34</v>
      </c>
      <c r="W15" s="72">
        <f t="shared" si="29"/>
        <v>10</v>
      </c>
      <c r="X15" s="72" t="str">
        <f t="shared" si="30"/>
        <v>김선월</v>
      </c>
      <c r="Y15" s="55">
        <f>IF(T15&lt;800000,0,(VLOOKUP(T15,'세액표(1202)'!A:L,V15+1)))</f>
        <v>105210</v>
      </c>
      <c r="Z15" s="55">
        <f t="shared" ref="Z15:Z16" si="76">ROUNDDOWN(Y15*10%,-1)</f>
        <v>10520</v>
      </c>
      <c r="AA15" s="361"/>
      <c r="AB15" s="55">
        <f t="shared" si="32"/>
        <v>120540</v>
      </c>
      <c r="AC15" s="55">
        <f t="shared" si="14"/>
        <v>15830</v>
      </c>
      <c r="AD15" s="181"/>
      <c r="AE15" s="70">
        <f t="shared" si="34"/>
        <v>0</v>
      </c>
      <c r="AF15" s="70"/>
      <c r="AG15" s="132">
        <f t="shared" ref="AG15" si="77">SUM(Y15:AF15)</f>
        <v>252100</v>
      </c>
      <c r="AH15" s="54">
        <f t="shared" ref="AH15" si="78">T15-AG15</f>
        <v>3101125.8064516131</v>
      </c>
      <c r="AI15" s="77" t="str">
        <f>VLOOKUP(D15,'정직원 (2)'!$F$4:$M$90,8,0)</f>
        <v>0.5추가</v>
      </c>
      <c r="AJ15" s="22">
        <f t="shared" ca="1" si="37"/>
        <v>62</v>
      </c>
      <c r="AK15" s="22" t="str">
        <f t="shared" si="38"/>
        <v>OK</v>
      </c>
      <c r="AL15" s="22">
        <v>3353225.8064516131</v>
      </c>
      <c r="AO15" s="22">
        <v>3300000</v>
      </c>
      <c r="AP15" s="159">
        <v>3353225.8064516131</v>
      </c>
      <c r="AQ15" s="159">
        <v>3140330</v>
      </c>
      <c r="AR15" s="159">
        <v>3410000</v>
      </c>
      <c r="AS15" s="159">
        <v>3459677.4193548388</v>
      </c>
      <c r="AT15" s="159">
        <v>3300000</v>
      </c>
      <c r="AU15" s="159">
        <v>3459677</v>
      </c>
      <c r="AV15" s="159">
        <v>3300000</v>
      </c>
      <c r="AW15" s="159">
        <v>3553226</v>
      </c>
      <c r="AX15" s="22">
        <f t="shared" si="66"/>
        <v>30276136.225806452</v>
      </c>
    </row>
    <row r="16" spans="1:50" s="22" customFormat="1" ht="20.45" customHeight="1" x14ac:dyDescent="0.6">
      <c r="A16" s="122">
        <f t="shared" si="0"/>
        <v>11</v>
      </c>
      <c r="B16" s="157" t="s">
        <v>313</v>
      </c>
      <c r="C16" s="156">
        <f>INDEX('정직원 (2)'!$B$4:$B$20,MATCH(임금대장!B16,'정직원 (2)'!$C$4:$C$20,0))</f>
        <v>0</v>
      </c>
      <c r="D16" s="122" t="str">
        <f>VLOOKUP(B16,'정직원 (2)'!$C$4:$F$20,4,0)</f>
        <v>880621-1065632</v>
      </c>
      <c r="E16" s="116">
        <f>VLOOKUP(B16,'정직원 (2)'!$C$4:$J$81,8,0)</f>
        <v>45649</v>
      </c>
      <c r="F16" s="116">
        <f>VLOOKUP(B16,'정직원 (2)'!$C$4:$L$81,10,0)</f>
        <v>0</v>
      </c>
      <c r="G16" s="129">
        <f>VLOOKUP(B16,'정직원 (2)'!$C$4:$F$81,3,0)</f>
        <v>3400000</v>
      </c>
      <c r="H16" s="96">
        <f t="shared" si="69"/>
        <v>11683</v>
      </c>
      <c r="I16" s="97">
        <f>ROUNDUP(($G16/291*209),0)</f>
        <v>2441925</v>
      </c>
      <c r="J16" s="97">
        <f t="shared" ref="J16" si="79">ROUNDDOWN(($G16/291*65.2),0)</f>
        <v>761786</v>
      </c>
      <c r="K16" s="97">
        <f t="shared" si="3"/>
        <v>102818</v>
      </c>
      <c r="L16" s="223">
        <f>VLOOKUP(B16,'정직원 (2)'!$C$4:$O$95,13,0)</f>
        <v>0</v>
      </c>
      <c r="M16" s="97">
        <f t="shared" si="70"/>
        <v>93471</v>
      </c>
      <c r="N16" s="120">
        <f t="shared" si="23"/>
        <v>54838.709677419356</v>
      </c>
      <c r="O16" s="219">
        <f t="shared" ref="O16" si="80">$O$3-P16</f>
        <v>31</v>
      </c>
      <c r="P16" s="137">
        <f t="shared" si="25"/>
        <v>0</v>
      </c>
      <c r="Q16" s="96">
        <f t="shared" si="26"/>
        <v>0</v>
      </c>
      <c r="R16" s="103"/>
      <c r="S16" s="96">
        <f t="shared" si="27"/>
        <v>0</v>
      </c>
      <c r="T16" s="132">
        <f t="shared" si="28"/>
        <v>3454838.7096774192</v>
      </c>
      <c r="U16" s="73">
        <v>1800000</v>
      </c>
      <c r="V16" s="64" t="s">
        <v>34</v>
      </c>
      <c r="W16" s="72">
        <f t="shared" si="29"/>
        <v>11</v>
      </c>
      <c r="X16" s="72" t="str">
        <f t="shared" si="30"/>
        <v>유용복</v>
      </c>
      <c r="Y16" s="55">
        <f>IF(T16&lt;800000,0,(VLOOKUP(T16,'세액표(1202)'!A:L,V16+1)))</f>
        <v>117440</v>
      </c>
      <c r="Z16" s="55">
        <f t="shared" si="76"/>
        <v>11740</v>
      </c>
      <c r="AA16" s="183">
        <v>85500</v>
      </c>
      <c r="AB16" s="55">
        <f t="shared" si="32"/>
        <v>124200</v>
      </c>
      <c r="AC16" s="55">
        <f t="shared" si="14"/>
        <v>16310</v>
      </c>
      <c r="AD16" s="55">
        <f t="shared" ref="AD16" si="81">ROUNDDOWN(T16*0.9%,-1)</f>
        <v>31090</v>
      </c>
      <c r="AE16" s="70">
        <f t="shared" si="34"/>
        <v>0</v>
      </c>
      <c r="AF16" s="70"/>
      <c r="AG16" s="132">
        <f t="shared" ref="AG16" si="82">SUM(Y16:AF16)</f>
        <v>386280</v>
      </c>
      <c r="AH16" s="54">
        <f t="shared" ref="AH16" si="83">T16-AG16</f>
        <v>3068558.7096774192</v>
      </c>
      <c r="AI16" s="77" t="str">
        <f>VLOOKUP(D16,'정직원 (2)'!$F$4:$M$90,8,0)</f>
        <v>0.5추가</v>
      </c>
      <c r="AJ16" s="22">
        <f t="shared" ca="1" si="37"/>
        <v>37</v>
      </c>
      <c r="AK16" s="22" t="str">
        <f t="shared" si="38"/>
        <v>OK</v>
      </c>
      <c r="AL16" s="22">
        <v>3454838.7096774192</v>
      </c>
      <c r="AO16" s="22">
        <v>3513333.3333333335</v>
      </c>
      <c r="AP16" s="159">
        <v>3564516.1290322579</v>
      </c>
      <c r="AQ16" s="159">
        <v>3148390</v>
      </c>
      <c r="AR16" s="159">
        <v>3413333.3333333335</v>
      </c>
      <c r="AS16" s="159">
        <v>3561290.3225806453</v>
      </c>
      <c r="AT16" s="159">
        <v>3200000</v>
      </c>
      <c r="AU16" s="159">
        <v>3251613</v>
      </c>
      <c r="AV16" s="159">
        <v>3314285.7142857141</v>
      </c>
      <c r="AW16" s="159">
        <v>3400000</v>
      </c>
      <c r="AX16" s="22">
        <f t="shared" si="66"/>
        <v>30366761.832565285</v>
      </c>
    </row>
    <row r="17" spans="1:50" s="22" customFormat="1" ht="20.45" customHeight="1" x14ac:dyDescent="0.6">
      <c r="A17" s="122">
        <f t="shared" si="0"/>
        <v>12</v>
      </c>
      <c r="B17" s="157" t="s">
        <v>255</v>
      </c>
      <c r="C17" s="156" t="str">
        <f>INDEX('정직원 (2)'!$B$4:$B$20,MATCH(임금대장!B17,'정직원 (2)'!$C$4:$C$20,0))</f>
        <v>롤</v>
      </c>
      <c r="D17" s="122" t="str">
        <f>VLOOKUP(B17,'정직원 (2)'!$C$4:$F$20,4,0)</f>
        <v>700928-6101893</v>
      </c>
      <c r="E17" s="116">
        <f>VLOOKUP(B17,'정직원 (2)'!$C$4:$J$81,8,0)</f>
        <v>45682</v>
      </c>
      <c r="F17" s="116">
        <f>VLOOKUP(B17,'정직원 (2)'!$C$4:$L$81,10,0)</f>
        <v>0</v>
      </c>
      <c r="G17" s="129">
        <f>VLOOKUP(B17,'정직원 (2)'!$C$4:$F$81,3,0)</f>
        <v>3400000</v>
      </c>
      <c r="H17" s="96">
        <f t="shared" si="69"/>
        <v>11683</v>
      </c>
      <c r="I17" s="97">
        <f>ROUNDUP(($G17/291*209),0)</f>
        <v>2441925</v>
      </c>
      <c r="J17" s="97">
        <f t="shared" ref="J17:J20" si="84">ROUNDDOWN(($G17/291*65.2),0)</f>
        <v>761786</v>
      </c>
      <c r="K17" s="97">
        <f t="shared" si="3"/>
        <v>102818</v>
      </c>
      <c r="L17" s="223">
        <f>VLOOKUP(B17,'정직원 (2)'!$C$4:$O$95,13,0)</f>
        <v>0</v>
      </c>
      <c r="M17" s="97">
        <f t="shared" si="70"/>
        <v>93471</v>
      </c>
      <c r="N17" s="120">
        <f t="shared" si="23"/>
        <v>54838.709677419356</v>
      </c>
      <c r="O17" s="219">
        <f t="shared" ref="O17:O18" si="85">$O$3-P17</f>
        <v>31</v>
      </c>
      <c r="P17" s="137">
        <f t="shared" si="25"/>
        <v>0</v>
      </c>
      <c r="Q17" s="96">
        <f t="shared" si="26"/>
        <v>0</v>
      </c>
      <c r="R17" s="103"/>
      <c r="S17" s="96">
        <f t="shared" si="27"/>
        <v>0</v>
      </c>
      <c r="T17" s="132">
        <f t="shared" si="28"/>
        <v>3454838.7096774192</v>
      </c>
      <c r="U17" s="73">
        <v>1800000</v>
      </c>
      <c r="V17" s="64" t="s">
        <v>34</v>
      </c>
      <c r="W17" s="72">
        <f t="shared" si="29"/>
        <v>12</v>
      </c>
      <c r="X17" s="72" t="str">
        <f t="shared" si="30"/>
        <v>안동화</v>
      </c>
      <c r="Y17" s="55">
        <f>IF(T17&lt;800000,0,(VLOOKUP(T17,'세액표(1202)'!A:L,V17+1)))</f>
        <v>117440</v>
      </c>
      <c r="Z17" s="55">
        <f t="shared" ref="Z17" si="86">ROUNDDOWN(Y17*10%,-1)</f>
        <v>11740</v>
      </c>
      <c r="AA17" s="183">
        <v>85500</v>
      </c>
      <c r="AB17" s="55">
        <f t="shared" si="32"/>
        <v>124200</v>
      </c>
      <c r="AC17" s="55">
        <f t="shared" si="14"/>
        <v>16310</v>
      </c>
      <c r="AD17" s="55">
        <f t="shared" ref="AD17:AD18" si="87">ROUNDDOWN(T17*0.9%,-1)</f>
        <v>31090</v>
      </c>
      <c r="AE17" s="70">
        <f t="shared" si="34"/>
        <v>0</v>
      </c>
      <c r="AF17" s="70"/>
      <c r="AG17" s="132">
        <f t="shared" ref="AG17:AG18" si="88">SUM(Y17:AF17)</f>
        <v>386280</v>
      </c>
      <c r="AH17" s="54">
        <f t="shared" ref="AH17:AH18" si="89">T17-AG17</f>
        <v>3068558.7096774192</v>
      </c>
      <c r="AI17" s="77" t="str">
        <f>VLOOKUP(D17,'정직원 (2)'!$F$4:$M$25,8,0)</f>
        <v>0.5추가</v>
      </c>
      <c r="AJ17" s="22">
        <f t="shared" ca="1" si="37"/>
        <v>55</v>
      </c>
      <c r="AK17" s="22" t="str">
        <f t="shared" si="38"/>
        <v>OK</v>
      </c>
      <c r="AL17" s="22">
        <v>3564516.1290322579</v>
      </c>
      <c r="AO17" s="22">
        <v>3900000</v>
      </c>
      <c r="AP17" s="159">
        <v>3454838.7096774192</v>
      </c>
      <c r="AQ17" s="159">
        <v>3440330</v>
      </c>
      <c r="AR17" s="159">
        <v>3610000</v>
      </c>
      <c r="AS17" s="159">
        <v>3353225.8064516131</v>
      </c>
      <c r="AT17" s="159">
        <v>3300000</v>
      </c>
      <c r="AU17" s="159">
        <v>3566129</v>
      </c>
      <c r="AV17" s="159">
        <v>3300000</v>
      </c>
      <c r="AW17" s="159">
        <v>945170</v>
      </c>
      <c r="AX17" s="22">
        <f t="shared" si="66"/>
        <v>28869693.516129032</v>
      </c>
    </row>
    <row r="18" spans="1:50" s="22" customFormat="1" ht="20.45" customHeight="1" x14ac:dyDescent="0.6">
      <c r="A18" s="122">
        <f t="shared" si="0"/>
        <v>13</v>
      </c>
      <c r="B18" s="157" t="s">
        <v>319</v>
      </c>
      <c r="C18" s="156" t="str">
        <f>INDEX('정직원 (2)'!$B$4:$B$20,MATCH(임금대장!B18,'정직원 (2)'!$C$4:$C$20,0))</f>
        <v>초다이</v>
      </c>
      <c r="D18" s="122" t="str">
        <f>VLOOKUP(B18,'정직원 (2)'!$C$4:$F$20,4,0)</f>
        <v>930114-1064818</v>
      </c>
      <c r="E18" s="116">
        <f>VLOOKUP(B18,'정직원 (2)'!$C$4:$J$81,8,0)</f>
        <v>45693</v>
      </c>
      <c r="F18" s="116">
        <f>VLOOKUP(B18,'정직원 (2)'!$C$4:$L$81,10,0)</f>
        <v>0</v>
      </c>
      <c r="G18" s="129">
        <f>VLOOKUP(B18,'정직원 (2)'!$C$4:$F$81,3,0)</f>
        <v>3800000</v>
      </c>
      <c r="H18" s="96">
        <f t="shared" ref="H18:H19" si="90">ROUNDDOWN(G18/291,0)</f>
        <v>13058</v>
      </c>
      <c r="I18" s="97">
        <f>ROUNDUP(($G18/291*209),0)</f>
        <v>2729210</v>
      </c>
      <c r="J18" s="97">
        <f t="shared" si="84"/>
        <v>851408</v>
      </c>
      <c r="K18" s="97">
        <f t="shared" si="3"/>
        <v>114915</v>
      </c>
      <c r="L18" s="223">
        <f>VLOOKUP(B18,'정직원 (2)'!$C$4:$O$95,13,0)</f>
        <v>0</v>
      </c>
      <c r="M18" s="97">
        <f t="shared" si="70"/>
        <v>104468</v>
      </c>
      <c r="N18" s="120">
        <f t="shared" si="23"/>
        <v>183870.96774193548</v>
      </c>
      <c r="O18" s="219">
        <f t="shared" si="85"/>
        <v>31</v>
      </c>
      <c r="P18" s="137">
        <f t="shared" si="25"/>
        <v>0</v>
      </c>
      <c r="Q18" s="96">
        <f t="shared" si="26"/>
        <v>0</v>
      </c>
      <c r="R18" s="103"/>
      <c r="S18" s="96">
        <f t="shared" ref="S18:S19" si="91">ROUNDDOWN(H18*R18,-1)</f>
        <v>0</v>
      </c>
      <c r="T18" s="132">
        <f t="shared" ref="T18:T19" si="92">G18-Q18-S18+N18+L18</f>
        <v>3983870.9677419355</v>
      </c>
      <c r="U18" s="73">
        <v>1800000</v>
      </c>
      <c r="V18" s="64" t="s">
        <v>34</v>
      </c>
      <c r="W18" s="72">
        <f t="shared" ref="W18:W19" si="93">A18</f>
        <v>13</v>
      </c>
      <c r="X18" s="72" t="str">
        <f t="shared" ref="X18:X19" si="94">B18</f>
        <v>최장현</v>
      </c>
      <c r="Y18" s="55">
        <f>IF(T18&lt;800000,0,(VLOOKUP(T18,'세액표(1202)'!A:L,V18+1)))</f>
        <v>190620</v>
      </c>
      <c r="Z18" s="55">
        <f t="shared" ref="Z18:Z19" si="95">ROUNDDOWN(Y18*10%,-1)</f>
        <v>19060</v>
      </c>
      <c r="AA18" s="183">
        <v>85500</v>
      </c>
      <c r="AB18" s="55">
        <f t="shared" si="32"/>
        <v>143220</v>
      </c>
      <c r="AC18" s="55">
        <f t="shared" si="14"/>
        <v>18810</v>
      </c>
      <c r="AD18" s="55">
        <f t="shared" si="87"/>
        <v>35850</v>
      </c>
      <c r="AE18" s="70">
        <f t="shared" si="34"/>
        <v>0</v>
      </c>
      <c r="AF18" s="70"/>
      <c r="AG18" s="132">
        <f t="shared" si="88"/>
        <v>493060</v>
      </c>
      <c r="AH18" s="54">
        <f t="shared" si="89"/>
        <v>3490810.9677419355</v>
      </c>
      <c r="AI18" s="77" t="str">
        <f>VLOOKUP(D18,'정직원 (2)'!$F$4:$M$25,8,0)</f>
        <v>1.5추가</v>
      </c>
      <c r="AJ18" s="22">
        <f t="shared" ref="AJ18:AJ19" ca="1" si="96">DATEDIF(DATE(IF(VALUE(LEFT(D18,2))&gt;22,1900,2000)+VALUE(LEFT(D18,2)),VALUE(MID(D18,3,2)),VALUE(MID(D18,5,2))),TODAY(),"Y")</f>
        <v>33</v>
      </c>
      <c r="AK18" s="22" t="str">
        <f t="shared" si="38"/>
        <v>OK</v>
      </c>
      <c r="AL18" s="22">
        <v>3454838.7096774192</v>
      </c>
      <c r="AO18" s="22">
        <v>3513333.3333333335</v>
      </c>
      <c r="AP18" s="159">
        <v>3674193.5483870967</v>
      </c>
      <c r="AQ18" s="159">
        <v>3235490</v>
      </c>
      <c r="AR18" s="159">
        <v>3626666.6666666665</v>
      </c>
      <c r="AS18" s="159">
        <v>3893548.3870967743</v>
      </c>
      <c r="AT18" s="159">
        <v>3400000</v>
      </c>
      <c r="AU18" s="159">
        <v>3454839</v>
      </c>
      <c r="AV18" s="159">
        <v>2914290</v>
      </c>
      <c r="AW18" s="159" t="e">
        <v>#N/A</v>
      </c>
    </row>
    <row r="19" spans="1:50" s="22" customFormat="1" ht="20.45" customHeight="1" x14ac:dyDescent="0.6">
      <c r="A19" s="122">
        <f t="shared" si="0"/>
        <v>14</v>
      </c>
      <c r="B19" s="157" t="s">
        <v>320</v>
      </c>
      <c r="C19" s="156" t="str">
        <f>INDEX('정직원 (2)'!$B$4:$B$20,MATCH(임금대장!B19,'정직원 (2)'!$C$4:$C$20,0))</f>
        <v>홀</v>
      </c>
      <c r="D19" s="122" t="str">
        <f>VLOOKUP(B19,'정직원 (2)'!$C$4:$F$20,4,0)</f>
        <v>991231-1152511</v>
      </c>
      <c r="E19" s="116">
        <f>VLOOKUP(B19,'정직원 (2)'!$C$4:$J$81,8,0)</f>
        <v>45709</v>
      </c>
      <c r="F19" s="116">
        <f>VLOOKUP(B19,'정직원 (2)'!$C$4:$L$81,10,0)</f>
        <v>0</v>
      </c>
      <c r="G19" s="129">
        <f>VLOOKUP(B19,'정직원 (2)'!$C$4:$F$81,3,0)</f>
        <v>3500000</v>
      </c>
      <c r="H19" s="96">
        <f t="shared" si="90"/>
        <v>12027</v>
      </c>
      <c r="I19" s="97">
        <f t="shared" si="2"/>
        <v>2513745</v>
      </c>
      <c r="J19" s="97">
        <f t="shared" si="84"/>
        <v>784192</v>
      </c>
      <c r="K19" s="97">
        <f t="shared" si="3"/>
        <v>105842</v>
      </c>
      <c r="L19" s="223">
        <f>VLOOKUP(B19,'정직원 (2)'!$C$4:$O$95,13,0)</f>
        <v>0</v>
      </c>
      <c r="M19" s="97">
        <f t="shared" si="70"/>
        <v>96220</v>
      </c>
      <c r="N19" s="120">
        <f t="shared" si="23"/>
        <v>169354.83870967739</v>
      </c>
      <c r="O19" s="219">
        <f t="shared" ref="O19" si="97">$O$3-P19</f>
        <v>31</v>
      </c>
      <c r="P19" s="137">
        <f t="shared" si="25"/>
        <v>0</v>
      </c>
      <c r="Q19" s="96">
        <f t="shared" si="26"/>
        <v>0</v>
      </c>
      <c r="R19" s="103"/>
      <c r="S19" s="96">
        <f t="shared" si="91"/>
        <v>0</v>
      </c>
      <c r="T19" s="132">
        <f t="shared" si="92"/>
        <v>3669354.8387096776</v>
      </c>
      <c r="U19" s="73">
        <v>1800000</v>
      </c>
      <c r="V19" s="64" t="s">
        <v>34</v>
      </c>
      <c r="W19" s="72">
        <f t="shared" si="93"/>
        <v>14</v>
      </c>
      <c r="X19" s="72" t="str">
        <f t="shared" si="94"/>
        <v>이준수</v>
      </c>
      <c r="Y19" s="55">
        <f>IF(T19&lt;800000,0,(VLOOKUP(T19,'세액표(1202)'!A:L,V19+1)))</f>
        <v>144330</v>
      </c>
      <c r="Z19" s="55">
        <f t="shared" si="95"/>
        <v>14430</v>
      </c>
      <c r="AA19" s="183">
        <v>85500</v>
      </c>
      <c r="AB19" s="55">
        <f t="shared" si="32"/>
        <v>131910</v>
      </c>
      <c r="AC19" s="55">
        <f t="shared" si="14"/>
        <v>17330</v>
      </c>
      <c r="AD19" s="55">
        <f t="shared" ref="AD19" si="98">ROUNDDOWN(T19*0.9%,-1)</f>
        <v>33020</v>
      </c>
      <c r="AE19" s="70">
        <f t="shared" si="34"/>
        <v>0</v>
      </c>
      <c r="AF19" s="70"/>
      <c r="AG19" s="132">
        <f t="shared" ref="AG19" si="99">SUM(Y19:AF19)</f>
        <v>426520</v>
      </c>
      <c r="AH19" s="54">
        <f t="shared" ref="AH19" si="100">T19-AG19</f>
        <v>3242834.8387096776</v>
      </c>
      <c r="AI19" s="77" t="str">
        <f>VLOOKUP(D19,'정직원 (2)'!$F$4:$M$25,8,0)</f>
        <v>1.5추가</v>
      </c>
      <c r="AJ19" s="22">
        <f t="shared" ca="1" si="96"/>
        <v>26</v>
      </c>
      <c r="AK19" s="22" t="str">
        <f t="shared" si="38"/>
        <v>OK</v>
      </c>
      <c r="AL19" s="22">
        <v>3743550</v>
      </c>
      <c r="AO19" s="22">
        <v>2830000</v>
      </c>
      <c r="AP19" s="159">
        <v>3619354.8387096776</v>
      </c>
      <c r="AQ19" s="159">
        <v>2714520</v>
      </c>
      <c r="AR19" s="159">
        <v>3520000</v>
      </c>
      <c r="AS19" s="159">
        <v>3619354.8387096776</v>
      </c>
      <c r="AT19" s="159">
        <v>3300000</v>
      </c>
      <c r="AU19" s="159">
        <v>3353226</v>
      </c>
      <c r="AV19" s="159">
        <v>942860</v>
      </c>
      <c r="AW19" s="159" t="e">
        <v>#N/A</v>
      </c>
    </row>
    <row r="20" spans="1:50" s="22" customFormat="1" ht="20.45" customHeight="1" x14ac:dyDescent="0.6">
      <c r="A20" s="122">
        <f t="shared" si="0"/>
        <v>15</v>
      </c>
      <c r="B20" s="157" t="s">
        <v>323</v>
      </c>
      <c r="C20" s="156" t="str">
        <f>INDEX('정직원 (2)'!$B$4:$B$20,MATCH(임금대장!B20,'정직원 (2)'!$C$4:$C$20,0))</f>
        <v>롤</v>
      </c>
      <c r="D20" s="122" t="str">
        <f>VLOOKUP(B20,'정직원 (2)'!$C$4:$F$20,4,0)</f>
        <v>690917-2451117</v>
      </c>
      <c r="E20" s="116">
        <f>VLOOKUP(B20,'정직원 (2)'!$C$4:$J$81,8,0)</f>
        <v>45720</v>
      </c>
      <c r="F20" s="116">
        <f>VLOOKUP(B20,'정직원 (2)'!$C$4:$L$81,10,0)</f>
        <v>0</v>
      </c>
      <c r="G20" s="129">
        <f>VLOOKUP(B20,'정직원 (2)'!$C$4:$F$81,3,0)</f>
        <v>3300000</v>
      </c>
      <c r="H20" s="96">
        <f t="shared" ref="H20" si="101">ROUNDDOWN(G20/291,0)</f>
        <v>11340</v>
      </c>
      <c r="I20" s="97">
        <f t="shared" si="2"/>
        <v>2370103</v>
      </c>
      <c r="J20" s="97">
        <f t="shared" si="84"/>
        <v>739381</v>
      </c>
      <c r="K20" s="97">
        <f t="shared" si="3"/>
        <v>99794</v>
      </c>
      <c r="L20" s="223">
        <f>VLOOKUP(B20,'정직원 (2)'!$C$4:$O$95,13,0)</f>
        <v>0</v>
      </c>
      <c r="M20" s="97">
        <f t="shared" si="70"/>
        <v>90722</v>
      </c>
      <c r="N20" s="120">
        <f t="shared" si="23"/>
        <v>53225.806451612902</v>
      </c>
      <c r="O20" s="219">
        <f t="shared" ref="O20" si="102">$O$3-P20</f>
        <v>31</v>
      </c>
      <c r="P20" s="137">
        <f t="shared" si="25"/>
        <v>0</v>
      </c>
      <c r="Q20" s="96">
        <f t="shared" si="26"/>
        <v>0</v>
      </c>
      <c r="R20" s="103"/>
      <c r="S20" s="96">
        <f t="shared" ref="S20" si="103">ROUNDDOWN(H20*R20,-1)</f>
        <v>0</v>
      </c>
      <c r="T20" s="132">
        <f t="shared" ref="T20" si="104">G20-Q20-S20+N20+L20</f>
        <v>3353225.8064516131</v>
      </c>
      <c r="U20" s="73">
        <v>1800000</v>
      </c>
      <c r="V20" s="64" t="s">
        <v>34</v>
      </c>
      <c r="W20" s="72">
        <f t="shared" ref="W20" si="105">A20</f>
        <v>15</v>
      </c>
      <c r="X20" s="72" t="str">
        <f t="shared" ref="X20" si="106">B20</f>
        <v>이부순</v>
      </c>
      <c r="Y20" s="55">
        <f>IF(T20&lt;800000,0,(VLOOKUP(T20,'세액표(1202)'!A:L,V20+1)))</f>
        <v>105210</v>
      </c>
      <c r="Z20" s="55">
        <f t="shared" ref="Z20" si="107">ROUNDDOWN(Y20*10%,-1)</f>
        <v>10520</v>
      </c>
      <c r="AA20" s="183">
        <v>85500</v>
      </c>
      <c r="AB20" s="55">
        <f t="shared" si="32"/>
        <v>120540</v>
      </c>
      <c r="AC20" s="55">
        <f t="shared" si="14"/>
        <v>15830</v>
      </c>
      <c r="AD20" s="55">
        <f t="shared" ref="AD20" si="108">ROUNDDOWN(T20*0.9%,-1)</f>
        <v>30170</v>
      </c>
      <c r="AE20" s="70">
        <f t="shared" si="34"/>
        <v>0</v>
      </c>
      <c r="AF20" s="70"/>
      <c r="AG20" s="132">
        <f t="shared" ref="AG20" si="109">SUM(Y20:AF20)</f>
        <v>367770</v>
      </c>
      <c r="AH20" s="54">
        <f t="shared" ref="AH20" si="110">T20-AG20</f>
        <v>2985455.8064516131</v>
      </c>
      <c r="AI20" s="77" t="str">
        <f>VLOOKUP(D20,'정직원 (2)'!$F$4:$M$25,8,0)</f>
        <v>0.5추가</v>
      </c>
      <c r="AJ20" s="22">
        <f t="shared" ref="AJ20" ca="1" si="111">DATEDIF(DATE(IF(VALUE(LEFT(D20,2))&gt;22,1900,2000)+VALUE(LEFT(D20,2)),VALUE(MID(D20,3,2)),VALUE(MID(D20,5,2))),TODAY(),"Y")</f>
        <v>56</v>
      </c>
      <c r="AK20" s="22" t="str">
        <f t="shared" si="38"/>
        <v>OK</v>
      </c>
      <c r="AL20" s="22">
        <v>3353225.8064516131</v>
      </c>
      <c r="AO20" s="22">
        <v>3300000</v>
      </c>
      <c r="AP20" s="159">
        <v>3353225.8064516131</v>
      </c>
      <c r="AQ20" s="159">
        <v>3140330</v>
      </c>
      <c r="AR20" s="159">
        <v>3410000</v>
      </c>
      <c r="AS20" s="159">
        <v>3512903.2258064514</v>
      </c>
      <c r="AT20" s="159">
        <v>3300000</v>
      </c>
      <c r="AU20" s="159">
        <v>2980650</v>
      </c>
      <c r="AV20" s="159" t="e">
        <v>#N/A</v>
      </c>
      <c r="AW20" s="159" t="e">
        <v>#N/A</v>
      </c>
    </row>
    <row r="21" spans="1:50" s="22" customFormat="1" ht="20.45" customHeight="1" x14ac:dyDescent="0.6">
      <c r="A21" s="122">
        <f t="shared" si="0"/>
        <v>16</v>
      </c>
      <c r="B21" s="157" t="s">
        <v>353</v>
      </c>
      <c r="C21" s="156" t="str">
        <f>INDEX('정직원 (2)'!$B$4:$B$20,MATCH(임금대장!B21,'정직원 (2)'!$C$4:$C$20,0))</f>
        <v>핫/즉석</v>
      </c>
      <c r="D21" s="122" t="str">
        <f>VLOOKUP(B21,'정직원 (2)'!$C$4:$F$20,4,0)</f>
        <v>980825-1156317</v>
      </c>
      <c r="E21" s="116">
        <f>VLOOKUP(B21,'정직원 (2)'!$C$4:$J$81,8,0)</f>
        <v>45771</v>
      </c>
      <c r="F21" s="116">
        <f>VLOOKUP(B21,'정직원 (2)'!$C$4:$L$81,10,0)</f>
        <v>0</v>
      </c>
      <c r="G21" s="129">
        <f>VLOOKUP(B21,'정직원 (2)'!$C$4:$F$81,3,0)</f>
        <v>3400000</v>
      </c>
      <c r="H21" s="96">
        <f t="shared" ref="H21" si="112">ROUNDDOWN(G21/291,0)</f>
        <v>11683</v>
      </c>
      <c r="I21" s="97">
        <f>ROUNDUP(($G21/291*209),0)</f>
        <v>2441925</v>
      </c>
      <c r="J21" s="97">
        <f t="shared" ref="J21:J44" si="113">ROUNDDOWN(($G21/291*65.2),0)</f>
        <v>761786</v>
      </c>
      <c r="K21" s="97">
        <f t="shared" ref="K21:K44" si="114">ROUNDUP(($G21/291*8.8),0)</f>
        <v>102818</v>
      </c>
      <c r="L21" s="223">
        <f>VLOOKUP(B21,'정직원 (2)'!$C$4:$O$95,13,0)</f>
        <v>0</v>
      </c>
      <c r="M21" s="97">
        <f t="shared" ref="M21:M44" si="115">ROUNDUP(($G21/291*8),0)</f>
        <v>93471</v>
      </c>
      <c r="N21" s="120">
        <f t="shared" si="23"/>
        <v>164516.12903225806</v>
      </c>
      <c r="O21" s="219">
        <f t="shared" ref="O21" si="116">$O$3-P21</f>
        <v>31</v>
      </c>
      <c r="P21" s="137">
        <f t="shared" si="25"/>
        <v>0</v>
      </c>
      <c r="Q21" s="96">
        <f t="shared" si="26"/>
        <v>0</v>
      </c>
      <c r="R21" s="103"/>
      <c r="S21" s="96">
        <f t="shared" ref="S21" si="117">ROUNDDOWN(H21*R21,-1)</f>
        <v>0</v>
      </c>
      <c r="T21" s="132">
        <f t="shared" ref="T21" si="118">G21-Q21-S21+N21+L21</f>
        <v>3564516.1290322579</v>
      </c>
      <c r="U21" s="73">
        <v>1800000</v>
      </c>
      <c r="V21" s="64" t="s">
        <v>34</v>
      </c>
      <c r="W21" s="72">
        <f t="shared" ref="W21" si="119">A21</f>
        <v>16</v>
      </c>
      <c r="X21" s="72" t="str">
        <f t="shared" ref="X21" si="120">B21</f>
        <v>김예찬</v>
      </c>
      <c r="Y21" s="55">
        <f>IF(T21&lt;800000,0,(VLOOKUP(T21,'세액표(1202)'!A:L,V21+1)))</f>
        <v>132110</v>
      </c>
      <c r="Z21" s="55">
        <f t="shared" ref="Z21" si="121">ROUNDDOWN(Y21*10%,-1)</f>
        <v>13210</v>
      </c>
      <c r="AA21" s="183">
        <v>85500</v>
      </c>
      <c r="AB21" s="55">
        <f t="shared" si="32"/>
        <v>128140</v>
      </c>
      <c r="AC21" s="55">
        <f t="shared" si="14"/>
        <v>16830</v>
      </c>
      <c r="AD21" s="55">
        <f t="shared" ref="AD21" si="122">ROUNDDOWN(T21*0.9%,-1)</f>
        <v>32080</v>
      </c>
      <c r="AE21" s="70">
        <f t="shared" si="34"/>
        <v>0</v>
      </c>
      <c r="AF21" s="70"/>
      <c r="AG21" s="132">
        <f t="shared" ref="AG21" si="123">SUM(Y21:AF21)</f>
        <v>407870</v>
      </c>
      <c r="AH21" s="54">
        <f t="shared" ref="AH21" si="124">T21-AG21</f>
        <v>3156646.1290322579</v>
      </c>
      <c r="AI21" s="77" t="str">
        <f>VLOOKUP(D21,'정직원 (2)'!$F$4:$M$25,8,0)</f>
        <v>1.5추가</v>
      </c>
      <c r="AJ21" s="22">
        <f t="shared" ref="AJ21" ca="1" si="125">DATEDIF(DATE(IF(VALUE(LEFT(D21,2))&gt;22,1900,2000)+VALUE(LEFT(D21,2)),VALUE(MID(D21,3,2)),VALUE(MID(D21,5,2))),TODAY(),"Y")</f>
        <v>27</v>
      </c>
      <c r="AK21" s="22" t="str">
        <f t="shared" si="38"/>
        <v>OK</v>
      </c>
      <c r="AL21" s="22">
        <v>3564516.1290322579</v>
      </c>
      <c r="AO21" s="22">
        <v>3513333.3333333335</v>
      </c>
      <c r="AP21" s="159">
        <v>3400000</v>
      </c>
      <c r="AQ21" s="159">
        <v>3345170</v>
      </c>
      <c r="AR21" s="159">
        <v>3513333.3333333335</v>
      </c>
      <c r="AS21" s="159">
        <v>3783870.9677419355</v>
      </c>
      <c r="AT21" s="159">
        <v>793340</v>
      </c>
      <c r="AU21" s="159">
        <v>2270970</v>
      </c>
      <c r="AV21" s="159" t="e">
        <v>#N/A</v>
      </c>
      <c r="AW21" s="159" t="e">
        <v>#N/A</v>
      </c>
    </row>
    <row r="22" spans="1:50" s="22" customFormat="1" ht="20.45" customHeight="1" x14ac:dyDescent="0.6">
      <c r="A22" s="122">
        <f t="shared" si="0"/>
        <v>17</v>
      </c>
      <c r="B22" s="157" t="s">
        <v>331</v>
      </c>
      <c r="C22" s="156">
        <f>INDEX('정직원 (2)'!$B$4:$B$77,MATCH(임금대장!B22,'정직원 (2)'!$C$4:$C$77,0))</f>
        <v>0</v>
      </c>
      <c r="D22" s="122" t="str">
        <f>VLOOKUP(B22,'정직원 (2)'!$C$4:$F$77,4,0)</f>
        <v>890428-2150912</v>
      </c>
      <c r="E22" s="116">
        <f>VLOOKUP(B22,'정직원 (2)'!$C$4:$J$81,8,0)</f>
        <v>45809</v>
      </c>
      <c r="F22" s="116">
        <f>VLOOKUP(B22,'정직원 (2)'!$C$4:$L$81,10,0)</f>
        <v>0</v>
      </c>
      <c r="G22" s="237">
        <v>3371380</v>
      </c>
      <c r="H22" s="96">
        <f t="shared" ref="H22" si="126">ROUNDDOWN(G22/291,0)</f>
        <v>11585</v>
      </c>
      <c r="I22" s="97">
        <f t="shared" ref="I22:I40" si="127">ROUNDDOWN(($G22/291*209),0)</f>
        <v>2421369</v>
      </c>
      <c r="J22" s="97">
        <f t="shared" si="113"/>
        <v>755374</v>
      </c>
      <c r="K22" s="97">
        <f t="shared" si="114"/>
        <v>101953</v>
      </c>
      <c r="L22" s="223">
        <f>VLOOKUP(B22,'정직원 (2)'!$C$4:$O$95,13,0)</f>
        <v>0</v>
      </c>
      <c r="M22" s="97">
        <f t="shared" si="115"/>
        <v>92684</v>
      </c>
      <c r="N22" s="120">
        <f t="shared" si="23"/>
        <v>0</v>
      </c>
      <c r="O22" s="219">
        <f t="shared" ref="O22" si="128">$O$3-P22</f>
        <v>31</v>
      </c>
      <c r="P22" s="137">
        <f t="shared" si="25"/>
        <v>0</v>
      </c>
      <c r="Q22" s="96">
        <f t="shared" si="26"/>
        <v>0</v>
      </c>
      <c r="R22" s="103"/>
      <c r="S22" s="96">
        <f t="shared" ref="S22" si="129">ROUNDDOWN(H22*R22,-1)</f>
        <v>0</v>
      </c>
      <c r="T22" s="132">
        <f t="shared" ref="T22" si="130">G22-Q22-S22+N22+L22</f>
        <v>3371380</v>
      </c>
      <c r="U22" s="73">
        <v>1800000</v>
      </c>
      <c r="V22" s="64" t="s">
        <v>34</v>
      </c>
      <c r="W22" s="72">
        <f t="shared" ref="W22" si="131">A22</f>
        <v>17</v>
      </c>
      <c r="X22" s="72" t="str">
        <f t="shared" ref="X22" si="132">B22</f>
        <v>조윤희</v>
      </c>
      <c r="Y22" s="55">
        <f>IF(T22&lt;800000,0,(VLOOKUP(T22,'세액표(1202)'!A:L,V22+1)))</f>
        <v>107660</v>
      </c>
      <c r="Z22" s="55">
        <f t="shared" ref="Z22" si="133">ROUNDDOWN(Y22*10%,-1)</f>
        <v>10760</v>
      </c>
      <c r="AA22" s="183">
        <v>85500</v>
      </c>
      <c r="AB22" s="55">
        <f t="shared" si="32"/>
        <v>121200</v>
      </c>
      <c r="AC22" s="55">
        <f t="shared" si="14"/>
        <v>15920</v>
      </c>
      <c r="AD22" s="55">
        <f t="shared" ref="AD22" si="134">ROUNDDOWN(T22*0.9%,-1)</f>
        <v>30340</v>
      </c>
      <c r="AE22" s="70">
        <f t="shared" si="34"/>
        <v>0</v>
      </c>
      <c r="AF22" s="129"/>
      <c r="AG22" s="132">
        <f t="shared" ref="AG22" si="135">SUM(Y22:AF22)</f>
        <v>371380</v>
      </c>
      <c r="AH22" s="54">
        <f t="shared" ref="AH22" si="136">T22-AG22</f>
        <v>3000000</v>
      </c>
      <c r="AI22" s="77">
        <f>VLOOKUP(D22,'정직원 (2)'!$F$4:$M$90,8,0)</f>
        <v>0</v>
      </c>
      <c r="AJ22" s="22">
        <f t="shared" ref="AJ22" ca="1" si="137">DATEDIF(DATE(IF(VALUE(LEFT(D22,2))&gt;22,1900,2000)+VALUE(LEFT(D22,2)),VALUE(MID(D22,3,2)),VALUE(MID(D22,5,2))),TODAY(),"Y")</f>
        <v>36</v>
      </c>
      <c r="AK22" s="22" t="str">
        <f t="shared" si="38"/>
        <v>INVALID TAG</v>
      </c>
      <c r="AL22" s="22">
        <v>3364390</v>
      </c>
      <c r="AO22" s="22">
        <v>3364390</v>
      </c>
      <c r="AP22" s="159">
        <v>3364390</v>
      </c>
      <c r="AQ22" s="159">
        <v>3364390</v>
      </c>
      <c r="AR22" s="159">
        <v>3364390</v>
      </c>
      <c r="AS22" s="159">
        <v>3566129.0322580645</v>
      </c>
      <c r="AT22" s="159">
        <v>3300000</v>
      </c>
      <c r="AU22" s="159">
        <v>2341940</v>
      </c>
      <c r="AV22" s="159" t="e">
        <v>#N/A</v>
      </c>
      <c r="AW22" s="159" t="e">
        <v>#N/A</v>
      </c>
    </row>
    <row r="23" spans="1:50" s="22" customFormat="1" ht="20.45" customHeight="1" x14ac:dyDescent="0.6">
      <c r="A23" s="122">
        <f t="shared" si="0"/>
        <v>18</v>
      </c>
      <c r="B23" s="157" t="s">
        <v>335</v>
      </c>
      <c r="C23" s="156" t="str">
        <f>INDEX('정직원 (2)'!$B$4:$B$77,MATCH(임금대장!B23,'정직원 (2)'!$C$4:$C$77,0))</f>
        <v>핫/즉석</v>
      </c>
      <c r="D23" s="122" t="str">
        <f>VLOOKUP(B23,'정직원 (2)'!$C$4:$F$77,4,0)</f>
        <v>960115-1020619</v>
      </c>
      <c r="E23" s="116">
        <v>45841</v>
      </c>
      <c r="F23" s="116">
        <f>VLOOKUP(B23,'정직원 (2)'!$C$4:$L$81,10,0)</f>
        <v>0</v>
      </c>
      <c r="G23" s="129">
        <f>VLOOKUP(B23,'정직원 (2)'!$C$4:$F$81,3,0)</f>
        <v>3300000</v>
      </c>
      <c r="H23" s="96">
        <f t="shared" ref="H23" si="138">ROUNDDOWN(G23/291,0)</f>
        <v>11340</v>
      </c>
      <c r="I23" s="97">
        <f t="shared" si="127"/>
        <v>2370103</v>
      </c>
      <c r="J23" s="97">
        <f t="shared" si="113"/>
        <v>739381</v>
      </c>
      <c r="K23" s="97">
        <f t="shared" si="114"/>
        <v>99794</v>
      </c>
      <c r="L23" s="223">
        <f>VLOOKUP(B23,'정직원 (2)'!$C$4:$O$95,13,0)</f>
        <v>0</v>
      </c>
      <c r="M23" s="97">
        <f t="shared" si="115"/>
        <v>90722</v>
      </c>
      <c r="N23" s="120">
        <f t="shared" si="23"/>
        <v>372580.6451612903</v>
      </c>
      <c r="O23" s="218">
        <f t="shared" ref="O23" si="139">$O$3-P23</f>
        <v>31</v>
      </c>
      <c r="P23" s="137">
        <f t="shared" si="25"/>
        <v>0</v>
      </c>
      <c r="Q23" s="96">
        <f t="shared" si="26"/>
        <v>0</v>
      </c>
      <c r="R23" s="103"/>
      <c r="S23" s="96">
        <f t="shared" ref="S23" si="140">ROUNDDOWN(H23*R23,-1)</f>
        <v>0</v>
      </c>
      <c r="T23" s="132">
        <f t="shared" ref="T23" si="141">G23-Q23-S23+N23+L23</f>
        <v>3672580.6451612902</v>
      </c>
      <c r="U23" s="73">
        <v>1800000</v>
      </c>
      <c r="V23" s="64" t="s">
        <v>34</v>
      </c>
      <c r="W23" s="72">
        <f t="shared" ref="W23" si="142">A23</f>
        <v>18</v>
      </c>
      <c r="X23" s="72" t="str">
        <f t="shared" ref="X23" si="143">B23</f>
        <v>나지훈</v>
      </c>
      <c r="Y23" s="55">
        <f>IF(T23&lt;800000,0,(VLOOKUP(T23,'세액표(1202)'!A:L,V23+1)))</f>
        <v>144330</v>
      </c>
      <c r="Z23" s="55">
        <f t="shared" ref="Z23" si="144">ROUNDDOWN(Y23*10%,-1)</f>
        <v>14430</v>
      </c>
      <c r="AA23" s="183">
        <v>85500</v>
      </c>
      <c r="AB23" s="55">
        <f t="shared" si="32"/>
        <v>132020</v>
      </c>
      <c r="AC23" s="55">
        <f t="shared" si="14"/>
        <v>17340</v>
      </c>
      <c r="AD23" s="55">
        <f t="shared" ref="AD23" si="145">ROUNDDOWN(T23*0.9%,-1)</f>
        <v>33050</v>
      </c>
      <c r="AE23" s="70">
        <f t="shared" ref="AE23" si="146">L23</f>
        <v>0</v>
      </c>
      <c r="AF23" s="129"/>
      <c r="AG23" s="132">
        <f t="shared" ref="AG23" si="147">SUM(Y23:AF23)</f>
        <v>426670</v>
      </c>
      <c r="AH23" s="54">
        <f t="shared" ref="AH23" si="148">T23-AG23</f>
        <v>3245910.6451612902</v>
      </c>
      <c r="AI23" s="77" t="str">
        <f>VLOOKUP(D23,'정직원 (2)'!$F$4:$M$25,8,0)</f>
        <v>3.5추가</v>
      </c>
      <c r="AJ23" s="22">
        <f t="shared" ref="AJ23" ca="1" si="149">DATEDIF(DATE(IF(VALUE(LEFT(D23,2))&gt;22,1900,2000)+VALUE(LEFT(D23,2)),VALUE(MID(D23,3,2)),VALUE(MID(D23,5,2))),TODAY(),"Y")</f>
        <v>30</v>
      </c>
      <c r="AK23" s="22" t="str">
        <f t="shared" si="38"/>
        <v>OK</v>
      </c>
      <c r="AL23" s="22">
        <v>3353225.8064516131</v>
      </c>
      <c r="AO23" s="22">
        <v>3410000</v>
      </c>
      <c r="AP23" s="159">
        <v>3300000</v>
      </c>
      <c r="AQ23" s="159">
        <v>798390</v>
      </c>
      <c r="AR23" s="159">
        <v>3364390</v>
      </c>
      <c r="AS23" s="159">
        <v>3566129.0322580645</v>
      </c>
      <c r="AT23" s="159">
        <v>3300000</v>
      </c>
      <c r="AU23" s="159">
        <v>2341940</v>
      </c>
      <c r="AV23" s="159" t="e">
        <v>#N/A</v>
      </c>
      <c r="AW23" s="159" t="e">
        <v>#N/A</v>
      </c>
    </row>
    <row r="24" spans="1:50" s="22" customFormat="1" ht="20.45" customHeight="1" x14ac:dyDescent="0.6">
      <c r="A24" s="122">
        <f t="shared" si="0"/>
        <v>19</v>
      </c>
      <c r="B24" s="157" t="s">
        <v>336</v>
      </c>
      <c r="C24" s="156" t="str">
        <f>INDEX('정직원 (2)'!$B$4:$B$77,MATCH(임금대장!B24,'정직원 (2)'!$C$4:$C$77,0))</f>
        <v>핫/즉석</v>
      </c>
      <c r="D24" s="122" t="str">
        <f>VLOOKUP(B24,'정직원 (2)'!$C$4:$F$77,4,0)</f>
        <v>010620-3156714</v>
      </c>
      <c r="E24" s="116">
        <f>VLOOKUP(B24,'정직원 (2)'!$C$4:$J$81,8,0)</f>
        <v>45861</v>
      </c>
      <c r="F24" s="116">
        <f>VLOOKUP(B24,'정직원 (2)'!$C$4:$L$81,10,0)</f>
        <v>0</v>
      </c>
      <c r="G24" s="129">
        <f>VLOOKUP(B24,'정직원 (2)'!$C$4:$F$81,3,0)</f>
        <v>3400000</v>
      </c>
      <c r="H24" s="96">
        <f t="shared" ref="H24:H28" si="150">ROUNDDOWN(G24/291,0)</f>
        <v>11683</v>
      </c>
      <c r="I24" s="97">
        <f t="shared" si="127"/>
        <v>2441924</v>
      </c>
      <c r="J24" s="97">
        <f t="shared" si="113"/>
        <v>761786</v>
      </c>
      <c r="K24" s="97">
        <f t="shared" si="114"/>
        <v>102818</v>
      </c>
      <c r="L24" s="223">
        <f>VLOOKUP(B24,'정직원 (2)'!$C$4:$O$95,13,0)</f>
        <v>0</v>
      </c>
      <c r="M24" s="97">
        <f t="shared" si="115"/>
        <v>93471</v>
      </c>
      <c r="N24" s="120">
        <f t="shared" si="23"/>
        <v>54838.709677419356</v>
      </c>
      <c r="O24" s="219">
        <f t="shared" ref="O24:O28" si="151">$O$3-P24</f>
        <v>31</v>
      </c>
      <c r="P24" s="137">
        <f t="shared" si="25"/>
        <v>0</v>
      </c>
      <c r="Q24" s="96">
        <f t="shared" si="26"/>
        <v>0</v>
      </c>
      <c r="R24" s="103"/>
      <c r="S24" s="96">
        <f t="shared" ref="S24:S28" si="152">ROUNDDOWN(H24*R24,-1)</f>
        <v>0</v>
      </c>
      <c r="T24" s="132">
        <f t="shared" ref="T24:T28" si="153">G24-Q24-S24+N24+L24</f>
        <v>3454838.7096774192</v>
      </c>
      <c r="U24" s="73">
        <v>1800000</v>
      </c>
      <c r="V24" s="64" t="s">
        <v>34</v>
      </c>
      <c r="W24" s="72">
        <f t="shared" ref="W24:W28" si="154">A24</f>
        <v>19</v>
      </c>
      <c r="X24" s="72" t="str">
        <f t="shared" ref="X24:X28" si="155">B24</f>
        <v>박기호</v>
      </c>
      <c r="Y24" s="55">
        <f>IF(T24&lt;800000,0,(VLOOKUP(T24,'세액표(1202)'!A:L,V24+1)))</f>
        <v>117440</v>
      </c>
      <c r="Z24" s="55">
        <f t="shared" ref="Z24:Z28" si="156">ROUNDDOWN(Y24*10%,-1)</f>
        <v>11740</v>
      </c>
      <c r="AA24" s="183">
        <v>85500</v>
      </c>
      <c r="AB24" s="55">
        <f t="shared" si="32"/>
        <v>124200</v>
      </c>
      <c r="AC24" s="55">
        <f t="shared" si="14"/>
        <v>16310</v>
      </c>
      <c r="AD24" s="55">
        <f t="shared" ref="AD24:AD28" si="157">ROUNDDOWN(T24*0.9%,-1)</f>
        <v>31090</v>
      </c>
      <c r="AE24" s="70">
        <f t="shared" ref="AE24:AE31" si="158">L24</f>
        <v>0</v>
      </c>
      <c r="AF24" s="129"/>
      <c r="AG24" s="132">
        <f t="shared" ref="AG24:AG28" si="159">SUM(Y24:AF24)</f>
        <v>386280</v>
      </c>
      <c r="AH24" s="54">
        <f t="shared" ref="AH24:AH28" si="160">T24-AG24</f>
        <v>3068558.7096774192</v>
      </c>
      <c r="AI24" s="77" t="str">
        <f>VLOOKUP(D24,'정직원 (2)'!$F$4:$M$25,8,0)</f>
        <v>0.5추가</v>
      </c>
      <c r="AJ24" s="22">
        <f t="shared" ref="AJ24:AJ28" ca="1" si="161">DATEDIF(DATE(IF(VALUE(LEFT(D24,2))&gt;22,1900,2000)+VALUE(LEFT(D24,2)),VALUE(MID(D24,3,2)),VALUE(MID(D24,5,2))),TODAY(),"Y")</f>
        <v>24</v>
      </c>
      <c r="AK24" s="22" t="str">
        <f t="shared" si="38"/>
        <v>OK</v>
      </c>
      <c r="AL24" s="22">
        <v>3353225.8064516131</v>
      </c>
      <c r="AO24" s="22">
        <v>3410000</v>
      </c>
      <c r="AP24" s="159">
        <v>3300000</v>
      </c>
      <c r="AQ24" s="159">
        <v>958070</v>
      </c>
      <c r="AR24" s="159">
        <v>3364390</v>
      </c>
      <c r="AS24" s="159">
        <v>3566129.0322580645</v>
      </c>
      <c r="AT24" s="159">
        <v>3300000</v>
      </c>
      <c r="AU24" s="159">
        <v>2341940</v>
      </c>
      <c r="AV24" s="159" t="e">
        <v>#N/A</v>
      </c>
      <c r="AW24" s="159" t="e">
        <v>#N/A</v>
      </c>
    </row>
    <row r="25" spans="1:50" s="22" customFormat="1" ht="20.45" customHeight="1" x14ac:dyDescent="0.6">
      <c r="A25" s="122">
        <f t="shared" si="0"/>
        <v>20</v>
      </c>
      <c r="B25" s="157" t="s">
        <v>362</v>
      </c>
      <c r="C25" s="156" t="str">
        <f>INDEX('정직원 (2)'!$B$4:$B$77,MATCH(임금대장!B25,'정직원 (2)'!$C$4:$C$77,0))</f>
        <v>핫/즉석</v>
      </c>
      <c r="D25" s="122" t="str">
        <f>VLOOKUP(B25,'정직원 (2)'!$C$4:$F$77,4,0)</f>
        <v>830909-1247317</v>
      </c>
      <c r="E25" s="116">
        <f>VLOOKUP(B25,'정직원 (2)'!$C$4:$J$81,8,0)</f>
        <v>45870</v>
      </c>
      <c r="F25" s="116">
        <f>VLOOKUP(B25,'정직원 (2)'!$C$4:$L$81,10,0)</f>
        <v>0</v>
      </c>
      <c r="G25" s="129">
        <f>VLOOKUP(B25,'정직원 (2)'!$C$4:$F$81,3,0)</f>
        <v>4300000</v>
      </c>
      <c r="H25" s="96">
        <f t="shared" ref="H25" si="162">ROUNDDOWN(G25/291,0)</f>
        <v>14776</v>
      </c>
      <c r="I25" s="97">
        <f t="shared" si="127"/>
        <v>3088316</v>
      </c>
      <c r="J25" s="97">
        <f t="shared" si="113"/>
        <v>963436</v>
      </c>
      <c r="K25" s="97">
        <f t="shared" si="114"/>
        <v>130035</v>
      </c>
      <c r="L25" s="223">
        <f>VLOOKUP(B25,'정직원 (2)'!$C$4:$O$95,13,0)</f>
        <v>0</v>
      </c>
      <c r="M25" s="97">
        <f t="shared" si="115"/>
        <v>118214</v>
      </c>
      <c r="N25" s="120">
        <f t="shared" si="23"/>
        <v>485483.87096774194</v>
      </c>
      <c r="O25" s="218">
        <f t="shared" ref="O25" si="163">$O$3-P25</f>
        <v>31</v>
      </c>
      <c r="P25" s="137">
        <f t="shared" si="25"/>
        <v>0</v>
      </c>
      <c r="Q25" s="96">
        <f t="shared" si="26"/>
        <v>0</v>
      </c>
      <c r="R25" s="103"/>
      <c r="S25" s="96">
        <f t="shared" ref="S25" si="164">ROUNDDOWN(H25*R25,-1)</f>
        <v>0</v>
      </c>
      <c r="T25" s="132">
        <f t="shared" ref="T25" si="165">G25-Q25-S25+N25+L25</f>
        <v>4785483.8709677421</v>
      </c>
      <c r="U25" s="73">
        <v>1800000</v>
      </c>
      <c r="V25" s="64" t="s">
        <v>34</v>
      </c>
      <c r="W25" s="72">
        <f t="shared" ref="W25" si="166">A25</f>
        <v>20</v>
      </c>
      <c r="X25" s="72" t="str">
        <f t="shared" ref="X25" si="167">B25</f>
        <v>황지현</v>
      </c>
      <c r="Y25" s="55">
        <f>IF(T25&lt;800000,0,(VLOOKUP(T25,'세액표(1202)'!A:L,V25+1)))</f>
        <v>301810</v>
      </c>
      <c r="Z25" s="55">
        <f t="shared" ref="Z25" si="168">ROUNDDOWN(Y25*10%,-1)</f>
        <v>30180</v>
      </c>
      <c r="AA25" s="183">
        <v>85500</v>
      </c>
      <c r="AB25" s="55">
        <f t="shared" si="32"/>
        <v>172030</v>
      </c>
      <c r="AC25" s="55">
        <f t="shared" si="14"/>
        <v>22600</v>
      </c>
      <c r="AD25" s="55">
        <f t="shared" ref="AD25" si="169">ROUNDDOWN(T25*0.9%,-1)</f>
        <v>43060</v>
      </c>
      <c r="AE25" s="70">
        <f t="shared" ref="AE25" si="170">L25</f>
        <v>0</v>
      </c>
      <c r="AF25" s="129"/>
      <c r="AG25" s="132">
        <f t="shared" ref="AG25" si="171">SUM(Y25:AF25)</f>
        <v>655180</v>
      </c>
      <c r="AH25" s="54">
        <f t="shared" ref="AH25" si="172">T25-AG25</f>
        <v>4130303.8709677421</v>
      </c>
      <c r="AI25" s="77" t="str">
        <f>VLOOKUP(D25,'정직원 (2)'!$F$4:$M$90,8,0)</f>
        <v>3.5추가</v>
      </c>
      <c r="AJ25" s="22">
        <f t="shared" ref="AJ25" ca="1" si="173">DATEDIF(DATE(IF(VALUE(LEFT(D25,2))&gt;22,1900,2000)+VALUE(LEFT(D25,2)),VALUE(MID(D25,3,2)),VALUE(MID(D25,5,2))),TODAY(),"Y")</f>
        <v>42</v>
      </c>
      <c r="AK25" s="22" t="str">
        <f t="shared" si="38"/>
        <v>OK</v>
      </c>
      <c r="AL25" s="22">
        <v>5646774.1935483869</v>
      </c>
      <c r="AO25" s="22">
        <v>5300000</v>
      </c>
      <c r="AP25" s="159">
        <v>1490330</v>
      </c>
      <c r="AQ25" s="159">
        <v>798390</v>
      </c>
      <c r="AR25" s="159">
        <v>3364390</v>
      </c>
      <c r="AS25" s="159">
        <v>3566129.0322580645</v>
      </c>
      <c r="AT25" s="159">
        <v>3300000</v>
      </c>
      <c r="AU25" s="159">
        <v>2341940</v>
      </c>
      <c r="AV25" s="159" t="e">
        <v>#N/A</v>
      </c>
      <c r="AW25" s="159" t="e">
        <v>#N/A</v>
      </c>
    </row>
    <row r="26" spans="1:50" s="22" customFormat="1" ht="20.45" customHeight="1" x14ac:dyDescent="0.6">
      <c r="A26" s="122">
        <f t="shared" si="0"/>
        <v>21</v>
      </c>
      <c r="B26" s="157" t="s">
        <v>347</v>
      </c>
      <c r="C26" s="156" t="str">
        <f>INDEX('정직원 (2)'!$B$4:$B$77,MATCH(임금대장!B26,'정직원 (2)'!$C$4:$C$77,0))</f>
        <v>롤</v>
      </c>
      <c r="D26" s="122" t="str">
        <f>VLOOKUP(B26,'정직원 (2)'!$C$4:$F$77,4,0)</f>
        <v>691020-6760016</v>
      </c>
      <c r="E26" s="116">
        <f>VLOOKUP(B26,'정직원 (2)'!$C$4:$J$81,8,0)</f>
        <v>45887</v>
      </c>
      <c r="F26" s="116">
        <f>VLOOKUP(B26,'정직원 (2)'!$C$4:$L$81,10,0)</f>
        <v>0</v>
      </c>
      <c r="G26" s="129">
        <f>VLOOKUP(B26,'정직원 (2)'!$C$4:$F$81,3,0)</f>
        <v>3300000</v>
      </c>
      <c r="H26" s="96">
        <f t="shared" si="150"/>
        <v>11340</v>
      </c>
      <c r="I26" s="97">
        <f t="shared" si="127"/>
        <v>2370103</v>
      </c>
      <c r="J26" s="97">
        <f t="shared" si="113"/>
        <v>739381</v>
      </c>
      <c r="K26" s="97">
        <f t="shared" si="114"/>
        <v>99794</v>
      </c>
      <c r="L26" s="223">
        <f>VLOOKUP(B26,'정직원 (2)'!$C$4:$O$95,13,0)</f>
        <v>0</v>
      </c>
      <c r="M26" s="97">
        <f t="shared" si="115"/>
        <v>90722</v>
      </c>
      <c r="N26" s="120">
        <f t="shared" si="23"/>
        <v>53225.806451612902</v>
      </c>
      <c r="O26" s="218">
        <f t="shared" si="151"/>
        <v>31</v>
      </c>
      <c r="P26" s="137">
        <f t="shared" si="25"/>
        <v>0</v>
      </c>
      <c r="Q26" s="96">
        <f t="shared" si="26"/>
        <v>0</v>
      </c>
      <c r="R26" s="103"/>
      <c r="S26" s="96">
        <f t="shared" si="152"/>
        <v>0</v>
      </c>
      <c r="T26" s="132">
        <f t="shared" si="153"/>
        <v>3353225.8064516131</v>
      </c>
      <c r="U26" s="73">
        <v>1800000</v>
      </c>
      <c r="V26" s="64" t="s">
        <v>34</v>
      </c>
      <c r="W26" s="72">
        <f t="shared" si="154"/>
        <v>21</v>
      </c>
      <c r="X26" s="72" t="str">
        <f t="shared" si="155"/>
        <v>허옥자</v>
      </c>
      <c r="Y26" s="55">
        <f>IF(T26&lt;800000,0,(VLOOKUP(T26,'세액표(1202)'!A:L,V26+1)))</f>
        <v>105210</v>
      </c>
      <c r="Z26" s="55">
        <f t="shared" si="156"/>
        <v>10520</v>
      </c>
      <c r="AA26" s="183">
        <v>85500</v>
      </c>
      <c r="AB26" s="55">
        <f t="shared" si="32"/>
        <v>120540</v>
      </c>
      <c r="AC26" s="55">
        <f t="shared" si="14"/>
        <v>15830</v>
      </c>
      <c r="AD26" s="55">
        <f t="shared" si="157"/>
        <v>30170</v>
      </c>
      <c r="AE26" s="70">
        <f t="shared" si="158"/>
        <v>0</v>
      </c>
      <c r="AF26" s="129"/>
      <c r="AG26" s="132">
        <f t="shared" si="159"/>
        <v>367770</v>
      </c>
      <c r="AH26" s="54">
        <f t="shared" si="160"/>
        <v>2985455.8064516131</v>
      </c>
      <c r="AI26" s="77" t="str">
        <f>VLOOKUP(D26,'정직원 (2)'!$F$4:$M$25,8,0)</f>
        <v>0.5추가</v>
      </c>
      <c r="AJ26" s="22">
        <f t="shared" ca="1" si="161"/>
        <v>56</v>
      </c>
      <c r="AK26" s="22" t="str">
        <f t="shared" si="38"/>
        <v>OK</v>
      </c>
      <c r="AL26" s="22">
        <v>3353225.8064516131</v>
      </c>
      <c r="AO26" s="22">
        <v>3300000</v>
      </c>
      <c r="AP26" s="159">
        <v>1490330</v>
      </c>
      <c r="AQ26" s="159">
        <v>798390</v>
      </c>
      <c r="AR26" s="159">
        <v>3364390</v>
      </c>
      <c r="AS26" s="159">
        <v>3566129.0322580645</v>
      </c>
      <c r="AT26" s="159">
        <v>3300000</v>
      </c>
      <c r="AU26" s="159">
        <v>2341940</v>
      </c>
      <c r="AV26" s="159" t="e">
        <v>#N/A</v>
      </c>
      <c r="AW26" s="159" t="e">
        <v>#N/A</v>
      </c>
    </row>
    <row r="27" spans="1:50" s="22" customFormat="1" ht="20.45" customHeight="1" x14ac:dyDescent="0.6">
      <c r="A27" s="122">
        <f t="shared" si="0"/>
        <v>22</v>
      </c>
      <c r="B27" s="157" t="s">
        <v>349</v>
      </c>
      <c r="C27" s="156">
        <f>INDEX('정직원 (2)'!$B$4:$B$77,MATCH(임금대장!B27,'정직원 (2)'!$C$4:$C$77,0))</f>
        <v>0</v>
      </c>
      <c r="D27" s="122" t="str">
        <f>VLOOKUP(B27,'정직원 (2)'!$C$4:$F$77,4,0)</f>
        <v>660414-6101593</v>
      </c>
      <c r="E27" s="116">
        <f>VLOOKUP(B27,'정직원 (2)'!$C$4:$J$81,8,0)</f>
        <v>45888</v>
      </c>
      <c r="F27" s="116">
        <f>VLOOKUP(B27,'정직원 (2)'!$C$4:$L$81,10,0)</f>
        <v>0</v>
      </c>
      <c r="G27" s="129">
        <f>VLOOKUP(B27,'정직원 (2)'!$C$4:$F$81,3,0)</f>
        <v>3300000</v>
      </c>
      <c r="H27" s="96">
        <f t="shared" si="150"/>
        <v>11340</v>
      </c>
      <c r="I27" s="97">
        <f t="shared" si="127"/>
        <v>2370103</v>
      </c>
      <c r="J27" s="97">
        <f t="shared" si="113"/>
        <v>739381</v>
      </c>
      <c r="K27" s="97">
        <f t="shared" si="114"/>
        <v>99794</v>
      </c>
      <c r="L27" s="223">
        <f>VLOOKUP(B27,'정직원 (2)'!$C$4:$O$95,13,0)</f>
        <v>0</v>
      </c>
      <c r="M27" s="97">
        <f t="shared" si="115"/>
        <v>90722</v>
      </c>
      <c r="N27" s="120">
        <f t="shared" si="23"/>
        <v>0</v>
      </c>
      <c r="O27" s="219">
        <f t="shared" si="151"/>
        <v>29.5</v>
      </c>
      <c r="P27" s="137">
        <f t="shared" si="25"/>
        <v>1.5</v>
      </c>
      <c r="Q27" s="96">
        <f t="shared" si="26"/>
        <v>159670</v>
      </c>
      <c r="R27" s="103"/>
      <c r="S27" s="96">
        <f t="shared" si="152"/>
        <v>0</v>
      </c>
      <c r="T27" s="132">
        <f t="shared" si="153"/>
        <v>3140330</v>
      </c>
      <c r="U27" s="73">
        <v>1800000</v>
      </c>
      <c r="V27" s="64" t="s">
        <v>34</v>
      </c>
      <c r="W27" s="72">
        <f t="shared" si="154"/>
        <v>22</v>
      </c>
      <c r="X27" s="72" t="str">
        <f t="shared" si="155"/>
        <v>이금향</v>
      </c>
      <c r="Y27" s="55">
        <f>IF(T27&lt;800000,0,(VLOOKUP(T27,'세액표(1202)'!A:L,V27+1)))</f>
        <v>84620</v>
      </c>
      <c r="Z27" s="55">
        <f t="shared" si="156"/>
        <v>8460</v>
      </c>
      <c r="AA27" s="183">
        <v>85500</v>
      </c>
      <c r="AB27" s="55">
        <f t="shared" si="32"/>
        <v>112890</v>
      </c>
      <c r="AC27" s="55">
        <f t="shared" si="14"/>
        <v>14830</v>
      </c>
      <c r="AD27" s="55">
        <f t="shared" si="157"/>
        <v>28260</v>
      </c>
      <c r="AE27" s="70">
        <f t="shared" si="158"/>
        <v>0</v>
      </c>
      <c r="AF27" s="129"/>
      <c r="AG27" s="132">
        <f t="shared" si="159"/>
        <v>334560</v>
      </c>
      <c r="AH27" s="54">
        <f t="shared" si="160"/>
        <v>2805770</v>
      </c>
      <c r="AI27" s="77" t="str">
        <f>VLOOKUP(D27,'정직원 (2)'!$F$4:$M$81,8,0)</f>
        <v>1.5차감</v>
      </c>
      <c r="AJ27" s="22">
        <f t="shared" ca="1" si="161"/>
        <v>59</v>
      </c>
      <c r="AK27" s="22" t="str">
        <f t="shared" si="38"/>
        <v>OK</v>
      </c>
      <c r="AL27" s="22">
        <v>3353225.8064516131</v>
      </c>
      <c r="AO27" s="22">
        <v>3300000</v>
      </c>
      <c r="AP27" s="159">
        <v>1383880</v>
      </c>
      <c r="AQ27" s="159">
        <v>958070</v>
      </c>
      <c r="AR27" s="159">
        <v>3364390</v>
      </c>
      <c r="AS27" s="159">
        <v>3566129.0322580645</v>
      </c>
      <c r="AT27" s="159">
        <v>3300000</v>
      </c>
      <c r="AU27" s="159">
        <v>2341940</v>
      </c>
      <c r="AV27" s="159" t="e">
        <v>#N/A</v>
      </c>
      <c r="AW27" s="159" t="e">
        <v>#N/A</v>
      </c>
    </row>
    <row r="28" spans="1:50" s="22" customFormat="1" ht="20.45" customHeight="1" x14ac:dyDescent="0.6">
      <c r="A28" s="122">
        <f t="shared" si="0"/>
        <v>23</v>
      </c>
      <c r="B28" s="157" t="s">
        <v>348</v>
      </c>
      <c r="C28" s="156" t="str">
        <f>INDEX('정직원 (2)'!$B$4:$B$77,MATCH(임금대장!B28,'정직원 (2)'!$C$4:$C$77,0))</f>
        <v>샐러드</v>
      </c>
      <c r="D28" s="122" t="str">
        <f>VLOOKUP(B28,'정직원 (2)'!$C$4:$F$77,4,0)</f>
        <v>861016-6100690</v>
      </c>
      <c r="E28" s="116">
        <f>VLOOKUP(B28,'정직원 (2)'!$C$4:$J$81,8,0)</f>
        <v>45890</v>
      </c>
      <c r="F28" s="116">
        <f>VLOOKUP(B28,'정직원 (2)'!$C$4:$L$81,10,0)</f>
        <v>46046</v>
      </c>
      <c r="G28" s="129">
        <f>VLOOKUP(B28,'정직원 (2)'!$C$4:$F$81,3,0)</f>
        <v>3300000</v>
      </c>
      <c r="H28" s="96">
        <f t="shared" si="150"/>
        <v>11340</v>
      </c>
      <c r="I28" s="97">
        <f t="shared" si="127"/>
        <v>2370103</v>
      </c>
      <c r="J28" s="97">
        <f t="shared" si="113"/>
        <v>739381</v>
      </c>
      <c r="K28" s="97">
        <f t="shared" si="114"/>
        <v>99794</v>
      </c>
      <c r="L28" s="223">
        <f>VLOOKUP(B28,'정직원 (2)'!$C$4:$O$95,13,0)</f>
        <v>0</v>
      </c>
      <c r="M28" s="97">
        <f t="shared" si="115"/>
        <v>90722</v>
      </c>
      <c r="N28" s="120">
        <f t="shared" si="23"/>
        <v>0</v>
      </c>
      <c r="O28" s="219">
        <f t="shared" si="151"/>
        <v>24</v>
      </c>
      <c r="P28" s="137">
        <f t="shared" si="25"/>
        <v>7</v>
      </c>
      <c r="Q28" s="96">
        <f t="shared" si="26"/>
        <v>745160</v>
      </c>
      <c r="R28" s="103"/>
      <c r="S28" s="96">
        <f t="shared" si="152"/>
        <v>0</v>
      </c>
      <c r="T28" s="132">
        <f t="shared" si="153"/>
        <v>2554840</v>
      </c>
      <c r="U28" s="73">
        <v>1800000</v>
      </c>
      <c r="V28" s="64" t="s">
        <v>34</v>
      </c>
      <c r="W28" s="72">
        <f t="shared" si="154"/>
        <v>23</v>
      </c>
      <c r="X28" s="72" t="str">
        <f t="shared" si="155"/>
        <v>김린</v>
      </c>
      <c r="Y28" s="55">
        <f>IF(T28&lt;800000,0,(VLOOKUP(T28,'세액표(1202)'!A:L,V28+1)))</f>
        <v>36970</v>
      </c>
      <c r="Z28" s="55">
        <f t="shared" si="156"/>
        <v>3690</v>
      </c>
      <c r="AA28" s="183">
        <v>85500</v>
      </c>
      <c r="AB28" s="55">
        <f t="shared" si="32"/>
        <v>91840</v>
      </c>
      <c r="AC28" s="55">
        <f t="shared" si="14"/>
        <v>12060</v>
      </c>
      <c r="AD28" s="55">
        <f t="shared" si="157"/>
        <v>22990</v>
      </c>
      <c r="AE28" s="70">
        <f t="shared" si="158"/>
        <v>0</v>
      </c>
      <c r="AF28" s="129"/>
      <c r="AG28" s="132">
        <f t="shared" si="159"/>
        <v>253050</v>
      </c>
      <c r="AH28" s="54">
        <f t="shared" si="160"/>
        <v>2301790</v>
      </c>
      <c r="AI28" s="77">
        <f>VLOOKUP(D28,'정직원 (2)'!$F$4:$M$90,8,0)</f>
        <v>0</v>
      </c>
      <c r="AJ28" s="22">
        <f t="shared" ca="1" si="161"/>
        <v>39</v>
      </c>
      <c r="AK28" s="22" t="str">
        <f t="shared" si="38"/>
        <v>INVALID TAG</v>
      </c>
      <c r="AL28" s="22">
        <v>3353225.8064516131</v>
      </c>
      <c r="AO28" s="22">
        <v>3300000</v>
      </c>
      <c r="AP28" s="159">
        <v>1170970</v>
      </c>
      <c r="AQ28" s="159">
        <v>987100</v>
      </c>
      <c r="AR28" s="159">
        <v>3364390</v>
      </c>
      <c r="AS28" s="159">
        <v>3566129.0322580645</v>
      </c>
      <c r="AT28" s="159">
        <v>3300000</v>
      </c>
      <c r="AU28" s="159">
        <v>2341940</v>
      </c>
      <c r="AV28" s="159" t="e">
        <v>#N/A</v>
      </c>
      <c r="AW28" s="159" t="e">
        <v>#N/A</v>
      </c>
    </row>
    <row r="29" spans="1:50" s="22" customFormat="1" ht="20.45" customHeight="1" x14ac:dyDescent="0.6">
      <c r="A29" s="122">
        <f t="shared" si="0"/>
        <v>24</v>
      </c>
      <c r="B29" s="157" t="s">
        <v>359</v>
      </c>
      <c r="C29" s="156" t="str">
        <f>INDEX('정직원 (2)'!$B$4:$B$77,MATCH(임금대장!B29,'정직원 (2)'!$C$4:$C$77,0))</f>
        <v>홀</v>
      </c>
      <c r="D29" s="122" t="str">
        <f>VLOOKUP(B29,'정직원 (2)'!$C$4:$F$77,4,0)</f>
        <v>061020-3178512</v>
      </c>
      <c r="E29" s="116">
        <f>VLOOKUP(B29,'정직원 (2)'!$C$4:$J$81,8,0)</f>
        <v>45901</v>
      </c>
      <c r="F29" s="116">
        <f>VLOOKUP(B29,'정직원 (2)'!$C$4:$L$81,10,0)</f>
        <v>46022</v>
      </c>
      <c r="G29" s="129">
        <f>VLOOKUP(B29,'정직원 (2)'!$C$4:$F$81,3,0)</f>
        <v>3200000</v>
      </c>
      <c r="H29" s="96">
        <f t="shared" ref="H29:H32" si="174">ROUNDDOWN(G29/291,0)</f>
        <v>10996</v>
      </c>
      <c r="I29" s="97">
        <f>ROUNDUP(($G29/291*209),0)</f>
        <v>2298282</v>
      </c>
      <c r="J29" s="97">
        <f t="shared" si="113"/>
        <v>716975</v>
      </c>
      <c r="K29" s="97">
        <f t="shared" si="114"/>
        <v>96770</v>
      </c>
      <c r="L29" s="223">
        <f>VLOOKUP(B29,'정직원 (2)'!$C$4:$O$95,13,0)</f>
        <v>0</v>
      </c>
      <c r="M29" s="97">
        <f t="shared" si="115"/>
        <v>87973</v>
      </c>
      <c r="N29" s="120">
        <f t="shared" si="23"/>
        <v>0</v>
      </c>
      <c r="O29" s="218">
        <f t="shared" ref="O29:O32" si="175">$O$3-P29</f>
        <v>0</v>
      </c>
      <c r="P29" s="137">
        <v>31</v>
      </c>
      <c r="Q29" s="96">
        <f t="shared" si="26"/>
        <v>3200000</v>
      </c>
      <c r="R29" s="103"/>
      <c r="S29" s="96">
        <f t="shared" ref="S29:S32" si="176">ROUNDDOWN(H29*R29,-1)</f>
        <v>0</v>
      </c>
      <c r="T29" s="132">
        <f t="shared" ref="T29:T32" si="177">G29-Q29-S29+N29+L29</f>
        <v>0</v>
      </c>
      <c r="U29" s="73">
        <v>1800000</v>
      </c>
      <c r="V29" s="64" t="s">
        <v>34</v>
      </c>
      <c r="W29" s="72">
        <f t="shared" ref="W29:W32" si="178">A29</f>
        <v>24</v>
      </c>
      <c r="X29" s="72" t="str">
        <f t="shared" ref="X29:X32" si="179">B29</f>
        <v>박성재</v>
      </c>
      <c r="Y29" s="55">
        <f>IF(T29&lt;800000,0,(VLOOKUP(T29,'세액표(1202)'!A:L,V29+1)))</f>
        <v>0</v>
      </c>
      <c r="Z29" s="55">
        <f t="shared" ref="Z29:Z32" si="180">ROUNDDOWN(Y29*10%,-1)</f>
        <v>0</v>
      </c>
      <c r="AA29" s="183"/>
      <c r="AB29" s="55">
        <f t="shared" si="32"/>
        <v>0</v>
      </c>
      <c r="AC29" s="55">
        <f t="shared" si="14"/>
        <v>0</v>
      </c>
      <c r="AD29" s="55">
        <f t="shared" ref="AD29:AD32" si="181">ROUNDDOWN(T29*0.9%,-1)</f>
        <v>0</v>
      </c>
      <c r="AE29" s="70">
        <f t="shared" si="158"/>
        <v>0</v>
      </c>
      <c r="AF29" s="129"/>
      <c r="AG29" s="132">
        <f t="shared" ref="AG29:AG32" si="182">SUM(Y29:AF29)</f>
        <v>0</v>
      </c>
      <c r="AH29" s="54">
        <f t="shared" ref="AH29:AH32" si="183">T29-AG29</f>
        <v>0</v>
      </c>
      <c r="AI29" s="77">
        <f>VLOOKUP(D29,'정직원 (2)'!$F$4:$M$81,8,0)</f>
        <v>0</v>
      </c>
      <c r="AJ29" s="22">
        <f t="shared" ref="AJ29:AJ32" ca="1" si="184">DATEDIF(DATE(IF(VALUE(LEFT(D29,2))&gt;22,1900,2000)+VALUE(LEFT(D29,2)),VALUE(MID(D29,3,2)),VALUE(MID(D29,5,2))),TODAY(),"Y")</f>
        <v>19</v>
      </c>
      <c r="AK29" s="22" t="str">
        <f t="shared" si="38"/>
        <v>INVALID TAG</v>
      </c>
      <c r="AL29" s="22">
        <v>3251612.9032258065</v>
      </c>
      <c r="AO29" s="22">
        <v>3200000</v>
      </c>
      <c r="AP29" s="159">
        <v>790330</v>
      </c>
      <c r="AQ29" s="159">
        <v>798390</v>
      </c>
      <c r="AR29" s="159">
        <v>3364390</v>
      </c>
      <c r="AS29" s="159">
        <v>3566129.0322580645</v>
      </c>
      <c r="AT29" s="159">
        <v>3300000</v>
      </c>
      <c r="AU29" s="159">
        <v>2341940</v>
      </c>
      <c r="AV29" s="159" t="e">
        <v>#N/A</v>
      </c>
      <c r="AW29" s="159" t="e">
        <v>#N/A</v>
      </c>
    </row>
    <row r="30" spans="1:50" s="22" customFormat="1" ht="20.45" customHeight="1" x14ac:dyDescent="0.6">
      <c r="A30" s="122">
        <f t="shared" si="0"/>
        <v>25</v>
      </c>
      <c r="B30" s="157" t="s">
        <v>324</v>
      </c>
      <c r="C30" s="156" t="str">
        <f>INDEX('정직원 (2)'!$B$4:$B$20,MATCH(임금대장!B30,'정직원 (2)'!$C$4:$C$20,0))</f>
        <v>롤</v>
      </c>
      <c r="D30" s="122" t="str">
        <f>VLOOKUP(B30,'정직원 (2)'!$C$4:$F$20,4,0)</f>
        <v>770210-6102899</v>
      </c>
      <c r="E30" s="116">
        <v>45901</v>
      </c>
      <c r="F30" s="116">
        <f>VLOOKUP(B30,'정직원 (2)'!$C$4:$L$81,10,0)</f>
        <v>0</v>
      </c>
      <c r="G30" s="129">
        <f>VLOOKUP(B30,'정직원 (2)'!$C$4:$F$81,3,0)</f>
        <v>3300000</v>
      </c>
      <c r="H30" s="96">
        <f t="shared" si="174"/>
        <v>11340</v>
      </c>
      <c r="I30" s="97">
        <f t="shared" si="127"/>
        <v>2370103</v>
      </c>
      <c r="J30" s="97">
        <f t="shared" si="113"/>
        <v>739381</v>
      </c>
      <c r="K30" s="97">
        <f t="shared" si="114"/>
        <v>99794</v>
      </c>
      <c r="L30" s="223">
        <f>VLOOKUP(B30,'정직원 (2)'!$C$4:$O$95,13,0)</f>
        <v>0</v>
      </c>
      <c r="M30" s="97">
        <f t="shared" si="115"/>
        <v>90722</v>
      </c>
      <c r="N30" s="120">
        <f t="shared" si="23"/>
        <v>159677.4193548387</v>
      </c>
      <c r="O30" s="218">
        <f t="shared" si="175"/>
        <v>31</v>
      </c>
      <c r="P30" s="137">
        <f t="shared" si="25"/>
        <v>0</v>
      </c>
      <c r="Q30" s="96">
        <f t="shared" si="26"/>
        <v>0</v>
      </c>
      <c r="R30" s="103"/>
      <c r="S30" s="96">
        <f t="shared" si="176"/>
        <v>0</v>
      </c>
      <c r="T30" s="132">
        <f t="shared" si="177"/>
        <v>3459677.4193548388</v>
      </c>
      <c r="U30" s="73">
        <v>1800000</v>
      </c>
      <c r="V30" s="64" t="s">
        <v>34</v>
      </c>
      <c r="W30" s="72">
        <f t="shared" si="178"/>
        <v>25</v>
      </c>
      <c r="X30" s="72" t="str">
        <f t="shared" si="179"/>
        <v>김연희</v>
      </c>
      <c r="Y30" s="55">
        <f>IF(T30&lt;800000,0,(VLOOKUP(T30,'세액표(1202)'!A:L,V30+1)))</f>
        <v>117440</v>
      </c>
      <c r="Z30" s="55">
        <f t="shared" ref="Z30" si="185">ROUNDDOWN(Y30*10%,-1)</f>
        <v>11740</v>
      </c>
      <c r="AA30" s="183">
        <v>85500</v>
      </c>
      <c r="AB30" s="55">
        <f t="shared" si="32"/>
        <v>124370</v>
      </c>
      <c r="AC30" s="55">
        <f t="shared" si="14"/>
        <v>16340</v>
      </c>
      <c r="AD30" s="181"/>
      <c r="AE30" s="70">
        <f t="shared" si="158"/>
        <v>0</v>
      </c>
      <c r="AF30" s="129"/>
      <c r="AG30" s="132">
        <f t="shared" ref="AG30" si="186">SUM(Y30:AF30)</f>
        <v>355390</v>
      </c>
      <c r="AH30" s="54">
        <f t="shared" si="183"/>
        <v>3104287.4193548388</v>
      </c>
      <c r="AI30" s="77" t="str">
        <f>VLOOKUP(D30,'정직원 (2)'!$F$4:$M$25,8,0)</f>
        <v>1.5추가</v>
      </c>
      <c r="AJ30" s="22">
        <f t="shared" ca="1" si="184"/>
        <v>48</v>
      </c>
      <c r="AK30" s="22" t="str">
        <f t="shared" si="38"/>
        <v>OK</v>
      </c>
      <c r="AL30" s="22">
        <v>3406451.6129032257</v>
      </c>
      <c r="AO30" s="22">
        <v>3080000</v>
      </c>
      <c r="AP30" s="159">
        <v>3353225.8064516131</v>
      </c>
      <c r="AQ30" s="159">
        <v>3140330</v>
      </c>
      <c r="AR30" s="159">
        <v>2530000</v>
      </c>
      <c r="AS30" s="159">
        <v>3566129.0322580645</v>
      </c>
      <c r="AT30" s="159">
        <v>3300000</v>
      </c>
      <c r="AU30" s="159">
        <v>2341940</v>
      </c>
      <c r="AV30" s="159" t="e">
        <v>#N/A</v>
      </c>
      <c r="AW30" s="159" t="e">
        <v>#N/A</v>
      </c>
    </row>
    <row r="31" spans="1:50" s="22" customFormat="1" ht="20.45" customHeight="1" x14ac:dyDescent="0.6">
      <c r="A31" s="122">
        <f t="shared" si="0"/>
        <v>26</v>
      </c>
      <c r="B31" s="157" t="s">
        <v>358</v>
      </c>
      <c r="C31" s="156" t="str">
        <f>INDEX('정직원 (2)'!$B$4:$B$77,MATCH(임금대장!B31,'정직원 (2)'!$C$4:$C$77,0))</f>
        <v>핫/즉석</v>
      </c>
      <c r="D31" s="122" t="str">
        <f>VLOOKUP(B31,'정직원 (2)'!$C$4:$F$77,4,0)</f>
        <v>000316-3154622</v>
      </c>
      <c r="E31" s="116">
        <f>VLOOKUP(B31,'정직원 (2)'!$C$4:$J$81,8,0)</f>
        <v>45908</v>
      </c>
      <c r="F31" s="116">
        <v>46033</v>
      </c>
      <c r="G31" s="129">
        <v>3200000</v>
      </c>
      <c r="H31" s="96">
        <f t="shared" ref="H31" si="187">ROUNDDOWN(G31/291,0)</f>
        <v>10996</v>
      </c>
      <c r="I31" s="97">
        <f>ROUNDUP(($G31/291*209),0)</f>
        <v>2298282</v>
      </c>
      <c r="J31" s="97">
        <f t="shared" si="113"/>
        <v>716975</v>
      </c>
      <c r="K31" s="97">
        <f t="shared" si="114"/>
        <v>96770</v>
      </c>
      <c r="L31" s="223">
        <f>VLOOKUP(B31,'정직원 (2)'!$C$4:$O$95,13,0)</f>
        <v>0</v>
      </c>
      <c r="M31" s="97">
        <f t="shared" si="115"/>
        <v>87973</v>
      </c>
      <c r="N31" s="120"/>
      <c r="O31" s="218">
        <f t="shared" ref="O31" si="188">$O$3-P31</f>
        <v>11</v>
      </c>
      <c r="P31" s="137">
        <f t="shared" si="25"/>
        <v>20</v>
      </c>
      <c r="Q31" s="96">
        <f t="shared" si="26"/>
        <v>2064510</v>
      </c>
      <c r="R31" s="103"/>
      <c r="S31" s="96">
        <f t="shared" ref="S31" si="189">ROUNDDOWN(H31*R31,-1)</f>
        <v>0</v>
      </c>
      <c r="T31" s="132">
        <f t="shared" ref="T31" si="190">G31-Q31-S31+N31+L31</f>
        <v>1135490</v>
      </c>
      <c r="U31" s="73">
        <v>1800000</v>
      </c>
      <c r="V31" s="64" t="s">
        <v>34</v>
      </c>
      <c r="W31" s="72">
        <f t="shared" ref="W31" si="191">A31</f>
        <v>26</v>
      </c>
      <c r="X31" s="72" t="str">
        <f t="shared" ref="X31" si="192">B31</f>
        <v>전용현</v>
      </c>
      <c r="Y31" s="55"/>
      <c r="Z31" s="55">
        <f t="shared" ref="Z31" si="193">ROUNDDOWN(Y31*10%,-1)</f>
        <v>0</v>
      </c>
      <c r="AA31" s="183">
        <v>85500</v>
      </c>
      <c r="AB31" s="55">
        <f t="shared" si="32"/>
        <v>40820</v>
      </c>
      <c r="AC31" s="55">
        <f t="shared" si="14"/>
        <v>5360</v>
      </c>
      <c r="AD31" s="55">
        <f t="shared" ref="AD31" si="194">ROUNDDOWN(T31*0.9%,-1)</f>
        <v>10210</v>
      </c>
      <c r="AE31" s="70">
        <f t="shared" si="158"/>
        <v>0</v>
      </c>
      <c r="AF31" s="129"/>
      <c r="AG31" s="132">
        <f t="shared" ref="AG31" si="195">SUM(Y31:AF31)</f>
        <v>141890</v>
      </c>
      <c r="AH31" s="54">
        <f t="shared" ref="AH31" si="196">T31-AG31</f>
        <v>993600</v>
      </c>
      <c r="AI31" s="77"/>
      <c r="AJ31" s="22">
        <f t="shared" ref="AJ31" ca="1" si="197">DATEDIF(DATE(IF(VALUE(LEFT(D31,2))&gt;22,1900,2000)+VALUE(LEFT(D31,2)),VALUE(MID(D31,3,2)),VALUE(MID(D31,5,2))),TODAY(),"Y")</f>
        <v>25</v>
      </c>
      <c r="AK31" s="22" t="str">
        <f t="shared" si="38"/>
        <v>NO TAG</v>
      </c>
      <c r="AL31" s="22">
        <v>3251612.9032258065</v>
      </c>
      <c r="AO31" s="22">
        <v>2453340</v>
      </c>
      <c r="AP31" s="159">
        <v>1383880</v>
      </c>
      <c r="AQ31" s="159">
        <v>958070</v>
      </c>
      <c r="AR31" s="159">
        <v>3364390</v>
      </c>
      <c r="AS31" s="159">
        <v>3566129.0322580645</v>
      </c>
      <c r="AT31" s="159">
        <v>3300000</v>
      </c>
      <c r="AU31" s="159">
        <v>2341940</v>
      </c>
      <c r="AV31" s="159" t="e">
        <v>#N/A</v>
      </c>
      <c r="AW31" s="159" t="e">
        <v>#N/A</v>
      </c>
    </row>
    <row r="32" spans="1:50" s="22" customFormat="1" ht="20.45" customHeight="1" x14ac:dyDescent="0.6">
      <c r="A32" s="122">
        <f t="shared" si="0"/>
        <v>27</v>
      </c>
      <c r="B32" s="157" t="s">
        <v>316</v>
      </c>
      <c r="C32" s="156" t="str">
        <f>INDEX('정직원 (2)'!$B$4:$B$77,MATCH(임금대장!B32,'정직원 (2)'!$C$4:$C$77,0))</f>
        <v>핫/즉석</v>
      </c>
      <c r="D32" s="122" t="str">
        <f>VLOOKUP(B32,'정직원 (2)'!$C$4:$F$77,4,0)</f>
        <v>000927-3054211</v>
      </c>
      <c r="E32" s="116">
        <f>VLOOKUP(B32,'정직원 (2)'!$C$4:$J$81,8,0)</f>
        <v>45922</v>
      </c>
      <c r="F32" s="116">
        <f>VLOOKUP(B32,'정직원 (2)'!$C$4:$L$81,10,0)</f>
        <v>0</v>
      </c>
      <c r="G32" s="129">
        <f>VLOOKUP(B32,'정직원 (2)'!$C$4:$F$81,3,0)</f>
        <v>3200000</v>
      </c>
      <c r="H32" s="96">
        <f t="shared" si="174"/>
        <v>10996</v>
      </c>
      <c r="I32" s="97">
        <f>ROUNDUP(($G32/291*209),0)</f>
        <v>2298282</v>
      </c>
      <c r="J32" s="97">
        <f t="shared" si="113"/>
        <v>716975</v>
      </c>
      <c r="K32" s="97">
        <f t="shared" si="114"/>
        <v>96770</v>
      </c>
      <c r="L32" s="223">
        <f>VLOOKUP(B32,'정직원 (2)'!$C$4:$O$95,13,0)</f>
        <v>0</v>
      </c>
      <c r="M32" s="97">
        <f t="shared" si="115"/>
        <v>87973</v>
      </c>
      <c r="N32" s="120">
        <f t="shared" si="23"/>
        <v>154838.70967741936</v>
      </c>
      <c r="O32" s="219">
        <f t="shared" si="175"/>
        <v>31</v>
      </c>
      <c r="P32" s="137">
        <f t="shared" si="25"/>
        <v>0</v>
      </c>
      <c r="Q32" s="96">
        <f t="shared" si="26"/>
        <v>0</v>
      </c>
      <c r="R32" s="103"/>
      <c r="S32" s="96">
        <f t="shared" si="176"/>
        <v>0</v>
      </c>
      <c r="T32" s="132">
        <f t="shared" si="177"/>
        <v>3354838.7096774192</v>
      </c>
      <c r="U32" s="73">
        <v>1800000</v>
      </c>
      <c r="V32" s="64" t="s">
        <v>34</v>
      </c>
      <c r="W32" s="72">
        <f t="shared" si="178"/>
        <v>27</v>
      </c>
      <c r="X32" s="72" t="str">
        <f t="shared" si="179"/>
        <v>노근희</v>
      </c>
      <c r="Y32" s="55">
        <f>IF(T32&lt;800000,0,(VLOOKUP(T32,'세액표(1202)'!A:L,V32+1)))</f>
        <v>105210</v>
      </c>
      <c r="Z32" s="55">
        <f t="shared" si="180"/>
        <v>10520</v>
      </c>
      <c r="AA32" s="183">
        <v>85500</v>
      </c>
      <c r="AB32" s="55">
        <f t="shared" si="32"/>
        <v>120600</v>
      </c>
      <c r="AC32" s="55">
        <f t="shared" si="14"/>
        <v>15840</v>
      </c>
      <c r="AD32" s="55">
        <f t="shared" si="181"/>
        <v>30190</v>
      </c>
      <c r="AE32" s="70">
        <f t="shared" ref="AE32" si="198">L32</f>
        <v>0</v>
      </c>
      <c r="AF32" s="129"/>
      <c r="AG32" s="132">
        <f t="shared" si="182"/>
        <v>367860</v>
      </c>
      <c r="AH32" s="54">
        <f t="shared" si="183"/>
        <v>2986978.7096774192</v>
      </c>
      <c r="AI32" s="77" t="str">
        <f>VLOOKUP(D32,'정직원 (2)'!$F$4:$M$81,8,0)</f>
        <v>1.5추가</v>
      </c>
      <c r="AJ32" s="22">
        <f t="shared" ca="1" si="184"/>
        <v>25</v>
      </c>
      <c r="AK32" s="22" t="str">
        <f t="shared" si="38"/>
        <v>OK</v>
      </c>
      <c r="AL32" s="22">
        <v>3354838.7096774192</v>
      </c>
      <c r="AO32" s="22">
        <v>960000</v>
      </c>
      <c r="AP32" s="159">
        <v>1170970</v>
      </c>
      <c r="AQ32" s="159">
        <v>987100</v>
      </c>
      <c r="AR32" s="159">
        <v>3364390</v>
      </c>
      <c r="AS32" s="159">
        <v>3566129.0322580645</v>
      </c>
      <c r="AT32" s="159">
        <v>3300000</v>
      </c>
      <c r="AU32" s="159">
        <v>2341940</v>
      </c>
      <c r="AV32" s="159" t="e">
        <v>#N/A</v>
      </c>
      <c r="AW32" s="159" t="e">
        <v>#N/A</v>
      </c>
    </row>
    <row r="33" spans="1:49" s="22" customFormat="1" ht="20.45" customHeight="1" x14ac:dyDescent="0.6">
      <c r="A33" s="122">
        <f t="shared" si="0"/>
        <v>28</v>
      </c>
      <c r="B33" s="157" t="s">
        <v>367</v>
      </c>
      <c r="C33" s="156" t="str">
        <f>INDEX('정직원 (2)'!$B$4:$B$77,MATCH(임금대장!B33,'정직원 (2)'!$C$4:$C$77,0))</f>
        <v>초다이</v>
      </c>
      <c r="D33" s="122" t="str">
        <f>VLOOKUP(B33,'정직원 (2)'!$C$4:$F$77,4,0)</f>
        <v>951206-2158027</v>
      </c>
      <c r="E33" s="116">
        <f>VLOOKUP(B33,'정직원 (2)'!$C$4:$J$81,8,0)</f>
        <v>45941</v>
      </c>
      <c r="F33" s="116">
        <f>VLOOKUP(B33,'정직원 (2)'!$C$4:$L$81,10,0)</f>
        <v>0</v>
      </c>
      <c r="G33" s="129">
        <f>VLOOKUP(B33,'정직원 (2)'!$C$4:$F$81,3,0)</f>
        <v>3300000</v>
      </c>
      <c r="H33" s="96">
        <f t="shared" ref="H33" si="199">ROUNDDOWN(G33/291,0)</f>
        <v>11340</v>
      </c>
      <c r="I33" s="97">
        <f t="shared" si="127"/>
        <v>2370103</v>
      </c>
      <c r="J33" s="97">
        <f t="shared" si="113"/>
        <v>739381</v>
      </c>
      <c r="K33" s="97">
        <f t="shared" si="114"/>
        <v>99794</v>
      </c>
      <c r="L33" s="223">
        <f>VLOOKUP(B33,'정직원 (2)'!$C$4:$O$95,13,0)</f>
        <v>0</v>
      </c>
      <c r="M33" s="97">
        <f t="shared" si="115"/>
        <v>90722</v>
      </c>
      <c r="N33" s="120">
        <f t="shared" si="23"/>
        <v>53225.806451612902</v>
      </c>
      <c r="O33" s="218">
        <f t="shared" ref="O33" si="200">$O$3-P33</f>
        <v>31</v>
      </c>
      <c r="P33" s="137">
        <f t="shared" si="25"/>
        <v>0</v>
      </c>
      <c r="Q33" s="96">
        <f t="shared" si="26"/>
        <v>0</v>
      </c>
      <c r="R33" s="103"/>
      <c r="S33" s="96">
        <f t="shared" ref="S33" si="201">ROUNDDOWN(H33*R33,-1)</f>
        <v>0</v>
      </c>
      <c r="T33" s="132">
        <f t="shared" ref="T33" si="202">G33-Q33-S33+N33+L33</f>
        <v>3353225.8064516131</v>
      </c>
      <c r="U33" s="73">
        <v>1800000</v>
      </c>
      <c r="V33" s="64" t="s">
        <v>34</v>
      </c>
      <c r="W33" s="72">
        <f t="shared" ref="W33" si="203">A33</f>
        <v>28</v>
      </c>
      <c r="X33" s="72" t="str">
        <f t="shared" ref="X33" si="204">B33</f>
        <v>강현경</v>
      </c>
      <c r="Y33" s="55">
        <f>IF(T33&lt;800000,0,(VLOOKUP(T33,'세액표(1202)'!A:L,V33+1)))</f>
        <v>105210</v>
      </c>
      <c r="Z33" s="55">
        <f t="shared" ref="Z33" si="205">ROUNDDOWN(Y33*10%,-1)</f>
        <v>10520</v>
      </c>
      <c r="AA33" s="183">
        <v>85500</v>
      </c>
      <c r="AB33" s="55">
        <f t="shared" si="32"/>
        <v>120540</v>
      </c>
      <c r="AC33" s="55">
        <f t="shared" si="14"/>
        <v>15830</v>
      </c>
      <c r="AD33" s="55">
        <f t="shared" ref="AD33" si="206">ROUNDDOWN(T33*0.9%,-1)</f>
        <v>30170</v>
      </c>
      <c r="AE33" s="70">
        <f t="shared" ref="AE33" si="207">L33</f>
        <v>0</v>
      </c>
      <c r="AF33" s="129"/>
      <c r="AG33" s="132">
        <f t="shared" ref="AG33" si="208">SUM(Y33:AF33)</f>
        <v>367770</v>
      </c>
      <c r="AH33" s="54">
        <f t="shared" ref="AH33" si="209">T33-AG33</f>
        <v>2985455.8064516131</v>
      </c>
      <c r="AI33" s="77" t="str">
        <f>VLOOKUP(D33,'정직원 (2)'!$F$4:$M$81,8,0)</f>
        <v>0.5추가</v>
      </c>
      <c r="AJ33" s="22">
        <f t="shared" ref="AJ33" ca="1" si="210">DATEDIF(DATE(IF(VALUE(LEFT(D33,2))&gt;22,1900,2000)+VALUE(LEFT(D33,2)),VALUE(MID(D33,3,2)),VALUE(MID(D33,5,2))),TODAY(),"Y")</f>
        <v>30</v>
      </c>
      <c r="AK33" s="22" t="str">
        <f t="shared" si="38"/>
        <v>OK</v>
      </c>
      <c r="AL33" s="22">
        <v>3459677.4193548388</v>
      </c>
      <c r="AO33" s="22">
        <v>960000</v>
      </c>
      <c r="AP33" s="159">
        <v>1170970</v>
      </c>
      <c r="AQ33" s="159">
        <v>987100</v>
      </c>
      <c r="AR33" s="159">
        <v>3364390</v>
      </c>
      <c r="AS33" s="159">
        <v>3566129.0322580645</v>
      </c>
      <c r="AT33" s="159">
        <v>3300000</v>
      </c>
      <c r="AU33" s="159">
        <v>2341940</v>
      </c>
      <c r="AV33" s="159" t="e">
        <v>#N/A</v>
      </c>
      <c r="AW33" s="159" t="e">
        <v>#N/A</v>
      </c>
    </row>
    <row r="34" spans="1:49" s="22" customFormat="1" ht="20.45" customHeight="1" x14ac:dyDescent="0.6">
      <c r="A34" s="122">
        <f t="shared" si="0"/>
        <v>29</v>
      </c>
      <c r="B34" s="241" t="s">
        <v>369</v>
      </c>
      <c r="C34" s="156" t="str">
        <f>INDEX('정직원 (2)'!$B$4:$B$77,MATCH(임금대장!B34,'정직원 (2)'!$C$4:$C$77,0))</f>
        <v>세척</v>
      </c>
      <c r="D34" s="122" t="str">
        <f>VLOOKUP(B34,'정직원 (2)'!$C$4:$F$77,4,0)</f>
        <v>690610-2328312</v>
      </c>
      <c r="E34" s="116">
        <f>VLOOKUP(B34,'정직원 (2)'!$C$4:$J$81,8,0)</f>
        <v>45933</v>
      </c>
      <c r="F34" s="116">
        <f>VLOOKUP(B34,'정직원 (2)'!$C$4:$L$81,10,0)</f>
        <v>0</v>
      </c>
      <c r="G34" s="129">
        <f>VLOOKUP(B34,'정직원 (2)'!$C$4:$F$81,3,0)</f>
        <v>3300000</v>
      </c>
      <c r="H34" s="96">
        <f t="shared" ref="H34" si="211">ROUNDDOWN(G34/291,0)</f>
        <v>11340</v>
      </c>
      <c r="I34" s="97">
        <f t="shared" si="127"/>
        <v>2370103</v>
      </c>
      <c r="J34" s="97">
        <f t="shared" si="113"/>
        <v>739381</v>
      </c>
      <c r="K34" s="97">
        <f t="shared" si="114"/>
        <v>99794</v>
      </c>
      <c r="L34" s="223">
        <f>VLOOKUP(B34,'정직원 (2)'!$C$4:$O$95,13,0)</f>
        <v>0</v>
      </c>
      <c r="M34" s="97">
        <f t="shared" si="115"/>
        <v>90722</v>
      </c>
      <c r="N34" s="120">
        <f t="shared" si="23"/>
        <v>159677.4193548387</v>
      </c>
      <c r="O34" s="218">
        <f t="shared" ref="O34" si="212">$O$3-P34</f>
        <v>31</v>
      </c>
      <c r="P34" s="137">
        <f t="shared" si="25"/>
        <v>0</v>
      </c>
      <c r="Q34" s="96">
        <f t="shared" si="26"/>
        <v>0</v>
      </c>
      <c r="R34" s="103"/>
      <c r="S34" s="96">
        <f t="shared" ref="S34" si="213">ROUNDDOWN(H34*R34,-1)</f>
        <v>0</v>
      </c>
      <c r="T34" s="132">
        <f t="shared" ref="T34" si="214">G34-Q34-S34+N34+L34</f>
        <v>3459677.4193548388</v>
      </c>
      <c r="U34" s="73">
        <v>1800000</v>
      </c>
      <c r="V34" s="64" t="s">
        <v>34</v>
      </c>
      <c r="W34" s="72">
        <f t="shared" ref="W34" si="215">A34</f>
        <v>29</v>
      </c>
      <c r="X34" s="72" t="str">
        <f t="shared" ref="X34" si="216">B34</f>
        <v>김미숙</v>
      </c>
      <c r="Y34" s="55">
        <f>IF(T34&lt;800000,0,(VLOOKUP(T34,'세액표(1202)'!A:L,V34+1)))</f>
        <v>117440</v>
      </c>
      <c r="Z34" s="55">
        <f t="shared" ref="Z34" si="217">ROUNDDOWN(Y34*10%,-1)</f>
        <v>11740</v>
      </c>
      <c r="AA34" s="183">
        <v>85500</v>
      </c>
      <c r="AB34" s="55">
        <f t="shared" si="32"/>
        <v>124370</v>
      </c>
      <c r="AC34" s="55">
        <f t="shared" si="14"/>
        <v>16340</v>
      </c>
      <c r="AD34" s="55">
        <f t="shared" ref="AD34" si="218">ROUNDDOWN(T34*0.9%,-1)</f>
        <v>31130</v>
      </c>
      <c r="AE34" s="70">
        <f t="shared" ref="AE34" si="219">L34</f>
        <v>0</v>
      </c>
      <c r="AF34" s="129"/>
      <c r="AG34" s="132">
        <f t="shared" ref="AG34" si="220">SUM(Y34:AF34)</f>
        <v>386520</v>
      </c>
      <c r="AH34" s="54">
        <f t="shared" ref="AH34" si="221">T34-AG34</f>
        <v>3073157.4193548388</v>
      </c>
      <c r="AI34" s="77" t="str">
        <f>VLOOKUP(D34,'정직원 (2)'!$F$4:$M$81,8,0)</f>
        <v>1.5추가</v>
      </c>
      <c r="AJ34" s="22">
        <f t="shared" ref="AJ34" ca="1" si="222">DATEDIF(DATE(IF(VALUE(LEFT(D34,2))&gt;22,1900,2000)+VALUE(LEFT(D34,2)),VALUE(MID(D34,3,2)),VALUE(MID(D34,5,2))),TODAY(),"Y")</f>
        <v>56</v>
      </c>
      <c r="AK34" s="22" t="str">
        <f t="shared" si="38"/>
        <v>OK</v>
      </c>
      <c r="AL34" s="22">
        <v>3353225.8064516131</v>
      </c>
      <c r="AO34" s="22">
        <v>960000</v>
      </c>
      <c r="AP34" s="159">
        <v>1170970</v>
      </c>
      <c r="AQ34" s="159">
        <v>987100</v>
      </c>
      <c r="AR34" s="159">
        <v>3364390</v>
      </c>
      <c r="AS34" s="159">
        <v>3566129.0322580645</v>
      </c>
      <c r="AT34" s="159">
        <v>3300000</v>
      </c>
      <c r="AU34" s="159">
        <v>2341940</v>
      </c>
      <c r="AV34" s="159" t="e">
        <v>#N/A</v>
      </c>
      <c r="AW34" s="159" t="e">
        <v>#N/A</v>
      </c>
    </row>
    <row r="35" spans="1:49" s="22" customFormat="1" ht="20.45" customHeight="1" x14ac:dyDescent="0.6">
      <c r="A35" s="122">
        <f t="shared" si="0"/>
        <v>30</v>
      </c>
      <c r="B35" s="241" t="s">
        <v>374</v>
      </c>
      <c r="C35" s="156" t="str">
        <f>INDEX('정직원 (2)'!$B$4:$B$77,MATCH(임금대장!B35,'정직원 (2)'!$C$4:$C$77,0))</f>
        <v>초다이</v>
      </c>
      <c r="D35" s="122" t="str">
        <f>VLOOKUP(B35,'정직원 (2)'!$C$4:$F$77,4,0)</f>
        <v>841217-1183319</v>
      </c>
      <c r="E35" s="116">
        <f>VLOOKUP(B35,'정직원 (2)'!$C$4:$J$81,8,0)</f>
        <v>45971</v>
      </c>
      <c r="F35" s="116">
        <f>VLOOKUP(B35,'정직원 (2)'!$C$4:$L$81,10,0)</f>
        <v>0</v>
      </c>
      <c r="G35" s="129">
        <f>VLOOKUP(B35,'정직원 (2)'!$C$4:$F$81,3,0)</f>
        <v>3800000</v>
      </c>
      <c r="H35" s="96">
        <f t="shared" ref="H35:H42" si="223">ROUNDDOWN(G35/291,0)</f>
        <v>13058</v>
      </c>
      <c r="I35" s="97">
        <f t="shared" si="127"/>
        <v>2729209</v>
      </c>
      <c r="J35" s="97">
        <f t="shared" si="113"/>
        <v>851408</v>
      </c>
      <c r="K35" s="97">
        <f t="shared" si="114"/>
        <v>114915</v>
      </c>
      <c r="L35" s="223">
        <f>VLOOKUP(B35,'정직원 (2)'!$C$4:$O$95,13,0)</f>
        <v>0</v>
      </c>
      <c r="M35" s="97">
        <f t="shared" si="115"/>
        <v>104468</v>
      </c>
      <c r="N35" s="120">
        <f t="shared" ref="N35:N70" si="224">IF(OR(AI35="",AI35=0),0, IF(ISNUMBER(SEARCH("추가",AI35)), G35/$O$3*VALUE(SUBSTITUTE(SUBSTITUTE(TRIM(AI35)," ",""),"추가","")), 0))</f>
        <v>183870.96774193548</v>
      </c>
      <c r="O35" s="218">
        <f t="shared" ref="O35" si="225">$O$3-P35</f>
        <v>31</v>
      </c>
      <c r="P35" s="137">
        <f t="shared" ref="P35:P70" si="226">IF(ISNUMBER(SEARCH("차감",AI35)), VALUE(SUBSTITUTE(SUBSTITUTE(SUBSTITUTE(TRIM(AI35)," ",""),"차감",""),"일","")), IF(AND(YEAR(F35)=$M$3,MONTH(F35)=$N$3),$O$3-DAY(F35), IF(AND(YEAR(E35)=$M$3,MONTH(E35)=$N$3),DAY(E35)-1,0)))</f>
        <v>0</v>
      </c>
      <c r="Q35" s="96">
        <f t="shared" ref="Q35:Q70" si="227">ROUNDDOWN(G35/$O$3*P35,-1)</f>
        <v>0</v>
      </c>
      <c r="R35" s="103"/>
      <c r="S35" s="96">
        <f t="shared" ref="S35:S42" si="228">ROUNDDOWN(H35*R35,-1)</f>
        <v>0</v>
      </c>
      <c r="T35" s="132">
        <f t="shared" ref="T35:T42" si="229">G35-Q35-S35+N35+L35</f>
        <v>3983870.9677419355</v>
      </c>
      <c r="U35" s="73">
        <v>1800000</v>
      </c>
      <c r="V35" s="64" t="s">
        <v>34</v>
      </c>
      <c r="W35" s="72">
        <f t="shared" ref="W35:W42" si="230">A35</f>
        <v>30</v>
      </c>
      <c r="X35" s="72" t="str">
        <f t="shared" ref="X35:X42" si="231">B35</f>
        <v>정지훈</v>
      </c>
      <c r="Y35" s="55">
        <f>IF(T35&lt;800000,0,(VLOOKUP(T35,'세액표(1202)'!A:L,V35+1)))</f>
        <v>190620</v>
      </c>
      <c r="Z35" s="55">
        <f t="shared" ref="Z35:Z36" si="232">ROUNDDOWN(Y35*10%,-1)</f>
        <v>19060</v>
      </c>
      <c r="AA35" s="183">
        <v>85500</v>
      </c>
      <c r="AB35" s="55">
        <f t="shared" si="32"/>
        <v>143220</v>
      </c>
      <c r="AC35" s="55">
        <f t="shared" si="14"/>
        <v>18810</v>
      </c>
      <c r="AD35" s="55">
        <f t="shared" ref="AD35:AD42" si="233">ROUNDDOWN(T35*0.9%,-1)</f>
        <v>35850</v>
      </c>
      <c r="AE35" s="70">
        <f t="shared" ref="AE35:AE42" si="234">L35</f>
        <v>0</v>
      </c>
      <c r="AF35" s="129"/>
      <c r="AG35" s="132">
        <f t="shared" ref="AG35:AG42" si="235">SUM(Y35:AF35)</f>
        <v>493060</v>
      </c>
      <c r="AH35" s="54">
        <f t="shared" ref="AH35:AH42" si="236">T35-AG35</f>
        <v>3490810.9677419355</v>
      </c>
      <c r="AI35" s="77" t="str">
        <f>VLOOKUP(D35,'정직원 (2)'!$F$4:$M$81,8,0)</f>
        <v>1.5추가</v>
      </c>
      <c r="AJ35" s="22">
        <f t="shared" ref="AJ35:AJ42" ca="1" si="237">DATEDIF(DATE(IF(VALUE(LEFT(D35,2))&gt;22,1900,2000)+VALUE(LEFT(D35,2)),VALUE(MID(D35,3,2)),VALUE(MID(D35,5,2))),TODAY(),"Y")</f>
        <v>41</v>
      </c>
      <c r="AK35" s="22" t="str">
        <f t="shared" ref="AK35:AK42" si="238">_xlfn.LET(
 _xlpm.tag0, AI35,
 _xlpm.tag, TRIM(SUBSTITUTE(SUBSTITUTE(_xlpm.tag0," ",""),CHAR(160),"")),
 _xlpm.hasAdd, ISNUMBER(SEARCH("추가",_xlpm.tag)),
 _xlpm.hasSub, ISNUMBER(SEARCH("차감",_xlpm.tag)),
 _xlpm.rawText, SUBSTITUTE(SUBSTITUTE(_xlpm.tag,"추가",""),"차감",""),
 _xlpm.fac, IFERROR(VALUE(_xlpm.rawText),""),
 _xlpm.base, G35,
 _xlpm.denom, $O$3,
 _xlpm.expected, IF(_xlpm.hasAdd, _xlpm.base/_xlpm.denom*_xlpm.fac,
            IF(_xlpm.hasSub, ROUNDDOWN(_xlpm.base/_xlpm.denom*_xlpm.fac,-1),"")),
 _xlpm.tgt0, IF(_xlpm.hasSub, Q35, IF(_xlpm.hasAdd, N35, "")),
 _xlpm.tgt, IF(_xlpm.tgt0="","",IFERROR(1*SUBSTITUTE(_xlpm.tgt0,",",""),"")),
 _xlpm.diff, IF(AND(_xlpm.expected&lt;&gt;"",_xlpm.tgt&lt;&gt;""), _xlpm.tgt-_xlpm.expected,""),
 _xlpm.ok, IF(_xlpm.diff&lt;&gt;"", ABS(_xlpm.diff)&lt;=1, FALSE),
 IF(_xlpm.tag="", "NO TAG",
   IF(NOT(OR(_xlpm.hasAdd,_xlpm.hasSub)), "INVALID TAG",
     IF(_xlpm.fac="", "BAD NUM",
       IF(_xlpm.tgt="", "NO VAL",
         IF(_xlpm.ok,"OK","NG: "&amp;TEXT(_xlpm.diff,"#,##0"))
       )
     )
   )
 )
)</f>
        <v>OK</v>
      </c>
      <c r="AL35" s="22">
        <v>3309680</v>
      </c>
      <c r="AO35" s="22">
        <v>960000</v>
      </c>
      <c r="AP35" s="159">
        <v>1170970</v>
      </c>
      <c r="AQ35" s="159">
        <v>987100</v>
      </c>
      <c r="AR35" s="159">
        <v>3364390</v>
      </c>
      <c r="AS35" s="159">
        <v>3566129.0322580645</v>
      </c>
      <c r="AT35" s="159">
        <v>3300000</v>
      </c>
      <c r="AU35" s="159">
        <v>2341940</v>
      </c>
      <c r="AV35" s="159" t="e">
        <v>#N/A</v>
      </c>
      <c r="AW35" s="159" t="e">
        <v>#N/A</v>
      </c>
    </row>
    <row r="36" spans="1:49" s="22" customFormat="1" ht="20.45" customHeight="1" x14ac:dyDescent="0.6">
      <c r="A36" s="122">
        <f t="shared" si="0"/>
        <v>31</v>
      </c>
      <c r="B36" s="241" t="s">
        <v>382</v>
      </c>
      <c r="C36" s="156" t="str">
        <f>INDEX('정직원 (2)'!$B$4:$B$77,MATCH(임금대장!B36,'정직원 (2)'!$C$4:$C$77,0))</f>
        <v>핫/즉석</v>
      </c>
      <c r="D36" s="122" t="str">
        <f>VLOOKUP(B36,'정직원 (2)'!$C$4:$F$77,4,0)</f>
        <v>001104-3466619</v>
      </c>
      <c r="E36" s="116">
        <f>VLOOKUP(B36,'정직원 (2)'!$C$4:$J$81,8,0)</f>
        <v>45992</v>
      </c>
      <c r="F36" s="116">
        <f>VLOOKUP(B36,'정직원 (2)'!$C$4:$L$81,10,0)</f>
        <v>0</v>
      </c>
      <c r="G36" s="129">
        <f>VLOOKUP(B36,'정직원 (2)'!$C$4:$F$81,3,0)</f>
        <v>3300000</v>
      </c>
      <c r="H36" s="96">
        <f t="shared" ref="H36" si="239">ROUNDDOWN(G36/291,0)</f>
        <v>11340</v>
      </c>
      <c r="I36" s="97">
        <f t="shared" si="127"/>
        <v>2370103</v>
      </c>
      <c r="J36" s="97">
        <f t="shared" si="113"/>
        <v>739381</v>
      </c>
      <c r="K36" s="97">
        <f t="shared" si="114"/>
        <v>99794</v>
      </c>
      <c r="L36" s="223">
        <f>VLOOKUP(B36,'정직원 (2)'!$C$4:$O$95,13,0)</f>
        <v>0</v>
      </c>
      <c r="M36" s="97">
        <f t="shared" si="115"/>
        <v>90722</v>
      </c>
      <c r="N36" s="120">
        <f t="shared" si="224"/>
        <v>53225.806451612902</v>
      </c>
      <c r="O36" s="218">
        <f t="shared" ref="O36:O42" si="240">$O$3-P36</f>
        <v>31</v>
      </c>
      <c r="P36" s="137">
        <f t="shared" si="226"/>
        <v>0</v>
      </c>
      <c r="Q36" s="96">
        <f t="shared" si="227"/>
        <v>0</v>
      </c>
      <c r="R36" s="103"/>
      <c r="S36" s="96">
        <f t="shared" ref="S36" si="241">ROUNDDOWN(H36*R36,-1)</f>
        <v>0</v>
      </c>
      <c r="T36" s="132">
        <f t="shared" ref="T36" si="242">G36-Q36-S36+N36+L36</f>
        <v>3353225.8064516131</v>
      </c>
      <c r="U36" s="73">
        <v>1800000</v>
      </c>
      <c r="V36" s="64" t="s">
        <v>34</v>
      </c>
      <c r="W36" s="72">
        <f t="shared" ref="W36" si="243">A36</f>
        <v>31</v>
      </c>
      <c r="X36" s="72" t="str">
        <f t="shared" ref="X36" si="244">B36</f>
        <v>안유빈</v>
      </c>
      <c r="Y36" s="55">
        <f>IF(T36&lt;800000,0,(VLOOKUP(T36,'세액표(1202)'!A:L,V36+1)))</f>
        <v>105210</v>
      </c>
      <c r="Z36" s="55">
        <f t="shared" si="232"/>
        <v>10520</v>
      </c>
      <c r="AA36" s="183">
        <v>85500</v>
      </c>
      <c r="AB36" s="55">
        <f t="shared" si="32"/>
        <v>120540</v>
      </c>
      <c r="AC36" s="55">
        <f t="shared" si="14"/>
        <v>15830</v>
      </c>
      <c r="AD36" s="55">
        <f t="shared" ref="AD36" si="245">ROUNDDOWN(T36*0.9%,-1)</f>
        <v>30170</v>
      </c>
      <c r="AE36" s="70">
        <f t="shared" ref="AE36" si="246">L36</f>
        <v>0</v>
      </c>
      <c r="AF36" s="129"/>
      <c r="AG36" s="132">
        <f t="shared" ref="AG36" si="247">SUM(Y36:AF36)</f>
        <v>367770</v>
      </c>
      <c r="AH36" s="54">
        <f t="shared" ref="AH36" si="248">T36-AG36</f>
        <v>2985455.8064516131</v>
      </c>
      <c r="AI36" s="77" t="str">
        <f>VLOOKUP(D36,'정직원 (2)'!$F$4:$M$81,8,0)</f>
        <v>0.5추가</v>
      </c>
      <c r="AJ36" s="22">
        <f t="shared" ref="AJ36" ca="1" si="249">DATEDIF(DATE(IF(VALUE(LEFT(D36,2))&gt;22,1900,2000)+VALUE(LEFT(D36,2)),VALUE(MID(D36,3,2)),VALUE(MID(D36,5,2))),TODAY(),"Y")</f>
        <v>25</v>
      </c>
      <c r="AK36" s="22" t="str">
        <f t="shared" ref="AK36" si="250">_xlfn.LET(
 _xlpm.tag0, AI36,
 _xlpm.tag, TRIM(SUBSTITUTE(SUBSTITUTE(_xlpm.tag0," ",""),CHAR(160),"")),
 _xlpm.hasAdd, ISNUMBER(SEARCH("추가",_xlpm.tag)),
 _xlpm.hasSub, ISNUMBER(SEARCH("차감",_xlpm.tag)),
 _xlpm.rawText, SUBSTITUTE(SUBSTITUTE(_xlpm.tag,"추가",""),"차감",""),
 _xlpm.fac, IFERROR(VALUE(_xlpm.rawText),""),
 _xlpm.base, G36,
 _xlpm.denom, $O$3,
 _xlpm.expected, IF(_xlpm.hasAdd, _xlpm.base/_xlpm.denom*_xlpm.fac,
            IF(_xlpm.hasSub, ROUNDDOWN(_xlpm.base/_xlpm.denom*_xlpm.fac,-1),"")),
 _xlpm.tgt0, IF(_xlpm.hasSub, Q36, IF(_xlpm.hasAdd, N36, "")),
 _xlpm.tgt, IF(_xlpm.tgt0="","",IFERROR(1*SUBSTITUTE(_xlpm.tgt0,",",""),"")),
 _xlpm.diff, IF(AND(_xlpm.expected&lt;&gt;"",_xlpm.tgt&lt;&gt;""), _xlpm.tgt-_xlpm.expected,""),
 _xlpm.ok, IF(_xlpm.diff&lt;&gt;"", ABS(_xlpm.diff)&lt;=1, FALSE),
 IF(_xlpm.tag="", "NO TAG",
   IF(NOT(OR(_xlpm.hasAdd,_xlpm.hasSub)), "INVALID TAG",
     IF(_xlpm.fac="", "BAD NUM",
       IF(_xlpm.tgt="", "NO VAL",
         IF(_xlpm.ok,"OK","NG: "&amp;TEXT(_xlpm.diff,"#,##0"))
       )
     )
   )
 )
)</f>
        <v>OK</v>
      </c>
      <c r="AL36" s="22">
        <v>3353225.8064516131</v>
      </c>
      <c r="AO36" s="22">
        <v>960000</v>
      </c>
      <c r="AP36" s="159">
        <v>1170970</v>
      </c>
      <c r="AQ36" s="159">
        <v>987100</v>
      </c>
      <c r="AR36" s="159">
        <v>3364390</v>
      </c>
      <c r="AS36" s="159">
        <v>3566129.0322580645</v>
      </c>
      <c r="AT36" s="159">
        <v>3300000</v>
      </c>
      <c r="AU36" s="159">
        <v>2341940</v>
      </c>
      <c r="AV36" s="159" t="e">
        <v>#N/A</v>
      </c>
      <c r="AW36" s="159" t="e">
        <v>#N/A</v>
      </c>
    </row>
    <row r="37" spans="1:49" s="22" customFormat="1" ht="20.45" customHeight="1" x14ac:dyDescent="0.6">
      <c r="A37" s="122">
        <f t="shared" si="0"/>
        <v>32</v>
      </c>
      <c r="B37" s="157" t="s">
        <v>379</v>
      </c>
      <c r="C37" s="156" t="str">
        <f>INDEX('정직원 (2)'!$B$4:$B$77,MATCH(임금대장!B37,'정직원 (2)'!$C$4:$C$77,0))</f>
        <v>초다이</v>
      </c>
      <c r="D37" s="122" t="str">
        <f>VLOOKUP(B37,'정직원 (2)'!$C$4:$F$77,4,0)</f>
        <v>000810-4155313</v>
      </c>
      <c r="E37" s="116">
        <f>VLOOKUP(B37,'정직원 (2)'!$C$4:$J$81,8,0)</f>
        <v>46000</v>
      </c>
      <c r="F37" s="116">
        <f>VLOOKUP(B37,'정직원 (2)'!$C$4:$L$81,10,0)</f>
        <v>0</v>
      </c>
      <c r="G37" s="129">
        <f>VLOOKUP(B37,'정직원 (2)'!$C$4:$F$81,3,0)</f>
        <v>3200000</v>
      </c>
      <c r="H37" s="96">
        <f t="shared" si="223"/>
        <v>10996</v>
      </c>
      <c r="I37" s="97">
        <f>ROUNDUP(($G37/291*209),0)</f>
        <v>2298282</v>
      </c>
      <c r="J37" s="97">
        <f t="shared" si="113"/>
        <v>716975</v>
      </c>
      <c r="K37" s="97">
        <f t="shared" si="114"/>
        <v>96770</v>
      </c>
      <c r="L37" s="223">
        <f>VLOOKUP(B37,'정직원 (2)'!$C$4:$O$95,13,0)</f>
        <v>0</v>
      </c>
      <c r="M37" s="97">
        <f t="shared" si="115"/>
        <v>87973</v>
      </c>
      <c r="N37" s="120">
        <f t="shared" si="224"/>
        <v>154838.70967741936</v>
      </c>
      <c r="O37" s="218">
        <f t="shared" si="240"/>
        <v>31</v>
      </c>
      <c r="P37" s="137">
        <f t="shared" si="226"/>
        <v>0</v>
      </c>
      <c r="Q37" s="96">
        <f t="shared" si="227"/>
        <v>0</v>
      </c>
      <c r="R37" s="103"/>
      <c r="S37" s="96">
        <f t="shared" si="228"/>
        <v>0</v>
      </c>
      <c r="T37" s="132">
        <f t="shared" si="229"/>
        <v>3354838.7096774192</v>
      </c>
      <c r="U37" s="73">
        <v>1800000</v>
      </c>
      <c r="V37" s="64" t="s">
        <v>34</v>
      </c>
      <c r="W37" s="72">
        <f t="shared" si="230"/>
        <v>32</v>
      </c>
      <c r="X37" s="72" t="str">
        <f t="shared" si="231"/>
        <v>정유진</v>
      </c>
      <c r="Y37" s="55">
        <f>IF(T37&lt;800000,0,(VLOOKUP(T37,'세액표(1202)'!A:L,V37+1)))</f>
        <v>105210</v>
      </c>
      <c r="Z37" s="55">
        <f t="shared" ref="Z37:Z42" si="251">ROUNDDOWN(Y37*10%,-1)</f>
        <v>10520</v>
      </c>
      <c r="AA37" s="183">
        <v>85500</v>
      </c>
      <c r="AB37" s="55">
        <f t="shared" ref="AB37:AB42" si="252">ROUNDDOWN(T37*3.595%,-1)</f>
        <v>120600</v>
      </c>
      <c r="AC37" s="55">
        <f t="shared" ref="AC37:AC42" si="253">ROUNDDOWN(AB37*13.14%,-1)</f>
        <v>15840</v>
      </c>
      <c r="AD37" s="55">
        <f t="shared" si="233"/>
        <v>30190</v>
      </c>
      <c r="AE37" s="70">
        <f t="shared" si="234"/>
        <v>0</v>
      </c>
      <c r="AF37" s="129"/>
      <c r="AG37" s="132">
        <f t="shared" si="235"/>
        <v>367860</v>
      </c>
      <c r="AH37" s="54">
        <f t="shared" si="236"/>
        <v>2986978.7096774192</v>
      </c>
      <c r="AI37" s="77" t="str">
        <f>VLOOKUP(D37,'정직원 (2)'!$F$4:$M$81,8,0)</f>
        <v>1.5추가</v>
      </c>
      <c r="AJ37" s="22">
        <f t="shared" ca="1" si="237"/>
        <v>25</v>
      </c>
      <c r="AK37" s="22" t="str">
        <f t="shared" si="238"/>
        <v>OK</v>
      </c>
      <c r="AL37" s="22">
        <v>2425812.9032258065</v>
      </c>
      <c r="AO37" s="22">
        <v>2453340</v>
      </c>
      <c r="AP37" s="159">
        <v>1383880</v>
      </c>
      <c r="AQ37" s="159">
        <v>958070</v>
      </c>
      <c r="AR37" s="159">
        <v>3364390</v>
      </c>
      <c r="AS37" s="159">
        <v>3566129.0322580645</v>
      </c>
      <c r="AT37" s="159">
        <v>3300000</v>
      </c>
      <c r="AU37" s="159">
        <v>2341940</v>
      </c>
      <c r="AV37" s="159" t="e">
        <v>#N/A</v>
      </c>
      <c r="AW37" s="159" t="e">
        <v>#N/A</v>
      </c>
    </row>
    <row r="38" spans="1:49" s="22" customFormat="1" ht="20.45" customHeight="1" x14ac:dyDescent="0.6">
      <c r="A38" s="122">
        <f t="shared" si="0"/>
        <v>33</v>
      </c>
      <c r="B38" s="241" t="s">
        <v>71</v>
      </c>
      <c r="C38" s="156" t="str">
        <f>INDEX('정직원 (2)'!$B$4:$B$77,MATCH(임금대장!B38,'정직원 (2)'!$C$4:$C$77,0))</f>
        <v>세척</v>
      </c>
      <c r="D38" s="122" t="str">
        <f>VLOOKUP(B38,'정직원 (2)'!$C$4:$F$77,4,0)</f>
        <v>650225-2154914</v>
      </c>
      <c r="E38" s="116">
        <f>VLOOKUP(B38,'정직원 (2)'!$C$4:$J$81,8,0)</f>
        <v>46001</v>
      </c>
      <c r="F38" s="116">
        <f>VLOOKUP(B38,'정직원 (2)'!$C$4:$L$81,10,0)</f>
        <v>0</v>
      </c>
      <c r="G38" s="129">
        <f>VLOOKUP(B38,'정직원 (2)'!$C$4:$F$81,3,0)</f>
        <v>3300000</v>
      </c>
      <c r="H38" s="96">
        <f t="shared" si="223"/>
        <v>11340</v>
      </c>
      <c r="I38" s="97">
        <f t="shared" si="127"/>
        <v>2370103</v>
      </c>
      <c r="J38" s="97">
        <f t="shared" si="113"/>
        <v>739381</v>
      </c>
      <c r="K38" s="97">
        <f t="shared" si="114"/>
        <v>99794</v>
      </c>
      <c r="L38" s="223">
        <f>VLOOKUP(B38,'정직원 (2)'!$C$4:$O$95,13,0)</f>
        <v>0</v>
      </c>
      <c r="M38" s="97">
        <f t="shared" si="115"/>
        <v>90722</v>
      </c>
      <c r="N38" s="120">
        <f t="shared" si="224"/>
        <v>53225.806451612902</v>
      </c>
      <c r="O38" s="218">
        <f t="shared" si="240"/>
        <v>31</v>
      </c>
      <c r="P38" s="137">
        <f t="shared" si="226"/>
        <v>0</v>
      </c>
      <c r="Q38" s="96">
        <f t="shared" si="227"/>
        <v>0</v>
      </c>
      <c r="R38" s="103"/>
      <c r="S38" s="96">
        <f t="shared" si="228"/>
        <v>0</v>
      </c>
      <c r="T38" s="132">
        <f t="shared" si="229"/>
        <v>3353225.8064516131</v>
      </c>
      <c r="U38" s="73">
        <v>1800000</v>
      </c>
      <c r="V38" s="64" t="s">
        <v>34</v>
      </c>
      <c r="W38" s="72">
        <f t="shared" si="230"/>
        <v>33</v>
      </c>
      <c r="X38" s="72" t="str">
        <f t="shared" si="231"/>
        <v>이경숙</v>
      </c>
      <c r="Y38" s="55"/>
      <c r="Z38" s="55"/>
      <c r="AA38" s="181"/>
      <c r="AB38" s="55">
        <f t="shared" si="252"/>
        <v>120540</v>
      </c>
      <c r="AC38" s="55">
        <f t="shared" si="253"/>
        <v>15830</v>
      </c>
      <c r="AD38" s="55">
        <f t="shared" si="233"/>
        <v>30170</v>
      </c>
      <c r="AE38" s="70">
        <f t="shared" si="234"/>
        <v>0</v>
      </c>
      <c r="AF38" s="129"/>
      <c r="AG38" s="132">
        <f t="shared" si="235"/>
        <v>166540</v>
      </c>
      <c r="AH38" s="54">
        <f t="shared" si="236"/>
        <v>3186685.8064516131</v>
      </c>
      <c r="AI38" s="77" t="str">
        <f>VLOOKUP(D38,'정직원 (2)'!$F$4:$M$81,8,0)</f>
        <v>0.5추가</v>
      </c>
      <c r="AJ38" s="22">
        <f t="shared" ca="1" si="237"/>
        <v>60</v>
      </c>
      <c r="AK38" s="22" t="str">
        <f t="shared" si="238"/>
        <v>OK</v>
      </c>
      <c r="AL38" s="22">
        <v>2395165.8064516131</v>
      </c>
      <c r="AO38" s="22">
        <v>960000</v>
      </c>
      <c r="AP38" s="159">
        <v>1170970</v>
      </c>
      <c r="AQ38" s="159">
        <v>987100</v>
      </c>
      <c r="AR38" s="159">
        <v>3364390</v>
      </c>
      <c r="AS38" s="159">
        <v>3566129.0322580645</v>
      </c>
      <c r="AT38" s="159">
        <v>3300000</v>
      </c>
      <c r="AU38" s="159">
        <v>2341940</v>
      </c>
      <c r="AV38" s="159" t="e">
        <v>#N/A</v>
      </c>
      <c r="AW38" s="159" t="e">
        <v>#N/A</v>
      </c>
    </row>
    <row r="39" spans="1:49" s="22" customFormat="1" ht="20.45" customHeight="1" x14ac:dyDescent="0.6">
      <c r="A39" s="122">
        <f t="shared" si="0"/>
        <v>34</v>
      </c>
      <c r="B39" s="241" t="s">
        <v>333</v>
      </c>
      <c r="C39" s="156" t="str">
        <f>INDEX('정직원 (2)'!$B$4:$B$77,MATCH(임금대장!B39,'정직원 (2)'!$C$4:$C$77,0))</f>
        <v>홀</v>
      </c>
      <c r="D39" s="122" t="str">
        <f>VLOOKUP(B39,'정직원 (2)'!$C$4:$F$77,4,0)</f>
        <v>920315-1352615</v>
      </c>
      <c r="E39" s="116">
        <f>VLOOKUP(B39,'정직원 (2)'!$C$4:$J$81,8,0)</f>
        <v>46013</v>
      </c>
      <c r="F39" s="116">
        <f>VLOOKUP(B39,'정직원 (2)'!$C$4:$L$81,10,0)</f>
        <v>0</v>
      </c>
      <c r="G39" s="129">
        <f>VLOOKUP(B39,'정직원 (2)'!$C$4:$F$81,3,0)</f>
        <v>3000000</v>
      </c>
      <c r="H39" s="96">
        <f t="shared" si="223"/>
        <v>10309</v>
      </c>
      <c r="I39" s="97">
        <f t="shared" si="127"/>
        <v>2154639</v>
      </c>
      <c r="J39" s="97">
        <f t="shared" si="113"/>
        <v>672164</v>
      </c>
      <c r="K39" s="97">
        <f t="shared" si="114"/>
        <v>90722</v>
      </c>
      <c r="L39" s="223">
        <f>VLOOKUP(B39,'정직원 (2)'!$C$4:$O$95,13,0)</f>
        <v>0</v>
      </c>
      <c r="M39" s="97">
        <f t="shared" si="115"/>
        <v>82475</v>
      </c>
      <c r="N39" s="120">
        <f t="shared" si="224"/>
        <v>0</v>
      </c>
      <c r="O39" s="218">
        <f t="shared" si="240"/>
        <v>31</v>
      </c>
      <c r="P39" s="137">
        <f t="shared" si="226"/>
        <v>0</v>
      </c>
      <c r="Q39" s="96">
        <f t="shared" si="227"/>
        <v>0</v>
      </c>
      <c r="R39" s="103"/>
      <c r="S39" s="96">
        <f t="shared" si="228"/>
        <v>0</v>
      </c>
      <c r="T39" s="132">
        <f t="shared" si="229"/>
        <v>3000000</v>
      </c>
      <c r="U39" s="73">
        <v>1800000</v>
      </c>
      <c r="V39" s="64" t="s">
        <v>34</v>
      </c>
      <c r="W39" s="72">
        <f t="shared" si="230"/>
        <v>34</v>
      </c>
      <c r="X39" s="72" t="str">
        <f t="shared" si="231"/>
        <v>이경수</v>
      </c>
      <c r="Y39" s="55">
        <f>IF(T39&lt;800000,0,(VLOOKUP(T39,'세액표(1202)'!A:L,V39+1)))</f>
        <v>73060</v>
      </c>
      <c r="Z39" s="55">
        <f t="shared" ref="Z39" si="254">ROUNDDOWN(Y39*10%,-1)</f>
        <v>7300</v>
      </c>
      <c r="AA39" s="183">
        <v>85500</v>
      </c>
      <c r="AB39" s="55">
        <f t="shared" si="252"/>
        <v>107850</v>
      </c>
      <c r="AC39" s="55">
        <f t="shared" si="253"/>
        <v>14170</v>
      </c>
      <c r="AD39" s="55">
        <f t="shared" si="233"/>
        <v>27000</v>
      </c>
      <c r="AE39" s="70">
        <f t="shared" si="234"/>
        <v>0</v>
      </c>
      <c r="AF39" s="129"/>
      <c r="AG39" s="132">
        <f t="shared" si="235"/>
        <v>314880</v>
      </c>
      <c r="AH39" s="54">
        <f t="shared" si="236"/>
        <v>2685120</v>
      </c>
      <c r="AI39" s="77">
        <f>VLOOKUP(D39,'정직원 (2)'!$F$4:$M$81,8,0)</f>
        <v>0</v>
      </c>
      <c r="AJ39" s="22">
        <f t="shared" ca="1" si="237"/>
        <v>33</v>
      </c>
      <c r="AK39" s="22" t="str">
        <f t="shared" si="238"/>
        <v>INVALID TAG</v>
      </c>
      <c r="AL39" s="22">
        <v>967750</v>
      </c>
      <c r="AO39" s="22">
        <v>960000</v>
      </c>
      <c r="AP39" s="159">
        <v>1170970</v>
      </c>
      <c r="AQ39" s="159">
        <v>987100</v>
      </c>
      <c r="AR39" s="159">
        <v>3364390</v>
      </c>
      <c r="AS39" s="159">
        <v>3566129.0322580645</v>
      </c>
      <c r="AT39" s="159">
        <v>3300000</v>
      </c>
      <c r="AU39" s="159">
        <v>2341940</v>
      </c>
      <c r="AV39" s="159" t="e">
        <v>#N/A</v>
      </c>
      <c r="AW39" s="159" t="e">
        <v>#N/A</v>
      </c>
    </row>
    <row r="40" spans="1:49" s="22" customFormat="1" ht="20.45" customHeight="1" x14ac:dyDescent="0.6">
      <c r="A40" s="122">
        <f t="shared" si="0"/>
        <v>35</v>
      </c>
      <c r="B40" s="157" t="s">
        <v>380</v>
      </c>
      <c r="C40" s="156" t="str">
        <f>INDEX('정직원 (2)'!$B$4:$B$77,MATCH(임금대장!B40,'정직원 (2)'!$C$4:$C$77,0))</f>
        <v>초다이</v>
      </c>
      <c r="D40" s="122" t="str">
        <f>VLOOKUP(B40,'정직원 (2)'!$C$4:$F$77,4,0)</f>
        <v>830513-1624015</v>
      </c>
      <c r="E40" s="116">
        <f>VLOOKUP(B40,'정직원 (2)'!$C$4:$J$81,8,0)</f>
        <v>46013</v>
      </c>
      <c r="F40" s="116">
        <f>VLOOKUP(B40,'정직원 (2)'!$C$4:$L$81,10,0)</f>
        <v>0</v>
      </c>
      <c r="G40" s="129">
        <f>VLOOKUP(B40,'정직원 (2)'!$C$4:$F$81,3,0)</f>
        <v>3800000</v>
      </c>
      <c r="H40" s="96">
        <f t="shared" si="223"/>
        <v>13058</v>
      </c>
      <c r="I40" s="97">
        <f t="shared" si="127"/>
        <v>2729209</v>
      </c>
      <c r="J40" s="97">
        <f t="shared" si="113"/>
        <v>851408</v>
      </c>
      <c r="K40" s="97">
        <f t="shared" si="114"/>
        <v>114915</v>
      </c>
      <c r="L40" s="223">
        <f>VLOOKUP(B40,'정직원 (2)'!$C$4:$O$95,13,0)</f>
        <v>0</v>
      </c>
      <c r="M40" s="97">
        <f t="shared" si="115"/>
        <v>104468</v>
      </c>
      <c r="N40" s="120">
        <f t="shared" si="224"/>
        <v>183870.96774193548</v>
      </c>
      <c r="O40" s="219">
        <f t="shared" si="240"/>
        <v>31</v>
      </c>
      <c r="P40" s="137">
        <f t="shared" si="226"/>
        <v>0</v>
      </c>
      <c r="Q40" s="96">
        <f t="shared" si="227"/>
        <v>0</v>
      </c>
      <c r="R40" s="103"/>
      <c r="S40" s="96">
        <f t="shared" si="228"/>
        <v>0</v>
      </c>
      <c r="T40" s="132">
        <f t="shared" si="229"/>
        <v>3983870.9677419355</v>
      </c>
      <c r="U40" s="73">
        <v>1800000</v>
      </c>
      <c r="V40" s="64" t="s">
        <v>34</v>
      </c>
      <c r="W40" s="72">
        <f t="shared" si="230"/>
        <v>35</v>
      </c>
      <c r="X40" s="72" t="str">
        <f t="shared" si="231"/>
        <v>김제우</v>
      </c>
      <c r="Y40" s="55">
        <f>IF(T40&lt;800000,0,(VLOOKUP(T40,'세액표(1202)'!A:L,V40+1)))</f>
        <v>190620</v>
      </c>
      <c r="Z40" s="55">
        <f t="shared" si="251"/>
        <v>19060</v>
      </c>
      <c r="AA40" s="183">
        <v>85500</v>
      </c>
      <c r="AB40" s="55">
        <f t="shared" si="252"/>
        <v>143220</v>
      </c>
      <c r="AC40" s="55">
        <f t="shared" si="253"/>
        <v>18810</v>
      </c>
      <c r="AD40" s="55">
        <f t="shared" si="233"/>
        <v>35850</v>
      </c>
      <c r="AE40" s="70">
        <f t="shared" si="234"/>
        <v>0</v>
      </c>
      <c r="AF40" s="129"/>
      <c r="AG40" s="132">
        <f t="shared" si="235"/>
        <v>493060</v>
      </c>
      <c r="AH40" s="54">
        <f t="shared" si="236"/>
        <v>3490810.9677419355</v>
      </c>
      <c r="AI40" s="77" t="str">
        <f>VLOOKUP(D40,'정직원 (2)'!$F$4:$M$81,8,0)</f>
        <v>1.5추가</v>
      </c>
      <c r="AJ40" s="22">
        <f t="shared" ca="1" si="237"/>
        <v>42</v>
      </c>
      <c r="AK40" s="22" t="str">
        <f t="shared" si="238"/>
        <v>OK</v>
      </c>
      <c r="AL40" s="22">
        <v>1287100.3225806451</v>
      </c>
      <c r="AO40" s="22">
        <v>960000</v>
      </c>
      <c r="AP40" s="159">
        <v>1170970</v>
      </c>
      <c r="AQ40" s="159">
        <v>987100</v>
      </c>
      <c r="AR40" s="159">
        <v>3364390</v>
      </c>
      <c r="AS40" s="159">
        <v>3566129.0322580645</v>
      </c>
      <c r="AT40" s="159">
        <v>3300000</v>
      </c>
      <c r="AU40" s="159">
        <v>2341940</v>
      </c>
      <c r="AV40" s="159" t="e">
        <v>#N/A</v>
      </c>
      <c r="AW40" s="159" t="e">
        <v>#N/A</v>
      </c>
    </row>
    <row r="41" spans="1:49" s="22" customFormat="1" ht="20.45" customHeight="1" x14ac:dyDescent="0.6">
      <c r="A41" s="122">
        <f t="shared" si="0"/>
        <v>36</v>
      </c>
      <c r="B41" s="157" t="s">
        <v>381</v>
      </c>
      <c r="C41" s="156" t="str">
        <f>INDEX('정직원 (2)'!$B$4:$B$77,MATCH(임금대장!B41,'정직원 (2)'!$C$4:$C$77,0))</f>
        <v>초다이</v>
      </c>
      <c r="D41" s="122" t="str">
        <f>VLOOKUP(B41,'정직원 (2)'!$C$4:$F$77,4,0)</f>
        <v>730213-1350715</v>
      </c>
      <c r="E41" s="116">
        <f>VLOOKUP(B41,'정직원 (2)'!$C$4:$J$81,8,0)</f>
        <v>46015</v>
      </c>
      <c r="F41" s="116">
        <f>VLOOKUP(B41,'정직원 (2)'!$C$4:$L$81,10,0)</f>
        <v>0</v>
      </c>
      <c r="G41" s="129">
        <f>VLOOKUP(B41,'정직원 (2)'!$C$4:$F$81,3,0)</f>
        <v>3500000</v>
      </c>
      <c r="H41" s="96">
        <f t="shared" si="223"/>
        <v>12027</v>
      </c>
      <c r="I41" s="97">
        <f>ROUNDUP(($G41/291*209),0)</f>
        <v>2513746</v>
      </c>
      <c r="J41" s="97">
        <f t="shared" si="113"/>
        <v>784192</v>
      </c>
      <c r="K41" s="97">
        <f t="shared" si="114"/>
        <v>105842</v>
      </c>
      <c r="L41" s="223">
        <f>VLOOKUP(B41,'정직원 (2)'!$C$4:$O$95,13,0)</f>
        <v>0</v>
      </c>
      <c r="M41" s="97">
        <f t="shared" si="115"/>
        <v>96220</v>
      </c>
      <c r="N41" s="120">
        <f t="shared" si="224"/>
        <v>56451.612903225803</v>
      </c>
      <c r="O41" s="218">
        <f t="shared" si="240"/>
        <v>31</v>
      </c>
      <c r="P41" s="137">
        <f t="shared" si="226"/>
        <v>0</v>
      </c>
      <c r="Q41" s="96">
        <f t="shared" si="227"/>
        <v>0</v>
      </c>
      <c r="R41" s="103"/>
      <c r="S41" s="96">
        <f t="shared" si="228"/>
        <v>0</v>
      </c>
      <c r="T41" s="132">
        <f t="shared" si="229"/>
        <v>3556451.6129032257</v>
      </c>
      <c r="U41" s="73">
        <v>1800000</v>
      </c>
      <c r="V41" s="64" t="s">
        <v>34</v>
      </c>
      <c r="W41" s="72">
        <f t="shared" si="230"/>
        <v>36</v>
      </c>
      <c r="X41" s="72" t="str">
        <f t="shared" si="231"/>
        <v>김광신</v>
      </c>
      <c r="Y41" s="55">
        <f>IF(T41&lt;800000,0,(VLOOKUP(T41,'세액표(1202)'!A:L,V41+1)))</f>
        <v>129660</v>
      </c>
      <c r="Z41" s="55">
        <f t="shared" si="251"/>
        <v>12960</v>
      </c>
      <c r="AA41" s="183">
        <v>85500</v>
      </c>
      <c r="AB41" s="55">
        <f t="shared" si="252"/>
        <v>127850</v>
      </c>
      <c r="AC41" s="55">
        <f t="shared" si="253"/>
        <v>16790</v>
      </c>
      <c r="AD41" s="55">
        <f t="shared" si="233"/>
        <v>32000</v>
      </c>
      <c r="AE41" s="70">
        <f t="shared" si="234"/>
        <v>0</v>
      </c>
      <c r="AF41" s="129"/>
      <c r="AG41" s="132">
        <f t="shared" si="235"/>
        <v>404760</v>
      </c>
      <c r="AH41" s="54">
        <f t="shared" si="236"/>
        <v>3151691.6129032257</v>
      </c>
      <c r="AI41" s="77" t="str">
        <f>VLOOKUP(D41,'정직원 (2)'!$F$4:$M$81,8,0)</f>
        <v>0.5추가</v>
      </c>
      <c r="AJ41" s="22">
        <f t="shared" ca="1" si="237"/>
        <v>52</v>
      </c>
      <c r="AK41" s="22" t="str">
        <f t="shared" si="238"/>
        <v>OK</v>
      </c>
      <c r="AL41" s="22">
        <v>959681.61290322582</v>
      </c>
      <c r="AO41" s="22">
        <v>960000</v>
      </c>
      <c r="AP41" s="159">
        <v>1170970</v>
      </c>
      <c r="AQ41" s="159">
        <v>987100</v>
      </c>
      <c r="AR41" s="159">
        <v>3364390</v>
      </c>
      <c r="AS41" s="159">
        <v>3566129.0322580645</v>
      </c>
      <c r="AT41" s="159">
        <v>3300000</v>
      </c>
      <c r="AU41" s="159">
        <v>2341940</v>
      </c>
      <c r="AV41" s="159" t="e">
        <v>#N/A</v>
      </c>
      <c r="AW41" s="159" t="e">
        <v>#N/A</v>
      </c>
    </row>
    <row r="42" spans="1:49" s="22" customFormat="1" ht="20.45" customHeight="1" x14ac:dyDescent="0.6">
      <c r="A42" s="122">
        <f t="shared" si="0"/>
        <v>37</v>
      </c>
      <c r="B42" s="247" t="s">
        <v>419</v>
      </c>
      <c r="C42" s="248">
        <f>INDEX('정직원 (2)'!$B$4:$B$77,MATCH(임금대장!B42,'정직원 (2)'!$C$4:$C$77,0))</f>
        <v>0</v>
      </c>
      <c r="D42" s="249" t="str">
        <f>VLOOKUP(B42,'정직원 (2)'!$C$4:$F$77,4,0)</f>
        <v>950526-2401425</v>
      </c>
      <c r="E42" s="131">
        <f>VLOOKUP(B42,'정직원 (2)'!$C$4:$J$81,8,0)</f>
        <v>46023</v>
      </c>
      <c r="F42" s="116">
        <f>VLOOKUP(B42,'정직원 (2)'!$C$4:$L$81,10,0)</f>
        <v>0</v>
      </c>
      <c r="G42" s="129">
        <f>VLOOKUP(B42,'정직원 (2)'!$C$4:$F$81,3,0)</f>
        <v>3000000</v>
      </c>
      <c r="H42" s="96">
        <f t="shared" si="223"/>
        <v>10309</v>
      </c>
      <c r="I42" s="97">
        <f>ROUNDUP(($G42/291*209),0)</f>
        <v>2154640</v>
      </c>
      <c r="J42" s="97">
        <f t="shared" si="113"/>
        <v>672164</v>
      </c>
      <c r="K42" s="97">
        <f t="shared" si="114"/>
        <v>90722</v>
      </c>
      <c r="L42" s="223">
        <f>VLOOKUP(B42,'정직원 (2)'!$C$4:$O$95,13,0)</f>
        <v>0</v>
      </c>
      <c r="M42" s="97">
        <f t="shared" si="115"/>
        <v>82475</v>
      </c>
      <c r="N42" s="120">
        <f t="shared" si="224"/>
        <v>0</v>
      </c>
      <c r="O42" s="218">
        <f t="shared" si="240"/>
        <v>31</v>
      </c>
      <c r="P42" s="137">
        <f t="shared" si="226"/>
        <v>0</v>
      </c>
      <c r="Q42" s="96">
        <f t="shared" si="227"/>
        <v>0</v>
      </c>
      <c r="R42" s="103"/>
      <c r="S42" s="96">
        <f t="shared" si="228"/>
        <v>0</v>
      </c>
      <c r="T42" s="132">
        <f t="shared" si="229"/>
        <v>3000000</v>
      </c>
      <c r="U42" s="73">
        <v>1800000</v>
      </c>
      <c r="V42" s="64" t="s">
        <v>34</v>
      </c>
      <c r="W42" s="72">
        <f t="shared" si="230"/>
        <v>37</v>
      </c>
      <c r="X42" s="72" t="str">
        <f t="shared" si="231"/>
        <v>이다연</v>
      </c>
      <c r="Y42" s="55">
        <f>IF(T42&lt;800000,0,(VLOOKUP(T42,'세액표(1202)'!A:L,V42+1)))</f>
        <v>73060</v>
      </c>
      <c r="Z42" s="55">
        <f t="shared" si="251"/>
        <v>7300</v>
      </c>
      <c r="AA42" s="183">
        <v>85500</v>
      </c>
      <c r="AB42" s="55">
        <f t="shared" si="252"/>
        <v>107850</v>
      </c>
      <c r="AC42" s="55">
        <f t="shared" si="253"/>
        <v>14170</v>
      </c>
      <c r="AD42" s="55">
        <f t="shared" si="233"/>
        <v>27000</v>
      </c>
      <c r="AE42" s="70">
        <f t="shared" si="234"/>
        <v>0</v>
      </c>
      <c r="AF42" s="129"/>
      <c r="AG42" s="132">
        <f t="shared" si="235"/>
        <v>314880</v>
      </c>
      <c r="AH42" s="54">
        <f t="shared" si="236"/>
        <v>2685120</v>
      </c>
      <c r="AI42" s="77">
        <f>VLOOKUP(D42,'정직원 (2)'!$F$4:$M$81,8,0)</f>
        <v>0</v>
      </c>
      <c r="AJ42" s="22">
        <f t="shared" ca="1" si="237"/>
        <v>30</v>
      </c>
      <c r="AK42" s="22" t="str">
        <f t="shared" si="238"/>
        <v>INVALID TAG</v>
      </c>
      <c r="AL42" s="22">
        <v>1083872.9032258065</v>
      </c>
      <c r="AO42" s="22">
        <v>960000</v>
      </c>
      <c r="AP42" s="159">
        <v>1170970</v>
      </c>
      <c r="AQ42" s="159">
        <v>987100</v>
      </c>
      <c r="AR42" s="159">
        <v>3364390</v>
      </c>
      <c r="AS42" s="159">
        <v>3566129.0322580645</v>
      </c>
      <c r="AT42" s="159">
        <v>3300000</v>
      </c>
      <c r="AU42" s="159">
        <v>2341940</v>
      </c>
      <c r="AV42" s="159" t="e">
        <v>#N/A</v>
      </c>
      <c r="AW42" s="159" t="e">
        <v>#N/A</v>
      </c>
    </row>
    <row r="43" spans="1:49" s="22" customFormat="1" ht="20.45" customHeight="1" x14ac:dyDescent="0.6">
      <c r="A43" s="122">
        <f t="shared" si="0"/>
        <v>38</v>
      </c>
      <c r="B43" s="157" t="s">
        <v>420</v>
      </c>
      <c r="C43" s="156" t="str">
        <f>INDEX('정직원 (2)'!$B$4:$B$77,MATCH(임금대장!B43,'정직원 (2)'!$C$4:$C$77,0))</f>
        <v>핫/즉석</v>
      </c>
      <c r="D43" s="122" t="str">
        <f>VLOOKUP(B43,'정직원 (2)'!$C$4:$F$77,4,0)</f>
        <v>860414-1156218</v>
      </c>
      <c r="E43" s="131">
        <f>VLOOKUP(B43,'정직원 (2)'!$C$4:$J$81,8,0)</f>
        <v>46028</v>
      </c>
      <c r="F43" s="116">
        <f>VLOOKUP(B43,'정직원 (2)'!$C$4:$L$81,10,0)</f>
        <v>0</v>
      </c>
      <c r="G43" s="129">
        <f>VLOOKUP(B43,'정직원 (2)'!$C$4:$F$81,3,0)</f>
        <v>3300000</v>
      </c>
      <c r="H43" s="96">
        <f t="shared" ref="H43:H44" si="255">ROUNDDOWN(G43/291,0)</f>
        <v>11340</v>
      </c>
      <c r="I43" s="97">
        <f t="shared" ref="I43" si="256">ROUNDDOWN(($G43/291*209),0)</f>
        <v>2370103</v>
      </c>
      <c r="J43" s="97">
        <f t="shared" si="113"/>
        <v>739381</v>
      </c>
      <c r="K43" s="97">
        <f t="shared" si="114"/>
        <v>99794</v>
      </c>
      <c r="L43" s="223">
        <f>VLOOKUP(B43,'정직원 (2)'!$C$4:$O$95,13,0)</f>
        <v>0</v>
      </c>
      <c r="M43" s="97">
        <f t="shared" si="115"/>
        <v>90722</v>
      </c>
      <c r="N43" s="120">
        <f t="shared" ref="N43:N44" si="257">IF(OR(AI43="",AI43=0),0, IF(ISNUMBER(SEARCH("추가",AI43)), G43/$O$3*VALUE(SUBSTITUTE(SUBSTITUTE(TRIM(AI43)," ",""),"추가","")), 0))</f>
        <v>0</v>
      </c>
      <c r="O43" s="219">
        <f t="shared" ref="O43:O44" si="258">$O$3-P43</f>
        <v>26</v>
      </c>
      <c r="P43" s="137">
        <f t="shared" ref="P43:P44" si="259">IF(ISNUMBER(SEARCH("차감",AI43)), VALUE(SUBSTITUTE(SUBSTITUTE(SUBSTITUTE(TRIM(AI43)," ",""),"차감",""),"일","")), IF(AND(YEAR(F43)=$M$3,MONTH(F43)=$N$3),$O$3-DAY(F43), IF(AND(YEAR(E43)=$M$3,MONTH(E43)=$N$3),DAY(E43)-1,0)))</f>
        <v>5</v>
      </c>
      <c r="Q43" s="96">
        <f t="shared" ref="Q43:Q44" si="260">ROUNDDOWN(G43/$O$3*P43,-1)</f>
        <v>532250</v>
      </c>
      <c r="R43" s="103"/>
      <c r="S43" s="96">
        <f t="shared" ref="S43:S44" si="261">ROUNDDOWN(H43*R43,-1)</f>
        <v>0</v>
      </c>
      <c r="T43" s="132">
        <f t="shared" ref="T43:T44" si="262">G43-Q43-S43+N43+L43</f>
        <v>2767750</v>
      </c>
      <c r="U43" s="73">
        <v>1800000</v>
      </c>
      <c r="V43" s="64" t="s">
        <v>34</v>
      </c>
      <c r="W43" s="72">
        <f t="shared" ref="W43:W44" si="263">A43</f>
        <v>38</v>
      </c>
      <c r="X43" s="72" t="str">
        <f t="shared" ref="X43:X44" si="264">B43</f>
        <v>강봉국</v>
      </c>
      <c r="Y43" s="55">
        <f>IF(T43&lt;800000,0,(VLOOKUP(T43,'세액표(1202)'!A:L,V43+1)))</f>
        <v>52530</v>
      </c>
      <c r="Z43" s="55">
        <f t="shared" ref="Z43:Z44" si="265">ROUNDDOWN(Y43*10%,-1)</f>
        <v>5250</v>
      </c>
      <c r="AA43" s="183"/>
      <c r="AB43" s="55"/>
      <c r="AC43" s="55"/>
      <c r="AD43" s="55">
        <f t="shared" ref="AD43:AD44" si="266">ROUNDDOWN(T43*0.9%,-1)</f>
        <v>24900</v>
      </c>
      <c r="AE43" s="70">
        <f t="shared" ref="AE43:AE44" si="267">L43</f>
        <v>0</v>
      </c>
      <c r="AF43" s="129"/>
      <c r="AG43" s="132">
        <f t="shared" ref="AG43:AG44" si="268">SUM(Y43:AF43)</f>
        <v>82680</v>
      </c>
      <c r="AH43" s="54">
        <f t="shared" ref="AH43:AH44" si="269">T43-AG43</f>
        <v>2685070</v>
      </c>
      <c r="AI43" s="77">
        <f>VLOOKUP(D43,'정직원 (2)'!$F$4:$M$81,8,0)</f>
        <v>0</v>
      </c>
      <c r="AJ43" s="22">
        <f t="shared" ref="AJ43:AJ44" ca="1" si="270">DATEDIF(DATE(IF(VALUE(LEFT(D43,2))&gt;22,1900,2000)+VALUE(LEFT(D43,2)),VALUE(MID(D43,3,2)),VALUE(MID(D43,5,2))),TODAY(),"Y")</f>
        <v>39</v>
      </c>
      <c r="AK43" s="22" t="str">
        <f t="shared" ref="AK43:AK44" si="271">_xlfn.LET(
 _xlpm.tag0, AI43,
 _xlpm.tag, TRIM(SUBSTITUTE(SUBSTITUTE(_xlpm.tag0," ",""),CHAR(160),"")),
 _xlpm.hasAdd, ISNUMBER(SEARCH("추가",_xlpm.tag)),
 _xlpm.hasSub, ISNUMBER(SEARCH("차감",_xlpm.tag)),
 _xlpm.rawText, SUBSTITUTE(SUBSTITUTE(_xlpm.tag,"추가",""),"차감",""),
 _xlpm.fac, IFERROR(VALUE(_xlpm.rawText),""),
 _xlpm.base, G43,
 _xlpm.denom, $O$3,
 _xlpm.expected, IF(_xlpm.hasAdd, _xlpm.base/_xlpm.denom*_xlpm.fac,
            IF(_xlpm.hasSub, ROUNDDOWN(_xlpm.base/_xlpm.denom*_xlpm.fac,-1),"")),
 _xlpm.tgt0, IF(_xlpm.hasSub, Q43, IF(_xlpm.hasAdd, N43, "")),
 _xlpm.tgt, IF(_xlpm.tgt0="","",IFERROR(1*SUBSTITUTE(_xlpm.tgt0,",",""),"")),
 _xlpm.diff, IF(AND(_xlpm.expected&lt;&gt;"",_xlpm.tgt&lt;&gt;""), _xlpm.tgt-_xlpm.expected,""),
 _xlpm.ok, IF(_xlpm.diff&lt;&gt;"", ABS(_xlpm.diff)&lt;=1, FALSE),
 IF(_xlpm.tag="", "NO TAG",
   IF(NOT(OR(_xlpm.hasAdd,_xlpm.hasSub)), "INVALID TAG",
     IF(_xlpm.fac="", "BAD NUM",
       IF(_xlpm.tgt="", "NO VAL",
         IF(_xlpm.ok,"OK","NG: "&amp;TEXT(_xlpm.diff,"#,##0"))
       )
     )
   )
 )
)</f>
        <v>INVALID TAG</v>
      </c>
      <c r="AL43" s="22">
        <v>1287100.3225806451</v>
      </c>
      <c r="AO43" s="22">
        <v>960000</v>
      </c>
      <c r="AP43" s="159">
        <v>1170970</v>
      </c>
      <c r="AQ43" s="159">
        <v>987100</v>
      </c>
      <c r="AR43" s="159">
        <v>3364390</v>
      </c>
      <c r="AS43" s="159">
        <v>3566129.0322580645</v>
      </c>
      <c r="AT43" s="159">
        <v>3300000</v>
      </c>
      <c r="AU43" s="159">
        <v>2341940</v>
      </c>
      <c r="AV43" s="159" t="e">
        <v>#N/A</v>
      </c>
      <c r="AW43" s="159" t="e">
        <v>#N/A</v>
      </c>
    </row>
    <row r="44" spans="1:49" s="22" customFormat="1" ht="20.45" customHeight="1" x14ac:dyDescent="0.6">
      <c r="A44" s="122">
        <f t="shared" si="0"/>
        <v>39</v>
      </c>
      <c r="B44" s="157" t="s">
        <v>421</v>
      </c>
      <c r="C44" s="156" t="str">
        <f>INDEX('정직원 (2)'!$B$4:$B$77,MATCH(임금대장!B44,'정직원 (2)'!$C$4:$C$77,0))</f>
        <v>핫/즉석</v>
      </c>
      <c r="D44" s="122" t="str">
        <f>VLOOKUP(B44,'정직원 (2)'!$C$4:$F$77,4,0)</f>
        <v>880916-1063617</v>
      </c>
      <c r="E44" s="131">
        <f>VLOOKUP(B44,'정직원 (2)'!$C$4:$J$81,8,0)</f>
        <v>46035</v>
      </c>
      <c r="F44" s="116">
        <f>VLOOKUP(B44,'정직원 (2)'!$C$4:$L$81,10,0)</f>
        <v>0</v>
      </c>
      <c r="G44" s="129">
        <f>VLOOKUP(B44,'정직원 (2)'!$C$4:$F$81,3,0)</f>
        <v>3300000</v>
      </c>
      <c r="H44" s="96">
        <f t="shared" si="255"/>
        <v>11340</v>
      </c>
      <c r="I44" s="97">
        <f>ROUNDUP(($G44/291*209),0)</f>
        <v>2370104</v>
      </c>
      <c r="J44" s="97">
        <f t="shared" si="113"/>
        <v>739381</v>
      </c>
      <c r="K44" s="97">
        <f t="shared" si="114"/>
        <v>99794</v>
      </c>
      <c r="L44" s="223">
        <f>VLOOKUP(B44,'정직원 (2)'!$C$4:$O$95,13,0)</f>
        <v>0</v>
      </c>
      <c r="M44" s="97">
        <f t="shared" si="115"/>
        <v>90722</v>
      </c>
      <c r="N44" s="120">
        <f t="shared" si="257"/>
        <v>0</v>
      </c>
      <c r="O44" s="218">
        <f t="shared" si="258"/>
        <v>19</v>
      </c>
      <c r="P44" s="137">
        <f t="shared" si="259"/>
        <v>12</v>
      </c>
      <c r="Q44" s="96">
        <f t="shared" si="260"/>
        <v>1277410</v>
      </c>
      <c r="R44" s="103"/>
      <c r="S44" s="96">
        <f t="shared" si="261"/>
        <v>0</v>
      </c>
      <c r="T44" s="132">
        <f t="shared" si="262"/>
        <v>2022590</v>
      </c>
      <c r="U44" s="73">
        <v>1800000</v>
      </c>
      <c r="V44" s="64" t="s">
        <v>34</v>
      </c>
      <c r="W44" s="72">
        <f t="shared" si="263"/>
        <v>39</v>
      </c>
      <c r="X44" s="72" t="str">
        <f t="shared" si="264"/>
        <v>남궁현</v>
      </c>
      <c r="Y44" s="55">
        <f>IF(T44&lt;800000,0,(VLOOKUP(T44,'세액표(1202)'!A:L,V44+1)))</f>
        <v>19850</v>
      </c>
      <c r="Z44" s="55">
        <f t="shared" si="265"/>
        <v>1980</v>
      </c>
      <c r="AA44" s="183"/>
      <c r="AB44" s="55"/>
      <c r="AC44" s="55"/>
      <c r="AD44" s="55">
        <f t="shared" si="266"/>
        <v>18200</v>
      </c>
      <c r="AE44" s="70">
        <f t="shared" si="267"/>
        <v>0</v>
      </c>
      <c r="AF44" s="129"/>
      <c r="AG44" s="132">
        <f t="shared" si="268"/>
        <v>40030</v>
      </c>
      <c r="AH44" s="54">
        <f t="shared" si="269"/>
        <v>1982560</v>
      </c>
      <c r="AI44" s="77">
        <f>VLOOKUP(D44,'정직원 (2)'!$F$4:$M$81,8,0)</f>
        <v>0</v>
      </c>
      <c r="AJ44" s="22">
        <f t="shared" ca="1" si="270"/>
        <v>37</v>
      </c>
      <c r="AK44" s="22" t="str">
        <f t="shared" si="271"/>
        <v>INVALID TAG</v>
      </c>
      <c r="AL44" s="22">
        <v>959681.61290322582</v>
      </c>
      <c r="AO44" s="22">
        <v>960000</v>
      </c>
      <c r="AP44" s="159">
        <v>1170970</v>
      </c>
      <c r="AQ44" s="159">
        <v>987100</v>
      </c>
      <c r="AR44" s="159">
        <v>3364390</v>
      </c>
      <c r="AS44" s="159">
        <v>3566129.0322580645</v>
      </c>
      <c r="AT44" s="159">
        <v>3300000</v>
      </c>
      <c r="AU44" s="159">
        <v>2341940</v>
      </c>
      <c r="AV44" s="159" t="e">
        <v>#N/A</v>
      </c>
      <c r="AW44" s="159" t="e">
        <v>#N/A</v>
      </c>
    </row>
    <row r="45" spans="1:49" s="22" customFormat="1" ht="20.45" customHeight="1" x14ac:dyDescent="0.6">
      <c r="A45" s="122">
        <f t="shared" si="0"/>
        <v>40</v>
      </c>
      <c r="B45" s="228" t="s">
        <v>236</v>
      </c>
      <c r="C45" s="156" t="s">
        <v>3</v>
      </c>
      <c r="D45" s="122" t="str">
        <f>VLOOKUP(B45,파트!$C$5:$I$95,7,0)</f>
        <v>030827-3033011</v>
      </c>
      <c r="E45" s="163"/>
      <c r="F45" s="118"/>
      <c r="G45" s="70">
        <f>VLOOKUP(B45,파트!$C$5:$H$69,6,0)</f>
        <v>1046500</v>
      </c>
      <c r="H45" s="96">
        <v>13000</v>
      </c>
      <c r="I45" s="97">
        <f t="shared" ref="I45:I70" si="272">G45</f>
        <v>1046500</v>
      </c>
      <c r="J45" s="97"/>
      <c r="K45" s="97"/>
      <c r="L45" s="223"/>
      <c r="M45" s="97"/>
      <c r="N45" s="120">
        <f t="shared" si="224"/>
        <v>0</v>
      </c>
      <c r="O45" s="136">
        <f t="shared" ref="O45:O48" si="273">G45/H45</f>
        <v>80.5</v>
      </c>
      <c r="P45" s="137">
        <f t="shared" si="226"/>
        <v>0</v>
      </c>
      <c r="Q45" s="96">
        <f t="shared" si="227"/>
        <v>0</v>
      </c>
      <c r="R45" s="103"/>
      <c r="S45" s="96"/>
      <c r="T45" s="132">
        <f t="shared" si="28"/>
        <v>1046500</v>
      </c>
      <c r="U45" s="73"/>
      <c r="V45" s="64"/>
      <c r="W45" s="72">
        <f t="shared" si="29"/>
        <v>40</v>
      </c>
      <c r="X45" s="72" t="str">
        <f t="shared" si="30"/>
        <v>홍이준</v>
      </c>
      <c r="Y45" s="216">
        <f>ROUNDDOWN(T45*3%,-1)</f>
        <v>31390</v>
      </c>
      <c r="Z45" s="216">
        <f>ROUNDDOWN(Y45*10%,-1)</f>
        <v>3130</v>
      </c>
      <c r="AA45" s="183"/>
      <c r="AB45" s="183"/>
      <c r="AC45" s="183"/>
      <c r="AD45" s="183"/>
      <c r="AE45" s="70"/>
      <c r="AF45" s="70"/>
      <c r="AG45" s="132">
        <f t="shared" ref="AG45:AG53" si="274">SUM(Y45:AF45)</f>
        <v>34520</v>
      </c>
      <c r="AH45" s="54">
        <f t="shared" ref="AH45:AH53" si="275">T45-AG45</f>
        <v>1011980</v>
      </c>
      <c r="AI45" s="77"/>
      <c r="AL45" s="22">
        <v>1443000</v>
      </c>
      <c r="AO45" s="22">
        <v>988000</v>
      </c>
      <c r="AP45" s="159"/>
      <c r="AQ45" s="159">
        <v>768000</v>
      </c>
      <c r="AR45" s="159">
        <v>1086000</v>
      </c>
      <c r="AS45" s="159">
        <v>990000</v>
      </c>
      <c r="AT45" s="159">
        <v>276000</v>
      </c>
      <c r="AU45" s="159">
        <v>258000</v>
      </c>
      <c r="AV45" s="159">
        <v>1698000</v>
      </c>
      <c r="AW45" s="159">
        <v>1992000</v>
      </c>
    </row>
    <row r="46" spans="1:49" s="22" customFormat="1" ht="20.45" customHeight="1" x14ac:dyDescent="0.6">
      <c r="A46" s="122">
        <f t="shared" si="0"/>
        <v>41</v>
      </c>
      <c r="B46" s="228" t="s">
        <v>269</v>
      </c>
      <c r="C46" s="156" t="s">
        <v>3</v>
      </c>
      <c r="D46" s="122" t="str">
        <f>VLOOKUP(B46,파트!$C$5:$I$95,7,0)</f>
        <v>010321-3152616</v>
      </c>
      <c r="E46" s="163"/>
      <c r="F46" s="118"/>
      <c r="G46" s="70">
        <f>VLOOKUP(B46,파트!$C$5:$H$69,6,0)</f>
        <v>1092000</v>
      </c>
      <c r="H46" s="96">
        <v>13000</v>
      </c>
      <c r="I46" s="97">
        <f t="shared" ref="I46" si="276">G46</f>
        <v>1092000</v>
      </c>
      <c r="J46" s="97"/>
      <c r="K46" s="97"/>
      <c r="L46" s="223"/>
      <c r="M46" s="97"/>
      <c r="N46" s="120">
        <f t="shared" ref="N46" si="277">IF(OR(AI46="",AI46=0),0, IF(ISNUMBER(SEARCH("추가",AI46)), G46/$O$3*VALUE(SUBSTITUTE(SUBSTITUTE(TRIM(AI46)," ",""),"추가","")), 0))</f>
        <v>0</v>
      </c>
      <c r="O46" s="136">
        <f t="shared" ref="O46" si="278">G46/H46</f>
        <v>84</v>
      </c>
      <c r="P46" s="137">
        <f t="shared" ref="P46" si="279">IF(ISNUMBER(SEARCH("차감",AI46)), VALUE(SUBSTITUTE(SUBSTITUTE(SUBSTITUTE(TRIM(AI46)," ",""),"차감",""),"일","")), IF(AND(YEAR(F46)=$M$3,MONTH(F46)=$N$3),$O$3-DAY(F46), IF(AND(YEAR(E46)=$M$3,MONTH(E46)=$N$3),DAY(E46)-1,0)))</f>
        <v>0</v>
      </c>
      <c r="Q46" s="96">
        <f t="shared" ref="Q46" si="280">ROUNDDOWN(G46/$O$3*P46,-1)</f>
        <v>0</v>
      </c>
      <c r="R46" s="103"/>
      <c r="S46" s="96"/>
      <c r="T46" s="132">
        <f t="shared" ref="T46" si="281">G46-Q46-S46+N46+L46</f>
        <v>1092000</v>
      </c>
      <c r="U46" s="73"/>
      <c r="V46" s="64"/>
      <c r="W46" s="72">
        <f t="shared" ref="W46" si="282">A46</f>
        <v>41</v>
      </c>
      <c r="X46" s="72" t="str">
        <f t="shared" ref="X46" si="283">B46</f>
        <v>박경찬</v>
      </c>
      <c r="Y46" s="216">
        <f>ROUNDDOWN(T46*3%,-1)</f>
        <v>32760</v>
      </c>
      <c r="Z46" s="216">
        <f>ROUNDDOWN(Y46*10%,-1)</f>
        <v>3270</v>
      </c>
      <c r="AA46" s="183"/>
      <c r="AB46" s="183"/>
      <c r="AC46" s="183"/>
      <c r="AD46" s="183"/>
      <c r="AE46" s="70"/>
      <c r="AF46" s="70"/>
      <c r="AG46" s="132">
        <f t="shared" ref="AG46" si="284">SUM(Y46:AF46)</f>
        <v>36030</v>
      </c>
      <c r="AH46" s="54">
        <f t="shared" ref="AH46" si="285">T46-AG46</f>
        <v>1055970</v>
      </c>
      <c r="AI46" s="77"/>
      <c r="AL46" s="22">
        <v>1443000</v>
      </c>
      <c r="AO46" s="22">
        <v>988000</v>
      </c>
      <c r="AP46" s="159"/>
      <c r="AQ46" s="159">
        <v>768000</v>
      </c>
      <c r="AR46" s="159">
        <v>1086000</v>
      </c>
      <c r="AS46" s="159">
        <v>990000</v>
      </c>
      <c r="AT46" s="159">
        <v>276000</v>
      </c>
      <c r="AU46" s="159">
        <v>258000</v>
      </c>
      <c r="AV46" s="159">
        <v>1698000</v>
      </c>
      <c r="AW46" s="159">
        <v>1992000</v>
      </c>
    </row>
    <row r="47" spans="1:49" s="22" customFormat="1" ht="20.45" customHeight="1" x14ac:dyDescent="0.6">
      <c r="A47" s="122">
        <f t="shared" si="0"/>
        <v>42</v>
      </c>
      <c r="B47" s="228" t="s">
        <v>409</v>
      </c>
      <c r="C47" s="156" t="s">
        <v>3</v>
      </c>
      <c r="D47" s="122" t="str">
        <f>VLOOKUP(B47,파트!$C$5:$I$95,7,0)</f>
        <v>030710-4183811</v>
      </c>
      <c r="E47" s="163"/>
      <c r="F47" s="118"/>
      <c r="G47" s="70">
        <f>VLOOKUP(B47,파트!$C$5:$H$69,6,0)</f>
        <v>949000</v>
      </c>
      <c r="H47" s="96">
        <v>13000</v>
      </c>
      <c r="I47" s="97">
        <f>G47</f>
        <v>949000</v>
      </c>
      <c r="J47" s="97"/>
      <c r="K47" s="97"/>
      <c r="L47" s="223"/>
      <c r="M47" s="97"/>
      <c r="N47" s="120">
        <f t="shared" si="224"/>
        <v>0</v>
      </c>
      <c r="O47" s="136">
        <f t="shared" si="273"/>
        <v>73</v>
      </c>
      <c r="P47" s="137">
        <f t="shared" si="226"/>
        <v>0</v>
      </c>
      <c r="Q47" s="96">
        <f t="shared" si="227"/>
        <v>0</v>
      </c>
      <c r="R47" s="103"/>
      <c r="S47" s="96"/>
      <c r="T47" s="132">
        <f t="shared" si="28"/>
        <v>949000</v>
      </c>
      <c r="U47" s="73"/>
      <c r="V47" s="64"/>
      <c r="W47" s="72">
        <f t="shared" si="29"/>
        <v>42</v>
      </c>
      <c r="X47" s="72" t="str">
        <f t="shared" si="30"/>
        <v>최예림</v>
      </c>
      <c r="Y47" s="216">
        <f t="shared" ref="Y47:Y53" si="286">ROUNDDOWN(T47*3%,-1)</f>
        <v>28470</v>
      </c>
      <c r="Z47" s="216">
        <f t="shared" ref="Z47:Z53" si="287">ROUNDDOWN(Y47*10%,-1)</f>
        <v>2840</v>
      </c>
      <c r="AA47" s="183"/>
      <c r="AB47" s="183"/>
      <c r="AC47" s="183"/>
      <c r="AD47" s="183"/>
      <c r="AE47" s="70"/>
      <c r="AF47" s="70"/>
      <c r="AG47" s="132">
        <f t="shared" si="274"/>
        <v>31310</v>
      </c>
      <c r="AH47" s="54">
        <f t="shared" si="275"/>
        <v>917690</v>
      </c>
      <c r="AI47" s="77"/>
      <c r="AL47" s="22">
        <v>923000</v>
      </c>
      <c r="AO47" s="22">
        <v>1079000</v>
      </c>
      <c r="AP47" s="159"/>
      <c r="AQ47" s="159">
        <v>618000</v>
      </c>
      <c r="AR47" s="159">
        <v>360000</v>
      </c>
      <c r="AS47" s="159">
        <v>216000</v>
      </c>
      <c r="AT47" s="159">
        <v>1764000</v>
      </c>
      <c r="AU47" s="159">
        <v>1482000</v>
      </c>
      <c r="AV47" s="159">
        <v>1446000</v>
      </c>
      <c r="AW47" s="159">
        <v>1848000</v>
      </c>
    </row>
    <row r="48" spans="1:49" s="22" customFormat="1" ht="20.45" customHeight="1" x14ac:dyDescent="0.6">
      <c r="A48" s="122">
        <f t="shared" si="0"/>
        <v>43</v>
      </c>
      <c r="B48" s="228" t="s">
        <v>250</v>
      </c>
      <c r="C48" s="156" t="s">
        <v>3</v>
      </c>
      <c r="D48" s="122" t="str">
        <f>VLOOKUP(B48,파트!$C$5:$I$95,7,0)</f>
        <v>001228-3157718</v>
      </c>
      <c r="E48" s="163"/>
      <c r="F48" s="118"/>
      <c r="G48" s="70">
        <f>VLOOKUP(B48,파트!$C$5:$H$69,6,0)</f>
        <v>2450500</v>
      </c>
      <c r="H48" s="96">
        <v>13000</v>
      </c>
      <c r="I48" s="97">
        <f t="shared" si="272"/>
        <v>2450500</v>
      </c>
      <c r="J48" s="97"/>
      <c r="K48" s="97"/>
      <c r="L48" s="223"/>
      <c r="M48" s="97"/>
      <c r="N48" s="120">
        <f t="shared" si="224"/>
        <v>0</v>
      </c>
      <c r="O48" s="136">
        <f t="shared" si="273"/>
        <v>188.5</v>
      </c>
      <c r="P48" s="137">
        <f t="shared" si="226"/>
        <v>0</v>
      </c>
      <c r="Q48" s="96">
        <f t="shared" si="227"/>
        <v>0</v>
      </c>
      <c r="R48" s="103"/>
      <c r="S48" s="96"/>
      <c r="T48" s="132">
        <f t="shared" si="28"/>
        <v>2450500</v>
      </c>
      <c r="U48" s="73"/>
      <c r="V48" s="64"/>
      <c r="W48" s="72">
        <f t="shared" si="29"/>
        <v>43</v>
      </c>
      <c r="X48" s="72" t="str">
        <f t="shared" si="30"/>
        <v>박대순</v>
      </c>
      <c r="Y48" s="216">
        <f t="shared" si="286"/>
        <v>73510</v>
      </c>
      <c r="Z48" s="216">
        <f t="shared" si="287"/>
        <v>7350</v>
      </c>
      <c r="AA48" s="183"/>
      <c r="AB48" s="183"/>
      <c r="AC48" s="183"/>
      <c r="AD48" s="183"/>
      <c r="AE48" s="70"/>
      <c r="AF48" s="70"/>
      <c r="AG48" s="132">
        <f t="shared" si="274"/>
        <v>80860</v>
      </c>
      <c r="AH48" s="54">
        <f t="shared" si="275"/>
        <v>2369640</v>
      </c>
      <c r="AI48" s="77"/>
      <c r="AL48" s="22">
        <v>156000</v>
      </c>
      <c r="AO48" s="22">
        <v>1339000</v>
      </c>
      <c r="AP48" s="159"/>
      <c r="AQ48" s="159">
        <v>1386000</v>
      </c>
      <c r="AR48" s="159">
        <v>1722000</v>
      </c>
      <c r="AS48" s="159">
        <v>1692000</v>
      </c>
      <c r="AT48" s="159">
        <v>1764000</v>
      </c>
      <c r="AU48" s="159">
        <v>1674000</v>
      </c>
      <c r="AV48" s="159">
        <v>1566000</v>
      </c>
      <c r="AW48" s="159">
        <v>1578000</v>
      </c>
    </row>
    <row r="49" spans="1:49" s="22" customFormat="1" ht="20.45" customHeight="1" x14ac:dyDescent="0.6">
      <c r="A49" s="122">
        <f t="shared" si="0"/>
        <v>44</v>
      </c>
      <c r="B49" s="228" t="s">
        <v>330</v>
      </c>
      <c r="C49" s="156" t="s">
        <v>3</v>
      </c>
      <c r="D49" s="122" t="str">
        <f>VLOOKUP(B49,파트!$C$5:$I$95,7,0)</f>
        <v>070810-3154613</v>
      </c>
      <c r="E49" s="163"/>
      <c r="F49" s="118"/>
      <c r="G49" s="70">
        <f>VLOOKUP(B49,파트!$C$5:$H$69,6,0)</f>
        <v>1644500</v>
      </c>
      <c r="H49" s="96">
        <v>13000</v>
      </c>
      <c r="I49" s="97">
        <f t="shared" si="272"/>
        <v>1644500</v>
      </c>
      <c r="J49" s="97"/>
      <c r="K49" s="97"/>
      <c r="L49" s="223"/>
      <c r="M49" s="97"/>
      <c r="N49" s="120">
        <f t="shared" si="224"/>
        <v>0</v>
      </c>
      <c r="O49" s="136">
        <f t="shared" ref="O49:O70" si="288">G49/H49</f>
        <v>126.5</v>
      </c>
      <c r="P49" s="137">
        <f t="shared" si="226"/>
        <v>0</v>
      </c>
      <c r="Q49" s="96">
        <f t="shared" si="227"/>
        <v>0</v>
      </c>
      <c r="R49" s="103"/>
      <c r="S49" s="96"/>
      <c r="T49" s="132">
        <f t="shared" si="28"/>
        <v>1644500</v>
      </c>
      <c r="U49" s="73"/>
      <c r="V49" s="64"/>
      <c r="W49" s="72">
        <f t="shared" si="29"/>
        <v>44</v>
      </c>
      <c r="X49" s="72" t="str">
        <f t="shared" si="30"/>
        <v>김민준</v>
      </c>
      <c r="Y49" s="216">
        <f t="shared" si="286"/>
        <v>49330</v>
      </c>
      <c r="Z49" s="216">
        <f t="shared" si="287"/>
        <v>4930</v>
      </c>
      <c r="AA49" s="183"/>
      <c r="AB49" s="183"/>
      <c r="AC49" s="183"/>
      <c r="AD49" s="183"/>
      <c r="AE49" s="70"/>
      <c r="AF49" s="70"/>
      <c r="AG49" s="132">
        <f t="shared" si="274"/>
        <v>54260</v>
      </c>
      <c r="AH49" s="54">
        <f t="shared" si="275"/>
        <v>1590240</v>
      </c>
      <c r="AI49" s="77"/>
      <c r="AL49" s="22">
        <v>2626000</v>
      </c>
      <c r="AO49" s="22">
        <v>1943500</v>
      </c>
      <c r="AP49" s="159"/>
      <c r="AQ49" s="159">
        <v>1044000</v>
      </c>
      <c r="AR49" s="159">
        <v>1674000</v>
      </c>
      <c r="AS49" s="159">
        <v>2100000</v>
      </c>
      <c r="AT49" s="159">
        <v>1836000</v>
      </c>
      <c r="AU49" s="159">
        <v>1638000</v>
      </c>
      <c r="AV49" s="159">
        <v>1608000</v>
      </c>
      <c r="AW49" s="159">
        <v>1716000</v>
      </c>
    </row>
    <row r="50" spans="1:49" s="22" customFormat="1" ht="20.45" customHeight="1" x14ac:dyDescent="0.6">
      <c r="A50" s="122">
        <f t="shared" si="0"/>
        <v>45</v>
      </c>
      <c r="B50" s="228" t="s">
        <v>308</v>
      </c>
      <c r="C50" s="156" t="s">
        <v>3</v>
      </c>
      <c r="D50" s="122" t="str">
        <f>VLOOKUP(B50,파트!$C$5:$I$95,7,0)</f>
        <v>030306-3156310</v>
      </c>
      <c r="E50" s="163"/>
      <c r="F50" s="118"/>
      <c r="G50" s="70">
        <f>VLOOKUP(B50,파트!$C$5:$H$69,6,0)</f>
        <v>2418000</v>
      </c>
      <c r="H50" s="96">
        <v>13000</v>
      </c>
      <c r="I50" s="97">
        <f t="shared" si="272"/>
        <v>2418000</v>
      </c>
      <c r="J50" s="97"/>
      <c r="K50" s="97"/>
      <c r="L50" s="223"/>
      <c r="M50" s="97"/>
      <c r="N50" s="120">
        <f t="shared" si="224"/>
        <v>0</v>
      </c>
      <c r="O50" s="136">
        <f t="shared" si="288"/>
        <v>186</v>
      </c>
      <c r="P50" s="137">
        <f t="shared" si="226"/>
        <v>0</v>
      </c>
      <c r="Q50" s="96">
        <f t="shared" si="227"/>
        <v>0</v>
      </c>
      <c r="R50" s="103"/>
      <c r="S50" s="96"/>
      <c r="T50" s="132">
        <f t="shared" si="28"/>
        <v>2418000</v>
      </c>
      <c r="U50" s="73"/>
      <c r="V50" s="64"/>
      <c r="W50" s="72">
        <f t="shared" si="29"/>
        <v>45</v>
      </c>
      <c r="X50" s="72" t="str">
        <f t="shared" si="30"/>
        <v>방창배</v>
      </c>
      <c r="Y50" s="216">
        <f t="shared" si="286"/>
        <v>72540</v>
      </c>
      <c r="Z50" s="216">
        <f t="shared" si="287"/>
        <v>7250</v>
      </c>
      <c r="AA50" s="183"/>
      <c r="AB50" s="183"/>
      <c r="AC50" s="183"/>
      <c r="AD50" s="183"/>
      <c r="AE50" s="70"/>
      <c r="AF50" s="70"/>
      <c r="AG50" s="132">
        <f t="shared" si="274"/>
        <v>79790</v>
      </c>
      <c r="AH50" s="54">
        <f t="shared" si="275"/>
        <v>2338210</v>
      </c>
      <c r="AI50" s="77"/>
      <c r="AL50" s="22">
        <v>1579500</v>
      </c>
      <c r="AO50" s="22">
        <v>1625000</v>
      </c>
      <c r="AP50" s="159"/>
      <c r="AQ50" s="159">
        <v>1362000</v>
      </c>
      <c r="AR50" s="159">
        <v>1128000</v>
      </c>
      <c r="AS50" s="159">
        <v>1446000</v>
      </c>
      <c r="AT50" s="159">
        <v>1692000</v>
      </c>
      <c r="AU50" s="159">
        <v>1212000</v>
      </c>
      <c r="AV50" s="159" t="e">
        <v>#N/A</v>
      </c>
      <c r="AW50" s="159" t="e">
        <v>#N/A</v>
      </c>
    </row>
    <row r="51" spans="1:49" s="22" customFormat="1" ht="20.45" customHeight="1" x14ac:dyDescent="0.6">
      <c r="A51" s="122">
        <f t="shared" si="0"/>
        <v>46</v>
      </c>
      <c r="B51" s="228" t="s">
        <v>253</v>
      </c>
      <c r="C51" s="156" t="s">
        <v>3</v>
      </c>
      <c r="D51" s="122" t="str">
        <f>VLOOKUP(B51,파트!$C$5:$I$95,7,0)</f>
        <v>050722-4155113</v>
      </c>
      <c r="E51" s="163"/>
      <c r="F51" s="118"/>
      <c r="G51" s="70">
        <f>VLOOKUP(B51,파트!$C$5:$H$69,6,0)</f>
        <v>1768000</v>
      </c>
      <c r="H51" s="96">
        <v>13000</v>
      </c>
      <c r="I51" s="97">
        <f t="shared" si="272"/>
        <v>1768000</v>
      </c>
      <c r="J51" s="97"/>
      <c r="K51" s="97"/>
      <c r="L51" s="223"/>
      <c r="M51" s="97"/>
      <c r="N51" s="120">
        <f t="shared" si="224"/>
        <v>0</v>
      </c>
      <c r="O51" s="136">
        <f t="shared" si="288"/>
        <v>136</v>
      </c>
      <c r="P51" s="137">
        <f t="shared" si="226"/>
        <v>0</v>
      </c>
      <c r="Q51" s="96">
        <f t="shared" si="227"/>
        <v>0</v>
      </c>
      <c r="R51" s="103"/>
      <c r="S51" s="96"/>
      <c r="T51" s="132">
        <f t="shared" si="28"/>
        <v>1768000</v>
      </c>
      <c r="U51" s="73"/>
      <c r="V51" s="64"/>
      <c r="W51" s="72">
        <f t="shared" si="29"/>
        <v>46</v>
      </c>
      <c r="X51" s="72" t="str">
        <f t="shared" si="30"/>
        <v>주혜원</v>
      </c>
      <c r="Y51" s="216">
        <f t="shared" si="286"/>
        <v>53040</v>
      </c>
      <c r="Z51" s="216">
        <f t="shared" si="287"/>
        <v>5300</v>
      </c>
      <c r="AA51" s="183"/>
      <c r="AB51" s="183"/>
      <c r="AC51" s="183"/>
      <c r="AD51" s="183"/>
      <c r="AE51" s="70"/>
      <c r="AF51" s="70"/>
      <c r="AG51" s="132">
        <f t="shared" si="274"/>
        <v>58340</v>
      </c>
      <c r="AH51" s="54">
        <f t="shared" si="275"/>
        <v>1709660</v>
      </c>
      <c r="AI51" s="77"/>
      <c r="AL51" s="22">
        <v>2762500</v>
      </c>
      <c r="AO51" s="22">
        <v>1612000</v>
      </c>
      <c r="AP51" s="159"/>
      <c r="AQ51" s="159">
        <v>1860000</v>
      </c>
      <c r="AR51" s="159">
        <v>2082000</v>
      </c>
      <c r="AS51" s="159">
        <v>1854000</v>
      </c>
      <c r="AT51" s="159">
        <v>1188000</v>
      </c>
      <c r="AU51" s="159">
        <v>834000</v>
      </c>
      <c r="AV51" s="159">
        <v>822000</v>
      </c>
      <c r="AW51" s="159">
        <v>1890000</v>
      </c>
    </row>
    <row r="52" spans="1:49" s="22" customFormat="1" ht="20.45" customHeight="1" x14ac:dyDescent="0.6">
      <c r="A52" s="122">
        <f t="shared" si="0"/>
        <v>47</v>
      </c>
      <c r="B52" s="228" t="s">
        <v>315</v>
      </c>
      <c r="C52" s="156" t="s">
        <v>3</v>
      </c>
      <c r="D52" s="122" t="str">
        <f>VLOOKUP(B52,파트!$C$5:$I$95,7,0)</f>
        <v>070111-3155018</v>
      </c>
      <c r="E52" s="163"/>
      <c r="F52" s="118"/>
      <c r="G52" s="70">
        <f>VLOOKUP(B52,파트!$C$5:$H$69,6,0)</f>
        <v>1722500</v>
      </c>
      <c r="H52" s="96">
        <v>13000</v>
      </c>
      <c r="I52" s="97">
        <f t="shared" si="272"/>
        <v>1722500</v>
      </c>
      <c r="J52" s="97"/>
      <c r="K52" s="97"/>
      <c r="L52" s="223"/>
      <c r="M52" s="97"/>
      <c r="N52" s="120">
        <f t="shared" si="224"/>
        <v>0</v>
      </c>
      <c r="O52" s="136">
        <f t="shared" si="288"/>
        <v>132.5</v>
      </c>
      <c r="P52" s="137">
        <f t="shared" si="226"/>
        <v>0</v>
      </c>
      <c r="Q52" s="96">
        <f t="shared" si="227"/>
        <v>0</v>
      </c>
      <c r="R52" s="103"/>
      <c r="S52" s="96"/>
      <c r="T52" s="132">
        <f t="shared" si="28"/>
        <v>1722500</v>
      </c>
      <c r="U52" s="73"/>
      <c r="V52" s="64"/>
      <c r="W52" s="72">
        <f t="shared" si="29"/>
        <v>47</v>
      </c>
      <c r="X52" s="72" t="str">
        <f t="shared" si="30"/>
        <v>김철우</v>
      </c>
      <c r="Y52" s="216">
        <f t="shared" si="286"/>
        <v>51670</v>
      </c>
      <c r="Z52" s="216">
        <f t="shared" si="287"/>
        <v>5160</v>
      </c>
      <c r="AA52" s="183"/>
      <c r="AB52" s="183"/>
      <c r="AC52" s="183"/>
      <c r="AD52" s="183"/>
      <c r="AE52" s="70"/>
      <c r="AF52" s="70"/>
      <c r="AG52" s="132">
        <f t="shared" si="274"/>
        <v>56830</v>
      </c>
      <c r="AH52" s="54">
        <f t="shared" si="275"/>
        <v>1665670</v>
      </c>
      <c r="AI52" s="77"/>
      <c r="AL52" s="22">
        <v>1774500</v>
      </c>
      <c r="AO52" s="22">
        <v>1670500</v>
      </c>
      <c r="AP52" s="159"/>
      <c r="AQ52" s="159">
        <v>1308000</v>
      </c>
      <c r="AR52" s="159">
        <v>1344000</v>
      </c>
      <c r="AS52" s="159">
        <v>1488000</v>
      </c>
      <c r="AT52" s="159">
        <v>756000</v>
      </c>
      <c r="AU52" s="159">
        <v>1482000</v>
      </c>
      <c r="AV52" s="159">
        <v>1590000</v>
      </c>
      <c r="AW52" s="159">
        <v>1620000</v>
      </c>
    </row>
    <row r="53" spans="1:49" s="22" customFormat="1" ht="20.45" customHeight="1" x14ac:dyDescent="0.6">
      <c r="A53" s="122">
        <f t="shared" si="0"/>
        <v>48</v>
      </c>
      <c r="B53" s="228" t="s">
        <v>286</v>
      </c>
      <c r="C53" s="156" t="s">
        <v>3</v>
      </c>
      <c r="D53" s="122" t="str">
        <f>VLOOKUP(B53,파트!$C$5:$I$95,7,0)</f>
        <v>990817-2005918</v>
      </c>
      <c r="E53" s="163"/>
      <c r="F53" s="118"/>
      <c r="G53" s="70">
        <f>VLOOKUP(B53,파트!$C$5:$H$69,6,0)</f>
        <v>1508000</v>
      </c>
      <c r="H53" s="96">
        <v>13000</v>
      </c>
      <c r="I53" s="97">
        <f t="shared" si="272"/>
        <v>1508000</v>
      </c>
      <c r="J53" s="97"/>
      <c r="K53" s="97"/>
      <c r="L53" s="223"/>
      <c r="M53" s="97"/>
      <c r="N53" s="120">
        <f t="shared" si="224"/>
        <v>0</v>
      </c>
      <c r="O53" s="136">
        <f t="shared" si="288"/>
        <v>116</v>
      </c>
      <c r="P53" s="137">
        <f t="shared" si="226"/>
        <v>0</v>
      </c>
      <c r="Q53" s="96">
        <f t="shared" si="227"/>
        <v>0</v>
      </c>
      <c r="R53" s="103"/>
      <c r="S53" s="96"/>
      <c r="T53" s="132">
        <f t="shared" si="28"/>
        <v>1508000</v>
      </c>
      <c r="U53" s="73"/>
      <c r="V53" s="64"/>
      <c r="W53" s="72">
        <f t="shared" si="29"/>
        <v>48</v>
      </c>
      <c r="X53" s="72" t="str">
        <f t="shared" si="30"/>
        <v>김수연</v>
      </c>
      <c r="Y53" s="216">
        <f t="shared" si="286"/>
        <v>45240</v>
      </c>
      <c r="Z53" s="216">
        <f t="shared" si="287"/>
        <v>4520</v>
      </c>
      <c r="AA53" s="183"/>
      <c r="AB53" s="183"/>
      <c r="AC53" s="183"/>
      <c r="AD53" s="183"/>
      <c r="AE53" s="70"/>
      <c r="AF53" s="70"/>
      <c r="AG53" s="132">
        <f t="shared" si="274"/>
        <v>49760</v>
      </c>
      <c r="AH53" s="54">
        <f t="shared" si="275"/>
        <v>1458240</v>
      </c>
      <c r="AI53" s="77"/>
      <c r="AL53" s="22">
        <v>1235000</v>
      </c>
      <c r="AO53" s="22">
        <v>845000</v>
      </c>
      <c r="AP53" s="159"/>
      <c r="AQ53" s="159">
        <v>1164000</v>
      </c>
      <c r="AR53" s="159">
        <v>1398000</v>
      </c>
      <c r="AS53" s="159">
        <v>1254000</v>
      </c>
      <c r="AT53" s="159">
        <v>1386000</v>
      </c>
      <c r="AU53" s="159">
        <v>1320000</v>
      </c>
      <c r="AV53" s="159">
        <v>726000</v>
      </c>
      <c r="AW53" s="159" t="e">
        <v>#N/A</v>
      </c>
    </row>
    <row r="54" spans="1:49" s="22" customFormat="1" ht="20.45" customHeight="1" x14ac:dyDescent="0.6">
      <c r="A54" s="122">
        <f t="shared" si="0"/>
        <v>49</v>
      </c>
      <c r="B54" s="228" t="s">
        <v>339</v>
      </c>
      <c r="C54" s="156" t="s">
        <v>3</v>
      </c>
      <c r="D54" s="122" t="str">
        <f>VLOOKUP(B54,파트!$C$5:$I$95,7,0)</f>
        <v>990927-1213821</v>
      </c>
      <c r="E54" s="163"/>
      <c r="F54" s="118"/>
      <c r="G54" s="70">
        <f>VLOOKUP(B54,파트!$C$5:$H$69,6,0)</f>
        <v>2060500</v>
      </c>
      <c r="H54" s="96">
        <v>13000</v>
      </c>
      <c r="I54" s="97">
        <f t="shared" si="272"/>
        <v>2060500</v>
      </c>
      <c r="J54" s="97"/>
      <c r="K54" s="97"/>
      <c r="L54" s="223"/>
      <c r="M54" s="97"/>
      <c r="N54" s="120">
        <f t="shared" si="224"/>
        <v>0</v>
      </c>
      <c r="O54" s="136">
        <f t="shared" si="288"/>
        <v>158.5</v>
      </c>
      <c r="P54" s="137">
        <f t="shared" si="226"/>
        <v>0</v>
      </c>
      <c r="Q54" s="96">
        <f t="shared" si="227"/>
        <v>0</v>
      </c>
      <c r="R54" s="103"/>
      <c r="S54" s="96"/>
      <c r="T54" s="132">
        <f t="shared" si="28"/>
        <v>2060500</v>
      </c>
      <c r="U54" s="73"/>
      <c r="V54" s="64"/>
      <c r="W54" s="72">
        <f t="shared" si="29"/>
        <v>49</v>
      </c>
      <c r="X54" s="72" t="str">
        <f t="shared" si="30"/>
        <v>서진우</v>
      </c>
      <c r="Y54" s="216">
        <f t="shared" ref="Y54:Y70" si="289">ROUNDDOWN(T54*3%,-1)</f>
        <v>61810</v>
      </c>
      <c r="Z54" s="216">
        <f t="shared" ref="Z54:Z70" si="290">ROUNDDOWN(Y54*10%,-1)</f>
        <v>6180</v>
      </c>
      <c r="AA54" s="183"/>
      <c r="AB54" s="183"/>
      <c r="AC54" s="183"/>
      <c r="AD54" s="183"/>
      <c r="AE54" s="70"/>
      <c r="AF54" s="70"/>
      <c r="AG54" s="132">
        <f t="shared" ref="AG54:AG70" si="291">SUM(Y54:AF54)</f>
        <v>67990</v>
      </c>
      <c r="AH54" s="54">
        <f t="shared" ref="AH54:AH70" si="292">T54-AG54</f>
        <v>1992510</v>
      </c>
      <c r="AI54" s="77"/>
      <c r="AL54" s="22">
        <v>2054000</v>
      </c>
      <c r="AO54" s="22">
        <v>1066000</v>
      </c>
      <c r="AP54" s="159"/>
      <c r="AQ54" s="159">
        <v>1296000</v>
      </c>
      <c r="AR54" s="159">
        <v>336000</v>
      </c>
      <c r="AS54" s="159">
        <v>1674000</v>
      </c>
      <c r="AT54" s="159">
        <v>1320000</v>
      </c>
      <c r="AU54" s="159">
        <v>66000</v>
      </c>
      <c r="AV54" s="159" t="e">
        <v>#N/A</v>
      </c>
      <c r="AW54" s="159" t="e">
        <v>#N/A</v>
      </c>
    </row>
    <row r="55" spans="1:49" s="22" customFormat="1" ht="20.45" customHeight="1" x14ac:dyDescent="0.6">
      <c r="A55" s="122">
        <f t="shared" si="0"/>
        <v>50</v>
      </c>
      <c r="B55" s="228" t="s">
        <v>340</v>
      </c>
      <c r="C55" s="156" t="s">
        <v>3</v>
      </c>
      <c r="D55" s="122" t="str">
        <f>VLOOKUP(B55,파트!$C$5:$I$95,7,0)</f>
        <v>020712-3155616</v>
      </c>
      <c r="E55" s="163"/>
      <c r="F55" s="118"/>
      <c r="G55" s="70">
        <f>VLOOKUP(B55,파트!$C$5:$H$69,6,0)</f>
        <v>409500</v>
      </c>
      <c r="H55" s="96">
        <v>13000</v>
      </c>
      <c r="I55" s="97">
        <f t="shared" si="272"/>
        <v>409500</v>
      </c>
      <c r="J55" s="97"/>
      <c r="K55" s="97"/>
      <c r="L55" s="223"/>
      <c r="M55" s="97"/>
      <c r="N55" s="120">
        <f t="shared" si="224"/>
        <v>0</v>
      </c>
      <c r="O55" s="136">
        <f t="shared" si="288"/>
        <v>31.5</v>
      </c>
      <c r="P55" s="137">
        <f t="shared" si="226"/>
        <v>0</v>
      </c>
      <c r="Q55" s="96">
        <f t="shared" si="227"/>
        <v>0</v>
      </c>
      <c r="R55" s="103"/>
      <c r="S55" s="96"/>
      <c r="T55" s="132">
        <f t="shared" si="28"/>
        <v>409500</v>
      </c>
      <c r="U55" s="73"/>
      <c r="V55" s="64"/>
      <c r="W55" s="72">
        <f t="shared" si="29"/>
        <v>50</v>
      </c>
      <c r="X55" s="72" t="str">
        <f t="shared" si="30"/>
        <v>윤동현</v>
      </c>
      <c r="Y55" s="216">
        <f t="shared" si="289"/>
        <v>12280</v>
      </c>
      <c r="Z55" s="216">
        <f t="shared" si="290"/>
        <v>1220</v>
      </c>
      <c r="AA55" s="183"/>
      <c r="AB55" s="183"/>
      <c r="AC55" s="183"/>
      <c r="AD55" s="183"/>
      <c r="AE55" s="70"/>
      <c r="AF55" s="70"/>
      <c r="AG55" s="132">
        <f t="shared" si="291"/>
        <v>13500</v>
      </c>
      <c r="AH55" s="54">
        <f t="shared" si="292"/>
        <v>396000</v>
      </c>
      <c r="AI55" s="77"/>
      <c r="AL55" s="22">
        <v>1885000</v>
      </c>
      <c r="AO55" s="22">
        <v>1911000</v>
      </c>
      <c r="AP55" s="159"/>
      <c r="AQ55" s="159">
        <v>66000</v>
      </c>
      <c r="AR55" s="159">
        <v>1464000</v>
      </c>
      <c r="AS55" s="159">
        <v>1392000</v>
      </c>
      <c r="AT55" s="159">
        <v>1452000</v>
      </c>
      <c r="AU55" s="159">
        <v>66000</v>
      </c>
      <c r="AV55" s="159" t="e">
        <v>#N/A</v>
      </c>
      <c r="AW55" s="159" t="e">
        <v>#N/A</v>
      </c>
    </row>
    <row r="56" spans="1:49" s="22" customFormat="1" ht="20.45" customHeight="1" x14ac:dyDescent="0.6">
      <c r="A56" s="122">
        <f t="shared" si="0"/>
        <v>51</v>
      </c>
      <c r="B56" s="228" t="s">
        <v>410</v>
      </c>
      <c r="C56" s="156" t="s">
        <v>3</v>
      </c>
      <c r="D56" s="122" t="str">
        <f>VLOOKUP(B56,파트!$C$5:$I$95,7,0)</f>
        <v>050215-3122818</v>
      </c>
      <c r="E56" s="163"/>
      <c r="F56" s="118"/>
      <c r="G56" s="70">
        <f>VLOOKUP(B56,파트!$C$5:$H$69,6,0)</f>
        <v>1755000</v>
      </c>
      <c r="H56" s="96">
        <v>13000</v>
      </c>
      <c r="I56" s="97">
        <f t="shared" si="272"/>
        <v>1755000</v>
      </c>
      <c r="J56" s="97"/>
      <c r="K56" s="97"/>
      <c r="L56" s="223"/>
      <c r="M56" s="97"/>
      <c r="N56" s="120">
        <f t="shared" si="224"/>
        <v>0</v>
      </c>
      <c r="O56" s="136">
        <f t="shared" si="288"/>
        <v>135</v>
      </c>
      <c r="P56" s="137">
        <f t="shared" si="226"/>
        <v>0</v>
      </c>
      <c r="Q56" s="96">
        <f t="shared" si="227"/>
        <v>0</v>
      </c>
      <c r="R56" s="103"/>
      <c r="S56" s="96"/>
      <c r="T56" s="132">
        <f t="shared" si="28"/>
        <v>1755000</v>
      </c>
      <c r="U56" s="73"/>
      <c r="V56" s="64"/>
      <c r="W56" s="72">
        <f t="shared" si="29"/>
        <v>51</v>
      </c>
      <c r="X56" s="72" t="str">
        <f t="shared" si="30"/>
        <v>김정진</v>
      </c>
      <c r="Y56" s="216">
        <f t="shared" si="289"/>
        <v>52650</v>
      </c>
      <c r="Z56" s="216">
        <f t="shared" si="290"/>
        <v>5260</v>
      </c>
      <c r="AA56" s="183"/>
      <c r="AB56" s="183"/>
      <c r="AC56" s="183"/>
      <c r="AD56" s="183"/>
      <c r="AE56" s="70"/>
      <c r="AF56" s="70"/>
      <c r="AG56" s="132">
        <f t="shared" si="291"/>
        <v>57910</v>
      </c>
      <c r="AH56" s="54">
        <f t="shared" si="292"/>
        <v>1697090</v>
      </c>
      <c r="AI56" s="77"/>
      <c r="AL56" s="22">
        <v>2106000</v>
      </c>
      <c r="AO56" s="22">
        <v>1371500</v>
      </c>
      <c r="AP56" s="159"/>
      <c r="AQ56" s="159">
        <v>1200000</v>
      </c>
      <c r="AR56" s="159">
        <v>594000</v>
      </c>
      <c r="AS56" s="159">
        <v>402000</v>
      </c>
      <c r="AT56" s="159">
        <v>1518000</v>
      </c>
      <c r="AU56" s="159">
        <v>1530000</v>
      </c>
      <c r="AV56" s="159" t="e">
        <v>#N/A</v>
      </c>
      <c r="AW56" s="159" t="e">
        <v>#N/A</v>
      </c>
    </row>
    <row r="57" spans="1:49" s="22" customFormat="1" ht="20.45" customHeight="1" x14ac:dyDescent="0.6">
      <c r="A57" s="122">
        <f t="shared" si="0"/>
        <v>52</v>
      </c>
      <c r="B57" s="228" t="s">
        <v>411</v>
      </c>
      <c r="C57" s="156" t="s">
        <v>3</v>
      </c>
      <c r="D57" s="122" t="str">
        <f>VLOOKUP(B57,파트!$C$5:$I$95,7,0)</f>
        <v>010212-4163121</v>
      </c>
      <c r="E57" s="163"/>
      <c r="F57" s="118"/>
      <c r="G57" s="70">
        <f>VLOOKUP(B57,파트!$C$5:$H$69,6,0)</f>
        <v>786500</v>
      </c>
      <c r="H57" s="96">
        <v>13000</v>
      </c>
      <c r="I57" s="97">
        <f t="shared" si="272"/>
        <v>786500</v>
      </c>
      <c r="J57" s="97"/>
      <c r="K57" s="97"/>
      <c r="L57" s="223"/>
      <c r="M57" s="97"/>
      <c r="N57" s="120">
        <f t="shared" si="224"/>
        <v>0</v>
      </c>
      <c r="O57" s="136">
        <f t="shared" si="288"/>
        <v>60.5</v>
      </c>
      <c r="P57" s="137">
        <f t="shared" si="226"/>
        <v>0</v>
      </c>
      <c r="Q57" s="96">
        <f t="shared" si="227"/>
        <v>0</v>
      </c>
      <c r="R57" s="103"/>
      <c r="S57" s="96"/>
      <c r="T57" s="132">
        <f t="shared" si="28"/>
        <v>786500</v>
      </c>
      <c r="U57" s="73"/>
      <c r="V57" s="64"/>
      <c r="W57" s="72">
        <f t="shared" si="29"/>
        <v>52</v>
      </c>
      <c r="X57" s="72" t="str">
        <f t="shared" si="30"/>
        <v>황수아</v>
      </c>
      <c r="Y57" s="216">
        <f t="shared" si="289"/>
        <v>23590</v>
      </c>
      <c r="Z57" s="216">
        <f t="shared" si="290"/>
        <v>2350</v>
      </c>
      <c r="AA57" s="183"/>
      <c r="AB57" s="183"/>
      <c r="AC57" s="183"/>
      <c r="AD57" s="183"/>
      <c r="AE57" s="70"/>
      <c r="AF57" s="70"/>
      <c r="AG57" s="132">
        <f t="shared" si="291"/>
        <v>25940</v>
      </c>
      <c r="AH57" s="54">
        <f t="shared" si="292"/>
        <v>760560</v>
      </c>
      <c r="AI57" s="77"/>
      <c r="AL57" s="22">
        <v>1072500</v>
      </c>
      <c r="AO57" s="22">
        <v>936000</v>
      </c>
      <c r="AP57" s="159"/>
      <c r="AQ57" s="159">
        <v>1464000</v>
      </c>
      <c r="AR57" s="159">
        <v>1344000</v>
      </c>
      <c r="AS57" s="159">
        <v>1386000</v>
      </c>
      <c r="AT57" s="159">
        <v>1050000</v>
      </c>
      <c r="AU57" s="159">
        <v>1188000</v>
      </c>
      <c r="AV57" s="159">
        <v>1038000</v>
      </c>
      <c r="AW57" s="159" t="e">
        <v>#N/A</v>
      </c>
    </row>
    <row r="58" spans="1:49" s="22" customFormat="1" ht="21.95" customHeight="1" x14ac:dyDescent="0.6">
      <c r="A58" s="122">
        <f t="shared" si="0"/>
        <v>53</v>
      </c>
      <c r="B58" s="228" t="s">
        <v>341</v>
      </c>
      <c r="C58" s="156" t="s">
        <v>3</v>
      </c>
      <c r="D58" s="122" t="str">
        <f>VLOOKUP(B58,파트!$C$5:$I$95,7,0)</f>
        <v>990824-1081317</v>
      </c>
      <c r="E58" s="163"/>
      <c r="F58" s="118"/>
      <c r="G58" s="70">
        <f>VLOOKUP(B58,파트!$C$5:$H$69,6,0)</f>
        <v>2002000</v>
      </c>
      <c r="H58" s="96">
        <v>13000</v>
      </c>
      <c r="I58" s="97">
        <f t="shared" si="272"/>
        <v>2002000</v>
      </c>
      <c r="J58" s="97"/>
      <c r="K58" s="97"/>
      <c r="L58" s="223"/>
      <c r="M58" s="97"/>
      <c r="N58" s="120">
        <f t="shared" si="224"/>
        <v>0</v>
      </c>
      <c r="O58" s="136">
        <f t="shared" si="288"/>
        <v>154</v>
      </c>
      <c r="P58" s="137">
        <f t="shared" si="226"/>
        <v>0</v>
      </c>
      <c r="Q58" s="96">
        <f t="shared" si="227"/>
        <v>0</v>
      </c>
      <c r="R58" s="103"/>
      <c r="S58" s="96"/>
      <c r="T58" s="132">
        <f t="shared" si="28"/>
        <v>2002000</v>
      </c>
      <c r="U58" s="73"/>
      <c r="V58" s="64"/>
      <c r="W58" s="72">
        <f t="shared" si="29"/>
        <v>53</v>
      </c>
      <c r="X58" s="72" t="str">
        <f t="shared" si="30"/>
        <v>김동현</v>
      </c>
      <c r="Y58" s="216">
        <f t="shared" si="289"/>
        <v>60060</v>
      </c>
      <c r="Z58" s="216">
        <f t="shared" si="290"/>
        <v>6000</v>
      </c>
      <c r="AA58" s="183"/>
      <c r="AB58" s="183"/>
      <c r="AC58" s="183"/>
      <c r="AD58" s="183"/>
      <c r="AE58" s="70"/>
      <c r="AF58" s="70"/>
      <c r="AG58" s="132">
        <f t="shared" si="291"/>
        <v>66060</v>
      </c>
      <c r="AH58" s="54">
        <f t="shared" si="292"/>
        <v>1935940</v>
      </c>
      <c r="AI58" s="77"/>
      <c r="AL58" s="22">
        <v>1202500</v>
      </c>
      <c r="AO58" s="22">
        <v>1716000</v>
      </c>
      <c r="AP58" s="159"/>
      <c r="AQ58" s="159">
        <v>1260000</v>
      </c>
      <c r="AR58" s="159">
        <v>138000</v>
      </c>
      <c r="AS58" s="159">
        <v>876000</v>
      </c>
      <c r="AT58" s="159">
        <v>840000</v>
      </c>
      <c r="AU58" s="159">
        <v>726000</v>
      </c>
      <c r="AV58" s="159">
        <v>714000</v>
      </c>
      <c r="AW58" s="159">
        <v>1920000</v>
      </c>
    </row>
    <row r="59" spans="1:49" s="22" customFormat="1" ht="21.95" customHeight="1" x14ac:dyDescent="0.6">
      <c r="A59" s="122">
        <f t="shared" si="0"/>
        <v>54</v>
      </c>
      <c r="B59" s="228" t="s">
        <v>342</v>
      </c>
      <c r="C59" s="156" t="s">
        <v>3</v>
      </c>
      <c r="D59" s="122" t="str">
        <f>VLOOKUP(B59,파트!$C$5:$I$95,7,0)</f>
        <v>071229-3158912</v>
      </c>
      <c r="E59" s="163"/>
      <c r="F59" s="118"/>
      <c r="G59" s="70">
        <f>VLOOKUP(B59,파트!$C$5:$H$69,6,0)</f>
        <v>1729000</v>
      </c>
      <c r="H59" s="96">
        <v>13000</v>
      </c>
      <c r="I59" s="97">
        <f t="shared" si="272"/>
        <v>1729000</v>
      </c>
      <c r="J59" s="97"/>
      <c r="K59" s="97"/>
      <c r="L59" s="223"/>
      <c r="M59" s="97"/>
      <c r="N59" s="120">
        <f t="shared" si="224"/>
        <v>0</v>
      </c>
      <c r="O59" s="136">
        <f t="shared" si="288"/>
        <v>133</v>
      </c>
      <c r="P59" s="137">
        <f t="shared" si="226"/>
        <v>0</v>
      </c>
      <c r="Q59" s="96">
        <f t="shared" si="227"/>
        <v>0</v>
      </c>
      <c r="R59" s="103"/>
      <c r="S59" s="96"/>
      <c r="T59" s="132">
        <f t="shared" si="28"/>
        <v>1729000</v>
      </c>
      <c r="U59" s="73"/>
      <c r="V59" s="64"/>
      <c r="W59" s="72">
        <f t="shared" si="29"/>
        <v>54</v>
      </c>
      <c r="X59" s="72" t="str">
        <f t="shared" si="30"/>
        <v>이태현</v>
      </c>
      <c r="Y59" s="216">
        <f t="shared" si="289"/>
        <v>51870</v>
      </c>
      <c r="Z59" s="216">
        <f t="shared" si="290"/>
        <v>5180</v>
      </c>
      <c r="AA59" s="183"/>
      <c r="AB59" s="183"/>
      <c r="AC59" s="183"/>
      <c r="AD59" s="183"/>
      <c r="AE59" s="70"/>
      <c r="AF59" s="70"/>
      <c r="AG59" s="132">
        <f t="shared" si="291"/>
        <v>57050</v>
      </c>
      <c r="AH59" s="54">
        <f t="shared" si="292"/>
        <v>1671950</v>
      </c>
      <c r="AI59" s="77"/>
      <c r="AL59" s="22">
        <v>2106000</v>
      </c>
      <c r="AO59" s="22">
        <v>1898000</v>
      </c>
      <c r="AP59" s="159"/>
      <c r="AQ59" s="159">
        <v>726000</v>
      </c>
      <c r="AR59" s="159">
        <v>630000</v>
      </c>
      <c r="AS59" s="159">
        <v>630000</v>
      </c>
      <c r="AT59" s="159">
        <v>618000</v>
      </c>
      <c r="AU59" s="159">
        <v>1560000</v>
      </c>
      <c r="AV59" s="159">
        <v>1134000</v>
      </c>
      <c r="AW59" s="159">
        <v>1194000</v>
      </c>
    </row>
    <row r="60" spans="1:49" s="22" customFormat="1" ht="21.95" customHeight="1" x14ac:dyDescent="0.6">
      <c r="A60" s="122">
        <f t="shared" si="0"/>
        <v>55</v>
      </c>
      <c r="B60" s="228" t="s">
        <v>412</v>
      </c>
      <c r="C60" s="156" t="s">
        <v>3</v>
      </c>
      <c r="D60" s="122" t="str">
        <f>VLOOKUP(B60,파트!$C$5:$I$95,7,0)</f>
        <v>050804-4156712</v>
      </c>
      <c r="E60" s="163"/>
      <c r="F60" s="118"/>
      <c r="G60" s="70">
        <f>VLOOKUP(B60,파트!$C$5:$H$69,6,0)</f>
        <v>643500</v>
      </c>
      <c r="H60" s="96">
        <v>13000</v>
      </c>
      <c r="I60" s="97">
        <f t="shared" si="272"/>
        <v>643500</v>
      </c>
      <c r="J60" s="97"/>
      <c r="K60" s="97"/>
      <c r="L60" s="223"/>
      <c r="M60" s="97"/>
      <c r="N60" s="120">
        <f t="shared" si="224"/>
        <v>0</v>
      </c>
      <c r="O60" s="136">
        <f t="shared" si="288"/>
        <v>49.5</v>
      </c>
      <c r="P60" s="137">
        <f t="shared" si="226"/>
        <v>0</v>
      </c>
      <c r="Q60" s="96">
        <f t="shared" si="227"/>
        <v>0</v>
      </c>
      <c r="R60" s="103"/>
      <c r="S60" s="96"/>
      <c r="T60" s="132">
        <f t="shared" si="28"/>
        <v>643500</v>
      </c>
      <c r="U60" s="73"/>
      <c r="V60" s="64"/>
      <c r="W60" s="72">
        <f t="shared" si="29"/>
        <v>55</v>
      </c>
      <c r="X60" s="72" t="str">
        <f t="shared" si="30"/>
        <v>주희연</v>
      </c>
      <c r="Y60" s="216">
        <f t="shared" si="289"/>
        <v>19300</v>
      </c>
      <c r="Z60" s="216">
        <f t="shared" si="290"/>
        <v>1930</v>
      </c>
      <c r="AA60" s="183"/>
      <c r="AB60" s="183"/>
      <c r="AC60" s="183"/>
      <c r="AD60" s="183"/>
      <c r="AE60" s="70"/>
      <c r="AF60" s="70"/>
      <c r="AG60" s="132">
        <f t="shared" si="291"/>
        <v>21230</v>
      </c>
      <c r="AH60" s="54">
        <f t="shared" si="292"/>
        <v>622270</v>
      </c>
      <c r="AI60" s="77"/>
      <c r="AL60" s="22">
        <v>2021500</v>
      </c>
      <c r="AO60" s="22">
        <v>1488500</v>
      </c>
      <c r="AP60" s="159"/>
      <c r="AQ60" s="159">
        <v>72000</v>
      </c>
      <c r="AR60" s="159">
        <v>72000</v>
      </c>
      <c r="AS60" s="159">
        <v>156000</v>
      </c>
      <c r="AT60" s="159">
        <v>552000</v>
      </c>
      <c r="AU60" s="159">
        <v>912000</v>
      </c>
      <c r="AV60" s="159">
        <v>552000</v>
      </c>
      <c r="AW60" s="159">
        <v>912000</v>
      </c>
    </row>
    <row r="61" spans="1:49" s="22" customFormat="1" ht="21.95" customHeight="1" x14ac:dyDescent="0.6">
      <c r="A61" s="122">
        <f t="shared" si="0"/>
        <v>56</v>
      </c>
      <c r="B61" s="228" t="s">
        <v>388</v>
      </c>
      <c r="C61" s="156" t="s">
        <v>3</v>
      </c>
      <c r="D61" s="122" t="str">
        <f>VLOOKUP(B61,파트!$C$5:$I$95,7,0)</f>
        <v>070904-4156018</v>
      </c>
      <c r="E61" s="163"/>
      <c r="F61" s="118"/>
      <c r="G61" s="70">
        <f>VLOOKUP(B61,파트!$C$5:$H$69,6,0)</f>
        <v>1358500</v>
      </c>
      <c r="H61" s="96">
        <v>13000</v>
      </c>
      <c r="I61" s="97">
        <f t="shared" si="272"/>
        <v>1358500</v>
      </c>
      <c r="J61" s="97"/>
      <c r="K61" s="97"/>
      <c r="L61" s="224"/>
      <c r="M61" s="97"/>
      <c r="N61" s="120">
        <f t="shared" si="224"/>
        <v>0</v>
      </c>
      <c r="O61" s="136">
        <f t="shared" si="288"/>
        <v>104.5</v>
      </c>
      <c r="P61" s="137">
        <f t="shared" si="226"/>
        <v>0</v>
      </c>
      <c r="Q61" s="96">
        <f t="shared" si="227"/>
        <v>0</v>
      </c>
      <c r="R61" s="103"/>
      <c r="S61" s="96"/>
      <c r="T61" s="132">
        <f t="shared" si="28"/>
        <v>1358500</v>
      </c>
      <c r="U61" s="73"/>
      <c r="V61" s="64"/>
      <c r="W61" s="72">
        <f t="shared" si="29"/>
        <v>56</v>
      </c>
      <c r="X61" s="72" t="str">
        <f t="shared" si="30"/>
        <v>김서연</v>
      </c>
      <c r="Y61" s="216">
        <f t="shared" si="289"/>
        <v>40750</v>
      </c>
      <c r="Z61" s="216">
        <f t="shared" si="290"/>
        <v>4070</v>
      </c>
      <c r="AA61" s="183"/>
      <c r="AB61" s="183"/>
      <c r="AC61" s="183"/>
      <c r="AD61" s="183"/>
      <c r="AE61" s="70"/>
      <c r="AF61" s="70"/>
      <c r="AG61" s="132">
        <f t="shared" si="291"/>
        <v>44820</v>
      </c>
      <c r="AH61" s="54">
        <f t="shared" si="292"/>
        <v>1313680</v>
      </c>
      <c r="AI61" s="77"/>
      <c r="AL61" s="22">
        <v>715000</v>
      </c>
      <c r="AO61" s="22">
        <v>1592500</v>
      </c>
      <c r="AP61" s="159"/>
      <c r="AQ61" s="159">
        <v>396000</v>
      </c>
      <c r="AR61" s="159">
        <v>1074000</v>
      </c>
      <c r="AS61" s="159">
        <v>1596000</v>
      </c>
      <c r="AT61" s="159">
        <v>966000</v>
      </c>
      <c r="AU61" s="159">
        <v>1122000</v>
      </c>
      <c r="AV61" s="159">
        <v>1200000</v>
      </c>
      <c r="AW61" s="159">
        <v>1194000</v>
      </c>
    </row>
    <row r="62" spans="1:49" s="22" customFormat="1" ht="21.95" customHeight="1" x14ac:dyDescent="0.6">
      <c r="A62" s="122">
        <f t="shared" si="0"/>
        <v>57</v>
      </c>
      <c r="B62" s="228" t="s">
        <v>365</v>
      </c>
      <c r="C62" s="156" t="s">
        <v>3</v>
      </c>
      <c r="D62" s="122" t="str">
        <f>VLOOKUP(B62,파트!$C$5:$I$95,7,0)</f>
        <v>731006-2894913</v>
      </c>
      <c r="E62" s="163"/>
      <c r="F62" s="118"/>
      <c r="G62" s="70">
        <f>VLOOKUP(B62,파트!$C$5:$H$69,6,0)</f>
        <v>1794000</v>
      </c>
      <c r="H62" s="96">
        <v>13000</v>
      </c>
      <c r="I62" s="97">
        <f t="shared" si="272"/>
        <v>1794000</v>
      </c>
      <c r="J62" s="97"/>
      <c r="K62" s="97"/>
      <c r="L62" s="224"/>
      <c r="M62" s="97"/>
      <c r="N62" s="120">
        <f t="shared" si="224"/>
        <v>0</v>
      </c>
      <c r="O62" s="136">
        <f t="shared" si="288"/>
        <v>138</v>
      </c>
      <c r="P62" s="137">
        <f t="shared" si="226"/>
        <v>0</v>
      </c>
      <c r="Q62" s="96">
        <f t="shared" si="227"/>
        <v>0</v>
      </c>
      <c r="R62" s="103"/>
      <c r="S62" s="96"/>
      <c r="T62" s="132">
        <f t="shared" si="28"/>
        <v>1794000</v>
      </c>
      <c r="U62" s="73"/>
      <c r="V62" s="64"/>
      <c r="W62" s="72">
        <f t="shared" si="29"/>
        <v>57</v>
      </c>
      <c r="X62" s="72" t="str">
        <f t="shared" si="30"/>
        <v>권은주</v>
      </c>
      <c r="Y62" s="216">
        <f t="shared" si="289"/>
        <v>53820</v>
      </c>
      <c r="Z62" s="216">
        <f t="shared" si="290"/>
        <v>5380</v>
      </c>
      <c r="AA62" s="183"/>
      <c r="AB62" s="183"/>
      <c r="AC62" s="183"/>
      <c r="AD62" s="183"/>
      <c r="AE62" s="70"/>
      <c r="AF62" s="70"/>
      <c r="AG62" s="132">
        <f t="shared" si="291"/>
        <v>59200</v>
      </c>
      <c r="AH62" s="54">
        <f t="shared" si="292"/>
        <v>1734800</v>
      </c>
      <c r="AI62" s="77"/>
      <c r="AL62" s="22">
        <v>1293500</v>
      </c>
      <c r="AO62" s="22">
        <v>1599000</v>
      </c>
      <c r="AP62" s="159"/>
      <c r="AQ62" s="159">
        <v>1554000</v>
      </c>
      <c r="AR62" s="159">
        <v>840000</v>
      </c>
      <c r="AS62" s="159">
        <v>528000</v>
      </c>
      <c r="AT62" s="159">
        <v>1104000</v>
      </c>
      <c r="AU62" s="159">
        <v>618000</v>
      </c>
      <c r="AV62" s="159">
        <v>1398000</v>
      </c>
      <c r="AW62" s="159">
        <v>1014000</v>
      </c>
    </row>
    <row r="63" spans="1:49" s="22" customFormat="1" ht="21.95" customHeight="1" x14ac:dyDescent="0.6">
      <c r="A63" s="122">
        <f t="shared" si="0"/>
        <v>58</v>
      </c>
      <c r="B63" s="228" t="s">
        <v>413</v>
      </c>
      <c r="C63" s="156" t="s">
        <v>3</v>
      </c>
      <c r="D63" s="122" t="str">
        <f>VLOOKUP(B63,파트!$C$5:$I$95,7,0)</f>
        <v>071012-3154816</v>
      </c>
      <c r="E63" s="163"/>
      <c r="F63" s="118"/>
      <c r="G63" s="70">
        <f>VLOOKUP(B63,파트!$C$5:$H$69,6,0)</f>
        <v>1521000</v>
      </c>
      <c r="H63" s="96">
        <v>13000</v>
      </c>
      <c r="I63" s="97">
        <f t="shared" si="272"/>
        <v>1521000</v>
      </c>
      <c r="J63" s="97"/>
      <c r="K63" s="97"/>
      <c r="L63" s="224"/>
      <c r="M63" s="97"/>
      <c r="N63" s="120">
        <f t="shared" si="224"/>
        <v>0</v>
      </c>
      <c r="O63" s="136">
        <f t="shared" si="288"/>
        <v>117</v>
      </c>
      <c r="P63" s="137">
        <f t="shared" si="226"/>
        <v>0</v>
      </c>
      <c r="Q63" s="96">
        <f t="shared" si="227"/>
        <v>0</v>
      </c>
      <c r="R63" s="103"/>
      <c r="S63" s="96"/>
      <c r="T63" s="132">
        <f t="shared" si="28"/>
        <v>1521000</v>
      </c>
      <c r="U63" s="73"/>
      <c r="V63" s="64"/>
      <c r="W63" s="72">
        <f t="shared" si="29"/>
        <v>58</v>
      </c>
      <c r="X63" s="72" t="str">
        <f t="shared" si="30"/>
        <v>박경원</v>
      </c>
      <c r="Y63" s="216">
        <f t="shared" si="289"/>
        <v>45630</v>
      </c>
      <c r="Z63" s="216">
        <f t="shared" si="290"/>
        <v>4560</v>
      </c>
      <c r="AA63" s="183"/>
      <c r="AB63" s="183"/>
      <c r="AC63" s="183"/>
      <c r="AD63" s="183"/>
      <c r="AE63" s="70"/>
      <c r="AF63" s="70"/>
      <c r="AG63" s="132">
        <f t="shared" si="291"/>
        <v>50190</v>
      </c>
      <c r="AH63" s="54">
        <f t="shared" si="292"/>
        <v>1470810</v>
      </c>
      <c r="AI63" s="77"/>
      <c r="AL63" s="22">
        <v>1800500</v>
      </c>
      <c r="AO63" s="22">
        <v>1501500</v>
      </c>
      <c r="AP63" s="159"/>
      <c r="AQ63" s="159">
        <v>654000</v>
      </c>
      <c r="AR63" s="159">
        <v>960000</v>
      </c>
      <c r="AS63" s="159">
        <v>864000</v>
      </c>
      <c r="AT63" s="159">
        <v>444000</v>
      </c>
      <c r="AU63" s="159">
        <v>1254000</v>
      </c>
      <c r="AV63" s="159">
        <v>426000</v>
      </c>
      <c r="AW63" s="159">
        <v>822000</v>
      </c>
    </row>
    <row r="64" spans="1:49" s="22" customFormat="1" ht="21.95" customHeight="1" x14ac:dyDescent="0.6">
      <c r="A64" s="122">
        <f t="shared" si="0"/>
        <v>59</v>
      </c>
      <c r="B64" s="228" t="s">
        <v>389</v>
      </c>
      <c r="C64" s="156" t="s">
        <v>3</v>
      </c>
      <c r="D64" s="122" t="str">
        <f>VLOOKUP(B64,파트!$C$5:$I$95,7,0)</f>
        <v>040202-4784027</v>
      </c>
      <c r="E64" s="163"/>
      <c r="F64" s="118"/>
      <c r="G64" s="70">
        <f>VLOOKUP(B64,파트!$C$5:$H$69,6,0)</f>
        <v>1287000</v>
      </c>
      <c r="H64" s="96">
        <v>13000</v>
      </c>
      <c r="I64" s="97">
        <f t="shared" si="272"/>
        <v>1287000</v>
      </c>
      <c r="J64" s="97"/>
      <c r="K64" s="97"/>
      <c r="L64" s="224"/>
      <c r="M64" s="97"/>
      <c r="N64" s="120">
        <f t="shared" si="224"/>
        <v>0</v>
      </c>
      <c r="O64" s="136">
        <f t="shared" si="288"/>
        <v>99</v>
      </c>
      <c r="P64" s="137">
        <f t="shared" si="226"/>
        <v>0</v>
      </c>
      <c r="Q64" s="96">
        <f t="shared" si="227"/>
        <v>0</v>
      </c>
      <c r="R64" s="103"/>
      <c r="S64" s="96"/>
      <c r="T64" s="132">
        <f t="shared" si="28"/>
        <v>1287000</v>
      </c>
      <c r="U64" s="73"/>
      <c r="V64" s="64"/>
      <c r="W64" s="72">
        <f t="shared" si="29"/>
        <v>59</v>
      </c>
      <c r="X64" s="72" t="str">
        <f t="shared" si="30"/>
        <v>이혜원</v>
      </c>
      <c r="Y64" s="216">
        <f t="shared" si="289"/>
        <v>38610</v>
      </c>
      <c r="Z64" s="216">
        <f t="shared" si="290"/>
        <v>3860</v>
      </c>
      <c r="AA64" s="183"/>
      <c r="AB64" s="183"/>
      <c r="AC64" s="183"/>
      <c r="AD64" s="183"/>
      <c r="AE64" s="70"/>
      <c r="AF64" s="70"/>
      <c r="AG64" s="132">
        <f t="shared" si="291"/>
        <v>42470</v>
      </c>
      <c r="AH64" s="54">
        <f t="shared" si="292"/>
        <v>1244530</v>
      </c>
      <c r="AI64" s="77"/>
      <c r="AL64" s="22">
        <v>767000</v>
      </c>
      <c r="AO64" s="22">
        <v>1287000</v>
      </c>
      <c r="AP64" s="159"/>
      <c r="AQ64" s="159">
        <v>972000</v>
      </c>
      <c r="AR64" s="159">
        <v>348000</v>
      </c>
      <c r="AS64" s="159">
        <v>726000</v>
      </c>
      <c r="AT64" s="159">
        <v>1344000</v>
      </c>
      <c r="AU64" s="159">
        <v>1314000</v>
      </c>
      <c r="AV64" s="159">
        <v>1878000</v>
      </c>
      <c r="AW64" s="159">
        <v>1440000</v>
      </c>
    </row>
    <row r="65" spans="1:49" s="22" customFormat="1" ht="21.95" customHeight="1" x14ac:dyDescent="0.6">
      <c r="A65" s="122">
        <f t="shared" si="0"/>
        <v>60</v>
      </c>
      <c r="B65" s="228" t="s">
        <v>263</v>
      </c>
      <c r="C65" s="156" t="s">
        <v>3</v>
      </c>
      <c r="D65" s="122" t="str">
        <f>VLOOKUP(B65,파트!$C$5:$I$95,7,0)</f>
        <v>040501-4156419</v>
      </c>
      <c r="E65" s="163"/>
      <c r="F65" s="118"/>
      <c r="G65" s="70">
        <f>VLOOKUP(B65,파트!$C$5:$H$69,6,0)</f>
        <v>1638000</v>
      </c>
      <c r="H65" s="96">
        <v>13000</v>
      </c>
      <c r="I65" s="97">
        <f t="shared" si="272"/>
        <v>1638000</v>
      </c>
      <c r="J65" s="97"/>
      <c r="K65" s="97"/>
      <c r="L65" s="224"/>
      <c r="M65" s="97"/>
      <c r="N65" s="120">
        <f t="shared" si="224"/>
        <v>0</v>
      </c>
      <c r="O65" s="136">
        <f t="shared" si="288"/>
        <v>126</v>
      </c>
      <c r="P65" s="137">
        <f t="shared" si="226"/>
        <v>0</v>
      </c>
      <c r="Q65" s="96">
        <f t="shared" si="227"/>
        <v>0</v>
      </c>
      <c r="R65" s="103"/>
      <c r="S65" s="96"/>
      <c r="T65" s="132">
        <f t="shared" si="28"/>
        <v>1638000</v>
      </c>
      <c r="U65" s="73"/>
      <c r="V65" s="64"/>
      <c r="W65" s="72">
        <f t="shared" si="29"/>
        <v>60</v>
      </c>
      <c r="X65" s="72" t="str">
        <f t="shared" si="30"/>
        <v>이다온</v>
      </c>
      <c r="Y65" s="216">
        <f t="shared" si="289"/>
        <v>49140</v>
      </c>
      <c r="Z65" s="216">
        <f t="shared" si="290"/>
        <v>4910</v>
      </c>
      <c r="AA65" s="183"/>
      <c r="AB65" s="183"/>
      <c r="AC65" s="183"/>
      <c r="AD65" s="183"/>
      <c r="AE65" s="70"/>
      <c r="AF65" s="70"/>
      <c r="AG65" s="132">
        <f t="shared" si="291"/>
        <v>54050</v>
      </c>
      <c r="AH65" s="54">
        <f t="shared" si="292"/>
        <v>1583950</v>
      </c>
      <c r="AI65" s="77"/>
      <c r="AL65" s="22">
        <v>500500</v>
      </c>
      <c r="AO65" s="22">
        <v>156000</v>
      </c>
      <c r="AP65" s="159"/>
      <c r="AQ65" s="159">
        <v>432000</v>
      </c>
      <c r="AR65" s="159">
        <v>1272000</v>
      </c>
      <c r="AS65" s="159">
        <v>1338000</v>
      </c>
      <c r="AT65" s="159">
        <v>762000</v>
      </c>
      <c r="AU65" s="159">
        <v>672000</v>
      </c>
      <c r="AV65" s="159">
        <v>420000</v>
      </c>
      <c r="AW65" s="159">
        <v>1194000</v>
      </c>
    </row>
    <row r="66" spans="1:49" s="22" customFormat="1" ht="21.95" customHeight="1" x14ac:dyDescent="0.6">
      <c r="A66" s="122">
        <f t="shared" si="0"/>
        <v>61</v>
      </c>
      <c r="B66" s="228" t="s">
        <v>265</v>
      </c>
      <c r="C66" s="156" t="s">
        <v>3</v>
      </c>
      <c r="D66" s="122" t="str">
        <f>VLOOKUP(B66,파트!$C$5:$I$95,7,0)</f>
        <v>040612-3184329</v>
      </c>
      <c r="E66" s="163"/>
      <c r="F66" s="118"/>
      <c r="G66" s="70">
        <f>VLOOKUP(B66,파트!$C$5:$H$69,6,0)</f>
        <v>533000</v>
      </c>
      <c r="H66" s="96">
        <v>13000</v>
      </c>
      <c r="I66" s="97">
        <f t="shared" si="272"/>
        <v>533000</v>
      </c>
      <c r="J66" s="97"/>
      <c r="K66" s="97"/>
      <c r="L66" s="224"/>
      <c r="M66" s="97"/>
      <c r="N66" s="120">
        <f t="shared" si="224"/>
        <v>0</v>
      </c>
      <c r="O66" s="136">
        <f t="shared" si="288"/>
        <v>41</v>
      </c>
      <c r="P66" s="137">
        <f t="shared" si="226"/>
        <v>0</v>
      </c>
      <c r="Q66" s="96">
        <f t="shared" si="227"/>
        <v>0</v>
      </c>
      <c r="R66" s="103"/>
      <c r="S66" s="96"/>
      <c r="T66" s="132">
        <f t="shared" si="28"/>
        <v>533000</v>
      </c>
      <c r="U66" s="73"/>
      <c r="V66" s="64"/>
      <c r="W66" s="72">
        <f t="shared" si="29"/>
        <v>61</v>
      </c>
      <c r="X66" s="72" t="str">
        <f t="shared" si="30"/>
        <v>강준은</v>
      </c>
      <c r="Y66" s="216">
        <f t="shared" si="289"/>
        <v>15990</v>
      </c>
      <c r="Z66" s="216">
        <f t="shared" si="290"/>
        <v>1590</v>
      </c>
      <c r="AA66" s="183"/>
      <c r="AB66" s="183"/>
      <c r="AC66" s="183"/>
      <c r="AD66" s="183"/>
      <c r="AE66" s="70"/>
      <c r="AF66" s="70"/>
      <c r="AG66" s="132">
        <f t="shared" si="291"/>
        <v>17580</v>
      </c>
      <c r="AH66" s="54">
        <f t="shared" si="292"/>
        <v>515420</v>
      </c>
      <c r="AI66" s="77"/>
      <c r="AL66" s="22">
        <v>1690000</v>
      </c>
      <c r="AO66" s="22">
        <v>1365000</v>
      </c>
      <c r="AP66" s="159"/>
      <c r="AQ66" s="159">
        <v>870000</v>
      </c>
      <c r="AR66" s="159">
        <v>1470000</v>
      </c>
      <c r="AS66" s="159">
        <v>1242000</v>
      </c>
      <c r="AT66" s="159">
        <v>2100000</v>
      </c>
      <c r="AU66" s="159">
        <v>1902000</v>
      </c>
      <c r="AV66" s="159">
        <v>1350000</v>
      </c>
      <c r="AW66" s="159" t="e">
        <v>#N/A</v>
      </c>
    </row>
    <row r="67" spans="1:49" s="22" customFormat="1" ht="21.95" customHeight="1" x14ac:dyDescent="0.6">
      <c r="A67" s="122">
        <f t="shared" si="0"/>
        <v>62</v>
      </c>
      <c r="B67" s="228" t="s">
        <v>38</v>
      </c>
      <c r="C67" s="156" t="s">
        <v>3</v>
      </c>
      <c r="D67" s="122" t="str">
        <f>VLOOKUP(B67,파트!$C$5:$I$95,7,0)</f>
        <v>030923-4151819</v>
      </c>
      <c r="E67" s="163"/>
      <c r="F67" s="118"/>
      <c r="G67" s="70">
        <f>VLOOKUP(B67,파트!$C$5:$H$69,6,0)</f>
        <v>1755000</v>
      </c>
      <c r="H67" s="96">
        <v>13000</v>
      </c>
      <c r="I67" s="97">
        <f t="shared" si="272"/>
        <v>1755000</v>
      </c>
      <c r="J67" s="97"/>
      <c r="K67" s="97"/>
      <c r="L67" s="223"/>
      <c r="M67" s="97"/>
      <c r="N67" s="120">
        <f t="shared" si="224"/>
        <v>0</v>
      </c>
      <c r="O67" s="136">
        <f t="shared" si="288"/>
        <v>135</v>
      </c>
      <c r="P67" s="137">
        <f t="shared" si="226"/>
        <v>0</v>
      </c>
      <c r="Q67" s="96">
        <f t="shared" si="227"/>
        <v>0</v>
      </c>
      <c r="R67" s="103"/>
      <c r="S67" s="96"/>
      <c r="T67" s="132">
        <f t="shared" si="28"/>
        <v>1755000</v>
      </c>
      <c r="U67" s="73"/>
      <c r="V67" s="64"/>
      <c r="W67" s="72">
        <f t="shared" si="29"/>
        <v>62</v>
      </c>
      <c r="X67" s="72" t="str">
        <f t="shared" si="30"/>
        <v>문서연</v>
      </c>
      <c r="Y67" s="216">
        <f t="shared" si="289"/>
        <v>52650</v>
      </c>
      <c r="Z67" s="216">
        <f t="shared" si="290"/>
        <v>5260</v>
      </c>
      <c r="AA67" s="183"/>
      <c r="AB67" s="183"/>
      <c r="AC67" s="183"/>
      <c r="AD67" s="183"/>
      <c r="AE67" s="70"/>
      <c r="AF67" s="70"/>
      <c r="AG67" s="132">
        <f t="shared" si="291"/>
        <v>57910</v>
      </c>
      <c r="AH67" s="54">
        <f t="shared" si="292"/>
        <v>1697090</v>
      </c>
      <c r="AI67" s="77"/>
      <c r="AL67" s="22">
        <v>1625000</v>
      </c>
      <c r="AO67" s="22">
        <v>1183000</v>
      </c>
      <c r="AP67" s="159"/>
      <c r="AQ67" s="159">
        <v>906000</v>
      </c>
      <c r="AR67" s="159">
        <v>138000</v>
      </c>
      <c r="AS67" s="159">
        <v>876000</v>
      </c>
      <c r="AT67" s="159">
        <v>840000</v>
      </c>
      <c r="AU67" s="159">
        <v>726000</v>
      </c>
      <c r="AV67" s="159">
        <v>714000</v>
      </c>
      <c r="AW67" s="159">
        <v>1920000</v>
      </c>
    </row>
    <row r="68" spans="1:49" s="22" customFormat="1" ht="21.75" customHeight="1" x14ac:dyDescent="0.6">
      <c r="A68" s="122">
        <f t="shared" si="0"/>
        <v>63</v>
      </c>
      <c r="B68" s="228" t="s">
        <v>285</v>
      </c>
      <c r="C68" s="156" t="s">
        <v>3</v>
      </c>
      <c r="D68" s="122" t="str">
        <f>VLOOKUP(B68,파트!$C$5:$I$95,7,0)</f>
        <v>041127-3222537</v>
      </c>
      <c r="E68" s="163"/>
      <c r="F68" s="118"/>
      <c r="G68" s="70">
        <f>VLOOKUP(B68,파트!$C$5:$H$69,6,0)</f>
        <v>1469000</v>
      </c>
      <c r="H68" s="96">
        <v>13000</v>
      </c>
      <c r="I68" s="97">
        <f t="shared" si="272"/>
        <v>1469000</v>
      </c>
      <c r="J68" s="97"/>
      <c r="K68" s="97"/>
      <c r="L68" s="223"/>
      <c r="M68" s="97"/>
      <c r="N68" s="120">
        <f t="shared" si="224"/>
        <v>0</v>
      </c>
      <c r="O68" s="136">
        <f t="shared" si="288"/>
        <v>113</v>
      </c>
      <c r="P68" s="137">
        <f t="shared" si="226"/>
        <v>0</v>
      </c>
      <c r="Q68" s="96">
        <f t="shared" si="227"/>
        <v>0</v>
      </c>
      <c r="R68" s="103"/>
      <c r="S68" s="96"/>
      <c r="T68" s="132">
        <f t="shared" si="28"/>
        <v>1469000</v>
      </c>
      <c r="U68" s="73"/>
      <c r="V68" s="64"/>
      <c r="W68" s="72">
        <f t="shared" si="29"/>
        <v>63</v>
      </c>
      <c r="X68" s="72" t="str">
        <f t="shared" si="30"/>
        <v>정영수</v>
      </c>
      <c r="Y68" s="216">
        <f t="shared" si="289"/>
        <v>44070</v>
      </c>
      <c r="Z68" s="216">
        <f t="shared" si="290"/>
        <v>4400</v>
      </c>
      <c r="AA68" s="183"/>
      <c r="AB68" s="183"/>
      <c r="AC68" s="183"/>
      <c r="AD68" s="183"/>
      <c r="AE68" s="70"/>
      <c r="AF68" s="70"/>
      <c r="AG68" s="132">
        <f t="shared" si="291"/>
        <v>48470</v>
      </c>
      <c r="AH68" s="54">
        <f t="shared" si="292"/>
        <v>1420530</v>
      </c>
      <c r="AI68" s="77"/>
      <c r="AL68" s="22">
        <v>1917500</v>
      </c>
      <c r="AO68" s="22">
        <v>1677000</v>
      </c>
      <c r="AP68" s="159"/>
      <c r="AQ68" s="159">
        <v>480000</v>
      </c>
      <c r="AR68" s="159">
        <v>630000</v>
      </c>
      <c r="AS68" s="159">
        <v>630000</v>
      </c>
      <c r="AT68" s="159">
        <v>618000</v>
      </c>
      <c r="AU68" s="159">
        <v>1560000</v>
      </c>
      <c r="AV68" s="159">
        <v>1134000</v>
      </c>
      <c r="AW68" s="159">
        <v>1194000</v>
      </c>
    </row>
    <row r="69" spans="1:49" s="22" customFormat="1" ht="21.95" customHeight="1" x14ac:dyDescent="0.6">
      <c r="A69" s="122">
        <f t="shared" si="0"/>
        <v>64</v>
      </c>
      <c r="B69" s="228" t="s">
        <v>181</v>
      </c>
      <c r="C69" s="156" t="s">
        <v>3</v>
      </c>
      <c r="D69" s="122" t="str">
        <f>VLOOKUP(B69,파트!$C$5:$I$95,7,0)</f>
        <v>030303-4158113</v>
      </c>
      <c r="E69" s="163"/>
      <c r="F69" s="118"/>
      <c r="G69" s="70">
        <f>VLOOKUP(B69,파트!$C$5:$H$69,6,0)</f>
        <v>1521000</v>
      </c>
      <c r="H69" s="96">
        <v>13000</v>
      </c>
      <c r="I69" s="97">
        <f t="shared" si="272"/>
        <v>1521000</v>
      </c>
      <c r="J69" s="97"/>
      <c r="K69" s="97"/>
      <c r="L69" s="223"/>
      <c r="M69" s="97"/>
      <c r="N69" s="120">
        <f t="shared" si="224"/>
        <v>0</v>
      </c>
      <c r="O69" s="136">
        <f t="shared" si="288"/>
        <v>117</v>
      </c>
      <c r="P69" s="137">
        <f t="shared" si="226"/>
        <v>0</v>
      </c>
      <c r="Q69" s="96">
        <f t="shared" si="227"/>
        <v>0</v>
      </c>
      <c r="R69" s="103"/>
      <c r="S69" s="96"/>
      <c r="T69" s="132">
        <f t="shared" si="28"/>
        <v>1521000</v>
      </c>
      <c r="U69" s="73"/>
      <c r="V69" s="64"/>
      <c r="W69" s="72">
        <f t="shared" si="29"/>
        <v>64</v>
      </c>
      <c r="X69" s="72" t="str">
        <f t="shared" si="30"/>
        <v>이윤서</v>
      </c>
      <c r="Y69" s="216">
        <f t="shared" si="289"/>
        <v>45630</v>
      </c>
      <c r="Z69" s="216">
        <f t="shared" si="290"/>
        <v>4560</v>
      </c>
      <c r="AA69" s="183"/>
      <c r="AB69" s="183"/>
      <c r="AC69" s="183"/>
      <c r="AD69" s="183"/>
      <c r="AE69" s="70"/>
      <c r="AF69" s="70"/>
      <c r="AG69" s="132">
        <f t="shared" si="291"/>
        <v>50190</v>
      </c>
      <c r="AH69" s="54">
        <f t="shared" si="292"/>
        <v>1470810</v>
      </c>
      <c r="AI69" s="77"/>
      <c r="AL69" s="22">
        <v>708500</v>
      </c>
      <c r="AO69" s="22">
        <v>702000</v>
      </c>
      <c r="AP69" s="159"/>
      <c r="AQ69" s="159">
        <v>750000</v>
      </c>
      <c r="AR69" s="159">
        <v>72000</v>
      </c>
      <c r="AS69" s="159">
        <v>156000</v>
      </c>
      <c r="AT69" s="159">
        <v>552000</v>
      </c>
      <c r="AU69" s="159">
        <v>912000</v>
      </c>
      <c r="AV69" s="159">
        <v>552000</v>
      </c>
      <c r="AW69" s="159">
        <v>912000</v>
      </c>
    </row>
    <row r="70" spans="1:49" s="22" customFormat="1" ht="21.95" customHeight="1" x14ac:dyDescent="0.6">
      <c r="A70" s="122">
        <f t="shared" si="0"/>
        <v>65</v>
      </c>
      <c r="B70" s="228" t="s">
        <v>310</v>
      </c>
      <c r="C70" s="156" t="s">
        <v>3</v>
      </c>
      <c r="D70" s="122" t="str">
        <f>VLOOKUP(B70,파트!$C$5:$I$95,7,0)</f>
        <v>060816-3159016</v>
      </c>
      <c r="E70" s="163"/>
      <c r="F70" s="118"/>
      <c r="G70" s="70">
        <f>VLOOKUP(B70,파트!$C$5:$H$69,6,0)</f>
        <v>988000</v>
      </c>
      <c r="H70" s="96">
        <v>13000</v>
      </c>
      <c r="I70" s="97">
        <f t="shared" si="272"/>
        <v>988000</v>
      </c>
      <c r="J70" s="97"/>
      <c r="K70" s="97"/>
      <c r="L70" s="224"/>
      <c r="M70" s="97"/>
      <c r="N70" s="120">
        <f t="shared" si="224"/>
        <v>0</v>
      </c>
      <c r="O70" s="136">
        <f t="shared" si="288"/>
        <v>76</v>
      </c>
      <c r="P70" s="137">
        <f t="shared" si="226"/>
        <v>0</v>
      </c>
      <c r="Q70" s="96">
        <f t="shared" si="227"/>
        <v>0</v>
      </c>
      <c r="R70" s="103"/>
      <c r="S70" s="96"/>
      <c r="T70" s="132">
        <f t="shared" si="28"/>
        <v>988000</v>
      </c>
      <c r="U70" s="73"/>
      <c r="V70" s="64"/>
      <c r="W70" s="72">
        <f t="shared" si="29"/>
        <v>65</v>
      </c>
      <c r="X70" s="72" t="str">
        <f t="shared" si="30"/>
        <v>이강욱</v>
      </c>
      <c r="Y70" s="216">
        <f t="shared" si="289"/>
        <v>29640</v>
      </c>
      <c r="Z70" s="216">
        <f t="shared" si="290"/>
        <v>2960</v>
      </c>
      <c r="AA70" s="183"/>
      <c r="AB70" s="183"/>
      <c r="AC70" s="183"/>
      <c r="AD70" s="183"/>
      <c r="AE70" s="70"/>
      <c r="AF70" s="70"/>
      <c r="AG70" s="132">
        <f t="shared" si="291"/>
        <v>32600</v>
      </c>
      <c r="AH70" s="54">
        <f t="shared" si="292"/>
        <v>955400</v>
      </c>
      <c r="AI70" s="77"/>
      <c r="AL70" s="22">
        <v>1514500</v>
      </c>
      <c r="AO70" s="22">
        <v>1521000</v>
      </c>
      <c r="AP70" s="159"/>
      <c r="AQ70" s="159">
        <v>354000</v>
      </c>
      <c r="AR70" s="159">
        <v>1074000</v>
      </c>
      <c r="AS70" s="159">
        <v>1596000</v>
      </c>
      <c r="AT70" s="159">
        <v>966000</v>
      </c>
      <c r="AU70" s="159">
        <v>1122000</v>
      </c>
      <c r="AV70" s="159">
        <v>1200000</v>
      </c>
      <c r="AW70" s="159">
        <v>1194000</v>
      </c>
    </row>
    <row r="71" spans="1:49" s="22" customFormat="1" ht="21.95" customHeight="1" x14ac:dyDescent="0.6">
      <c r="A71" s="122">
        <f t="shared" si="0"/>
        <v>66</v>
      </c>
      <c r="B71" s="228" t="s">
        <v>243</v>
      </c>
      <c r="C71" s="156" t="s">
        <v>3</v>
      </c>
      <c r="D71" s="122" t="str">
        <f>VLOOKUP(B71,파트!$C$5:$I$95,7,0)</f>
        <v>041227-4082114</v>
      </c>
      <c r="E71" s="163"/>
      <c r="F71" s="118"/>
      <c r="G71" s="70">
        <f>VLOOKUP(B71,파트!$C$5:$H$69,6,0)</f>
        <v>734500</v>
      </c>
      <c r="H71" s="96">
        <v>13000</v>
      </c>
      <c r="I71" s="97">
        <f t="shared" ref="I71:I83" si="293">G71</f>
        <v>734500</v>
      </c>
      <c r="J71" s="97"/>
      <c r="K71" s="97"/>
      <c r="L71" s="224"/>
      <c r="M71" s="97"/>
      <c r="N71" s="120">
        <f t="shared" ref="N71:N83" si="294">IF(OR(AI71="",AI71=0),0, IF(ISNUMBER(SEARCH("추가",AI71)), G71/$O$3*VALUE(SUBSTITUTE(SUBSTITUTE(TRIM(AI71)," ",""),"추가","")), 0))</f>
        <v>0</v>
      </c>
      <c r="O71" s="136">
        <f t="shared" ref="O71:O83" si="295">G71/H71</f>
        <v>56.5</v>
      </c>
      <c r="P71" s="137">
        <f t="shared" ref="P71:P83" si="296">IF(ISNUMBER(SEARCH("차감",AI71)), VALUE(SUBSTITUTE(SUBSTITUTE(SUBSTITUTE(TRIM(AI71)," ",""),"차감",""),"일","")), IF(AND(YEAR(F71)=$M$3,MONTH(F71)=$N$3),$O$3-DAY(F71), IF(AND(YEAR(E71)=$M$3,MONTH(E71)=$N$3),DAY(E71)-1,0)))</f>
        <v>0</v>
      </c>
      <c r="Q71" s="96">
        <f t="shared" ref="Q71:Q83" si="297">ROUNDDOWN(G71/$O$3*P71,-1)</f>
        <v>0</v>
      </c>
      <c r="R71" s="103"/>
      <c r="S71" s="96"/>
      <c r="T71" s="132">
        <f t="shared" ref="T71:T83" si="298">G71-Q71-S71+N71+L71</f>
        <v>734500</v>
      </c>
      <c r="U71" s="73"/>
      <c r="V71" s="64"/>
      <c r="W71" s="72">
        <f t="shared" ref="W71:W83" si="299">A71</f>
        <v>66</v>
      </c>
      <c r="X71" s="72" t="str">
        <f t="shared" ref="X71:X83" si="300">B71</f>
        <v>김아영</v>
      </c>
      <c r="Y71" s="216">
        <f t="shared" ref="Y71:Y83" si="301">ROUNDDOWN(T71*3%,-1)</f>
        <v>22030</v>
      </c>
      <c r="Z71" s="216">
        <f t="shared" ref="Z71:Z83" si="302">ROUNDDOWN(Y71*10%,-1)</f>
        <v>2200</v>
      </c>
      <c r="AA71" s="183"/>
      <c r="AB71" s="183"/>
      <c r="AC71" s="183"/>
      <c r="AD71" s="183"/>
      <c r="AE71" s="70"/>
      <c r="AF71" s="70"/>
      <c r="AG71" s="132">
        <f t="shared" ref="AG71:AG83" si="303">SUM(Y71:AF71)</f>
        <v>24230</v>
      </c>
      <c r="AH71" s="54">
        <f t="shared" ref="AH71:AH83" si="304">T71-AG71</f>
        <v>710270</v>
      </c>
      <c r="AI71" s="77"/>
      <c r="AL71" s="22">
        <v>2093000</v>
      </c>
      <c r="AO71" s="22">
        <v>1436500</v>
      </c>
      <c r="AP71" s="159"/>
      <c r="AQ71" s="159">
        <v>210000</v>
      </c>
      <c r="AR71" s="159">
        <v>840000</v>
      </c>
      <c r="AS71" s="159">
        <v>528000</v>
      </c>
      <c r="AT71" s="159">
        <v>1104000</v>
      </c>
      <c r="AU71" s="159">
        <v>618000</v>
      </c>
      <c r="AV71" s="159">
        <v>1398000</v>
      </c>
      <c r="AW71" s="159">
        <v>1014000</v>
      </c>
    </row>
    <row r="72" spans="1:49" s="22" customFormat="1" ht="21.95" customHeight="1" x14ac:dyDescent="0.6">
      <c r="A72" s="122">
        <f t="shared" si="0"/>
        <v>67</v>
      </c>
      <c r="B72" s="228" t="s">
        <v>309</v>
      </c>
      <c r="C72" s="156" t="s">
        <v>3</v>
      </c>
      <c r="D72" s="122" t="str">
        <f>VLOOKUP(B72,파트!$C$5:$I$95,7,0)</f>
        <v>060606-3156019</v>
      </c>
      <c r="E72" s="163"/>
      <c r="F72" s="118"/>
      <c r="G72" s="70">
        <f>VLOOKUP(B72,파트!$C$5:$H$69,6,0)</f>
        <v>1267500</v>
      </c>
      <c r="H72" s="96">
        <v>13000</v>
      </c>
      <c r="I72" s="97">
        <f t="shared" si="293"/>
        <v>1267500</v>
      </c>
      <c r="J72" s="97"/>
      <c r="K72" s="97"/>
      <c r="L72" s="224"/>
      <c r="M72" s="97"/>
      <c r="N72" s="120">
        <f t="shared" si="294"/>
        <v>0</v>
      </c>
      <c r="O72" s="136">
        <f t="shared" si="295"/>
        <v>97.5</v>
      </c>
      <c r="P72" s="137">
        <f t="shared" si="296"/>
        <v>0</v>
      </c>
      <c r="Q72" s="96">
        <f t="shared" si="297"/>
        <v>0</v>
      </c>
      <c r="R72" s="103"/>
      <c r="S72" s="96"/>
      <c r="T72" s="132">
        <f t="shared" si="298"/>
        <v>1267500</v>
      </c>
      <c r="U72" s="73"/>
      <c r="V72" s="64"/>
      <c r="W72" s="72">
        <f t="shared" si="299"/>
        <v>67</v>
      </c>
      <c r="X72" s="72" t="str">
        <f t="shared" si="300"/>
        <v>이민성</v>
      </c>
      <c r="Y72" s="216">
        <f t="shared" si="301"/>
        <v>38020</v>
      </c>
      <c r="Z72" s="216">
        <f t="shared" si="302"/>
        <v>3800</v>
      </c>
      <c r="AA72" s="183"/>
      <c r="AB72" s="183"/>
      <c r="AC72" s="183"/>
      <c r="AD72" s="183"/>
      <c r="AE72" s="70"/>
      <c r="AF72" s="70"/>
      <c r="AG72" s="132">
        <f t="shared" si="303"/>
        <v>41820</v>
      </c>
      <c r="AH72" s="54">
        <f t="shared" si="304"/>
        <v>1225680</v>
      </c>
      <c r="AI72" s="77"/>
      <c r="AL72" s="22">
        <v>689000</v>
      </c>
      <c r="AO72" s="22">
        <v>448500</v>
      </c>
      <c r="AP72" s="159"/>
      <c r="AQ72" s="159">
        <v>414000</v>
      </c>
      <c r="AR72" s="159">
        <v>960000</v>
      </c>
      <c r="AS72" s="159">
        <v>864000</v>
      </c>
      <c r="AT72" s="159">
        <v>444000</v>
      </c>
      <c r="AU72" s="159">
        <v>1254000</v>
      </c>
      <c r="AV72" s="159">
        <v>426000</v>
      </c>
      <c r="AW72" s="159">
        <v>822000</v>
      </c>
    </row>
    <row r="73" spans="1:49" s="22" customFormat="1" ht="21.75" customHeight="1" x14ac:dyDescent="0.6">
      <c r="A73" s="122">
        <f t="shared" si="0"/>
        <v>68</v>
      </c>
      <c r="B73" s="228" t="s">
        <v>277</v>
      </c>
      <c r="C73" s="156" t="s">
        <v>3</v>
      </c>
      <c r="D73" s="122" t="str">
        <f>VLOOKUP(B73,파트!$C$5:$I$95,7,0)</f>
        <v>040409-4155010</v>
      </c>
      <c r="E73" s="163"/>
      <c r="F73" s="118"/>
      <c r="G73" s="70">
        <f>VLOOKUP(B73,파트!$C$5:$H$69,6,0)</f>
        <v>299000</v>
      </c>
      <c r="H73" s="96">
        <v>13000</v>
      </c>
      <c r="I73" s="97">
        <f t="shared" si="293"/>
        <v>299000</v>
      </c>
      <c r="J73" s="97"/>
      <c r="K73" s="97"/>
      <c r="L73" s="223"/>
      <c r="M73" s="97"/>
      <c r="N73" s="120">
        <f t="shared" si="294"/>
        <v>0</v>
      </c>
      <c r="O73" s="136">
        <f t="shared" si="295"/>
        <v>23</v>
      </c>
      <c r="P73" s="137">
        <f t="shared" si="296"/>
        <v>0</v>
      </c>
      <c r="Q73" s="96">
        <f t="shared" si="297"/>
        <v>0</v>
      </c>
      <c r="R73" s="103"/>
      <c r="S73" s="96"/>
      <c r="T73" s="132">
        <f t="shared" si="298"/>
        <v>299000</v>
      </c>
      <c r="U73" s="73"/>
      <c r="V73" s="64"/>
      <c r="W73" s="72">
        <f t="shared" si="299"/>
        <v>68</v>
      </c>
      <c r="X73" s="72" t="str">
        <f t="shared" si="300"/>
        <v>김소연</v>
      </c>
      <c r="Y73" s="216">
        <f t="shared" si="301"/>
        <v>8970</v>
      </c>
      <c r="Z73" s="216">
        <f t="shared" si="302"/>
        <v>890</v>
      </c>
      <c r="AA73" s="183"/>
      <c r="AB73" s="183"/>
      <c r="AC73" s="183"/>
      <c r="AD73" s="183"/>
      <c r="AE73" s="70"/>
      <c r="AF73" s="70"/>
      <c r="AG73" s="132">
        <f t="shared" si="303"/>
        <v>9860</v>
      </c>
      <c r="AH73" s="54">
        <f t="shared" si="304"/>
        <v>289140</v>
      </c>
      <c r="AI73" s="77"/>
      <c r="AL73" s="22">
        <v>2476500</v>
      </c>
      <c r="AO73" s="22">
        <v>1677000</v>
      </c>
      <c r="AP73" s="159"/>
      <c r="AQ73" s="159">
        <v>480000</v>
      </c>
      <c r="AR73" s="159">
        <v>630000</v>
      </c>
      <c r="AS73" s="159">
        <v>630000</v>
      </c>
      <c r="AT73" s="159">
        <v>618000</v>
      </c>
      <c r="AU73" s="159">
        <v>1560000</v>
      </c>
      <c r="AV73" s="159">
        <v>1134000</v>
      </c>
      <c r="AW73" s="159">
        <v>1194000</v>
      </c>
    </row>
    <row r="74" spans="1:49" s="22" customFormat="1" ht="21.95" customHeight="1" x14ac:dyDescent="0.6">
      <c r="A74" s="122">
        <f t="shared" si="0"/>
        <v>69</v>
      </c>
      <c r="B74" s="228" t="s">
        <v>296</v>
      </c>
      <c r="C74" s="156" t="s">
        <v>3</v>
      </c>
      <c r="D74" s="122" t="str">
        <f>VLOOKUP(B74,파트!$C$5:$I$95,7,0)</f>
        <v>020814-3156211</v>
      </c>
      <c r="E74" s="163"/>
      <c r="F74" s="118"/>
      <c r="G74" s="70">
        <f>VLOOKUP(B74,파트!$C$5:$H$69,6,0)</f>
        <v>1423500</v>
      </c>
      <c r="H74" s="96">
        <v>13000</v>
      </c>
      <c r="I74" s="97">
        <f t="shared" si="293"/>
        <v>1423500</v>
      </c>
      <c r="J74" s="97"/>
      <c r="K74" s="97"/>
      <c r="L74" s="223"/>
      <c r="M74" s="97"/>
      <c r="N74" s="120">
        <f t="shared" si="294"/>
        <v>0</v>
      </c>
      <c r="O74" s="136">
        <f t="shared" si="295"/>
        <v>109.5</v>
      </c>
      <c r="P74" s="137">
        <f t="shared" si="296"/>
        <v>0</v>
      </c>
      <c r="Q74" s="96">
        <f t="shared" si="297"/>
        <v>0</v>
      </c>
      <c r="R74" s="103"/>
      <c r="S74" s="96"/>
      <c r="T74" s="132">
        <f t="shared" si="298"/>
        <v>1423500</v>
      </c>
      <c r="U74" s="73"/>
      <c r="V74" s="64"/>
      <c r="W74" s="72">
        <f t="shared" si="299"/>
        <v>69</v>
      </c>
      <c r="X74" s="72" t="str">
        <f t="shared" si="300"/>
        <v>최지훈</v>
      </c>
      <c r="Y74" s="216">
        <f t="shared" si="301"/>
        <v>42700</v>
      </c>
      <c r="Z74" s="216">
        <f t="shared" si="302"/>
        <v>4270</v>
      </c>
      <c r="AA74" s="183"/>
      <c r="AB74" s="183"/>
      <c r="AC74" s="183"/>
      <c r="AD74" s="183"/>
      <c r="AE74" s="70"/>
      <c r="AF74" s="70"/>
      <c r="AG74" s="132">
        <f t="shared" si="303"/>
        <v>46970</v>
      </c>
      <c r="AH74" s="54">
        <f t="shared" si="304"/>
        <v>1376530</v>
      </c>
      <c r="AI74" s="77"/>
      <c r="AL74" s="22">
        <v>78000</v>
      </c>
      <c r="AO74" s="22">
        <v>702000</v>
      </c>
      <c r="AP74" s="159"/>
      <c r="AQ74" s="159">
        <v>750000</v>
      </c>
      <c r="AR74" s="159">
        <v>72000</v>
      </c>
      <c r="AS74" s="159">
        <v>156000</v>
      </c>
      <c r="AT74" s="159">
        <v>552000</v>
      </c>
      <c r="AU74" s="159">
        <v>912000</v>
      </c>
      <c r="AV74" s="159">
        <v>552000</v>
      </c>
      <c r="AW74" s="159">
        <v>912000</v>
      </c>
    </row>
    <row r="75" spans="1:49" s="22" customFormat="1" ht="21.95" customHeight="1" x14ac:dyDescent="0.6">
      <c r="A75" s="122">
        <f t="shared" si="0"/>
        <v>70</v>
      </c>
      <c r="B75" s="228" t="s">
        <v>354</v>
      </c>
      <c r="C75" s="156" t="s">
        <v>3</v>
      </c>
      <c r="D75" s="122" t="str">
        <f>VLOOKUP(B75,파트!$C$5:$I$95,7,0)</f>
        <v>010306-3222516</v>
      </c>
      <c r="E75" s="163"/>
      <c r="F75" s="118"/>
      <c r="G75" s="70">
        <f>VLOOKUP(B75,파트!$C$5:$H$69,6,0)</f>
        <v>1488500</v>
      </c>
      <c r="H75" s="96">
        <v>13000</v>
      </c>
      <c r="I75" s="97">
        <f t="shared" si="293"/>
        <v>1488500</v>
      </c>
      <c r="J75" s="97"/>
      <c r="K75" s="97"/>
      <c r="L75" s="224"/>
      <c r="M75" s="97"/>
      <c r="N75" s="120">
        <f t="shared" si="294"/>
        <v>0</v>
      </c>
      <c r="O75" s="136">
        <f t="shared" si="295"/>
        <v>114.5</v>
      </c>
      <c r="P75" s="137">
        <f t="shared" si="296"/>
        <v>0</v>
      </c>
      <c r="Q75" s="96">
        <f t="shared" si="297"/>
        <v>0</v>
      </c>
      <c r="R75" s="103"/>
      <c r="S75" s="96"/>
      <c r="T75" s="132">
        <f t="shared" si="298"/>
        <v>1488500</v>
      </c>
      <c r="U75" s="73"/>
      <c r="V75" s="64"/>
      <c r="W75" s="72">
        <f t="shared" si="299"/>
        <v>70</v>
      </c>
      <c r="X75" s="72" t="str">
        <f t="shared" si="300"/>
        <v>함석형</v>
      </c>
      <c r="Y75" s="216">
        <f t="shared" si="301"/>
        <v>44650</v>
      </c>
      <c r="Z75" s="216">
        <f t="shared" si="302"/>
        <v>4460</v>
      </c>
      <c r="AA75" s="183"/>
      <c r="AB75" s="183"/>
      <c r="AC75" s="183"/>
      <c r="AD75" s="183"/>
      <c r="AE75" s="70"/>
      <c r="AF75" s="70"/>
      <c r="AG75" s="132">
        <f t="shared" si="303"/>
        <v>49110</v>
      </c>
      <c r="AH75" s="54">
        <f t="shared" si="304"/>
        <v>1439390</v>
      </c>
      <c r="AI75" s="77"/>
      <c r="AL75" s="22">
        <v>474500</v>
      </c>
      <c r="AO75" s="22">
        <v>1521000</v>
      </c>
      <c r="AP75" s="159"/>
      <c r="AQ75" s="159">
        <v>354000</v>
      </c>
      <c r="AR75" s="159">
        <v>1074000</v>
      </c>
      <c r="AS75" s="159">
        <v>1596000</v>
      </c>
      <c r="AT75" s="159">
        <v>966000</v>
      </c>
      <c r="AU75" s="159">
        <v>1122000</v>
      </c>
      <c r="AV75" s="159">
        <v>1200000</v>
      </c>
      <c r="AW75" s="159">
        <v>1194000</v>
      </c>
    </row>
    <row r="76" spans="1:49" s="22" customFormat="1" ht="21.95" customHeight="1" x14ac:dyDescent="0.6">
      <c r="A76" s="122">
        <f t="shared" si="0"/>
        <v>71</v>
      </c>
      <c r="B76" s="228" t="s">
        <v>355</v>
      </c>
      <c r="C76" s="156" t="s">
        <v>3</v>
      </c>
      <c r="D76" s="122" t="str">
        <f>VLOOKUP(B76,파트!$C$5:$I$95,7,0)</f>
        <v>050510-4156011</v>
      </c>
      <c r="E76" s="163"/>
      <c r="F76" s="118"/>
      <c r="G76" s="70">
        <f>VLOOKUP(B76,파트!$C$5:$H$69,6,0)</f>
        <v>78000</v>
      </c>
      <c r="H76" s="96">
        <v>13000</v>
      </c>
      <c r="I76" s="97">
        <f t="shared" si="293"/>
        <v>78000</v>
      </c>
      <c r="J76" s="97"/>
      <c r="K76" s="97"/>
      <c r="L76" s="224"/>
      <c r="M76" s="97"/>
      <c r="N76" s="120">
        <f t="shared" ref="N76:N79" si="305">IF(OR(AI76="",AI76=0),0, IF(ISNUMBER(SEARCH("추가",AI76)), G76/$O$3*VALUE(SUBSTITUTE(SUBSTITUTE(TRIM(AI76)," ",""),"추가","")), 0))</f>
        <v>0</v>
      </c>
      <c r="O76" s="136">
        <f t="shared" si="295"/>
        <v>6</v>
      </c>
      <c r="P76" s="137">
        <f t="shared" ref="P76:P79" si="306">IF(ISNUMBER(SEARCH("차감",AI76)), VALUE(SUBSTITUTE(SUBSTITUTE(SUBSTITUTE(TRIM(AI76)," ",""),"차감",""),"일","")), IF(AND(YEAR(F76)=$M$3,MONTH(F76)=$N$3),$O$3-DAY(F76), IF(AND(YEAR(E76)=$M$3,MONTH(E76)=$N$3),DAY(E76)-1,0)))</f>
        <v>0</v>
      </c>
      <c r="Q76" s="96">
        <f t="shared" ref="Q76:Q79" si="307">ROUNDDOWN(G76/$O$3*P76,-1)</f>
        <v>0</v>
      </c>
      <c r="R76" s="103"/>
      <c r="S76" s="96"/>
      <c r="T76" s="132">
        <f t="shared" si="298"/>
        <v>78000</v>
      </c>
      <c r="U76" s="73"/>
      <c r="V76" s="64"/>
      <c r="W76" s="72">
        <f t="shared" si="299"/>
        <v>71</v>
      </c>
      <c r="X76" s="72" t="str">
        <f t="shared" si="300"/>
        <v>윤서진</v>
      </c>
      <c r="Y76" s="216">
        <f t="shared" si="301"/>
        <v>2340</v>
      </c>
      <c r="Z76" s="216">
        <f t="shared" si="302"/>
        <v>230</v>
      </c>
      <c r="AA76" s="183"/>
      <c r="AB76" s="183"/>
      <c r="AC76" s="183"/>
      <c r="AD76" s="183"/>
      <c r="AE76" s="70"/>
      <c r="AF76" s="70"/>
      <c r="AG76" s="132">
        <f t="shared" si="303"/>
        <v>2570</v>
      </c>
      <c r="AH76" s="54">
        <f t="shared" si="304"/>
        <v>75430</v>
      </c>
      <c r="AI76" s="77"/>
      <c r="AL76" s="22">
        <v>1742000</v>
      </c>
      <c r="AO76" s="22">
        <v>1436500</v>
      </c>
      <c r="AP76" s="159"/>
      <c r="AQ76" s="159">
        <v>210000</v>
      </c>
      <c r="AR76" s="159">
        <v>840000</v>
      </c>
      <c r="AS76" s="159">
        <v>528000</v>
      </c>
      <c r="AT76" s="159">
        <v>1104000</v>
      </c>
      <c r="AU76" s="159">
        <v>618000</v>
      </c>
      <c r="AV76" s="159">
        <v>1398000</v>
      </c>
      <c r="AW76" s="159">
        <v>1014000</v>
      </c>
    </row>
    <row r="77" spans="1:49" s="22" customFormat="1" ht="21.95" customHeight="1" x14ac:dyDescent="0.6">
      <c r="A77" s="122">
        <f t="shared" si="0"/>
        <v>72</v>
      </c>
      <c r="B77" s="228" t="s">
        <v>375</v>
      </c>
      <c r="C77" s="156" t="s">
        <v>3</v>
      </c>
      <c r="D77" s="122" t="str">
        <f>VLOOKUP(B77,파트!$C$5:$I$95,7,0)</f>
        <v>030916-3155213</v>
      </c>
      <c r="E77" s="163"/>
      <c r="F77" s="118"/>
      <c r="G77" s="70">
        <f>VLOOKUP(B77,파트!$C$5:$H$69,6,0)</f>
        <v>1514500</v>
      </c>
      <c r="H77" s="96">
        <v>13000</v>
      </c>
      <c r="I77" s="97">
        <f t="shared" si="293"/>
        <v>1514500</v>
      </c>
      <c r="J77" s="97"/>
      <c r="K77" s="97"/>
      <c r="L77" s="224"/>
      <c r="M77" s="97"/>
      <c r="N77" s="120">
        <f t="shared" si="305"/>
        <v>0</v>
      </c>
      <c r="O77" s="136">
        <f t="shared" si="295"/>
        <v>116.5</v>
      </c>
      <c r="P77" s="137">
        <f t="shared" si="306"/>
        <v>0</v>
      </c>
      <c r="Q77" s="96">
        <f t="shared" si="307"/>
        <v>0</v>
      </c>
      <c r="R77" s="103"/>
      <c r="S77" s="96"/>
      <c r="T77" s="132">
        <f t="shared" si="298"/>
        <v>1514500</v>
      </c>
      <c r="U77" s="73"/>
      <c r="V77" s="64"/>
      <c r="W77" s="72">
        <f t="shared" si="299"/>
        <v>72</v>
      </c>
      <c r="X77" s="72" t="str">
        <f t="shared" si="300"/>
        <v>한재승</v>
      </c>
      <c r="Y77" s="216">
        <f t="shared" si="301"/>
        <v>45430</v>
      </c>
      <c r="Z77" s="216">
        <f t="shared" si="302"/>
        <v>4540</v>
      </c>
      <c r="AA77" s="183"/>
      <c r="AB77" s="183"/>
      <c r="AC77" s="183"/>
      <c r="AD77" s="183"/>
      <c r="AE77" s="70"/>
      <c r="AF77" s="70"/>
      <c r="AG77" s="132">
        <f t="shared" si="303"/>
        <v>49970</v>
      </c>
      <c r="AH77" s="54">
        <f t="shared" si="304"/>
        <v>1464530</v>
      </c>
      <c r="AI77" s="77"/>
      <c r="AL77" s="22">
        <v>1352000</v>
      </c>
      <c r="AO77" s="22">
        <v>448500</v>
      </c>
      <c r="AP77" s="159"/>
      <c r="AQ77" s="159">
        <v>414000</v>
      </c>
      <c r="AR77" s="159">
        <v>960000</v>
      </c>
      <c r="AS77" s="159">
        <v>864000</v>
      </c>
      <c r="AT77" s="159">
        <v>444000</v>
      </c>
      <c r="AU77" s="159">
        <v>1254000</v>
      </c>
      <c r="AV77" s="159">
        <v>426000</v>
      </c>
      <c r="AW77" s="159">
        <v>822000</v>
      </c>
    </row>
    <row r="78" spans="1:49" s="22" customFormat="1" ht="21.95" customHeight="1" x14ac:dyDescent="0.6">
      <c r="A78" s="122">
        <f t="shared" si="0"/>
        <v>73</v>
      </c>
      <c r="B78" s="228" t="s">
        <v>390</v>
      </c>
      <c r="C78" s="156" t="s">
        <v>3</v>
      </c>
      <c r="D78" s="122" t="str">
        <f>VLOOKUP(B78,파트!$C$5:$I$95,7,0)</f>
        <v>000203-4185028</v>
      </c>
      <c r="E78" s="163"/>
      <c r="F78" s="118"/>
      <c r="G78" s="70">
        <f>VLOOKUP(B78,파트!$C$5:$H$69,6,0)</f>
        <v>754000</v>
      </c>
      <c r="H78" s="96">
        <v>13000</v>
      </c>
      <c r="I78" s="97">
        <f t="shared" ref="I78:I79" si="308">G78</f>
        <v>754000</v>
      </c>
      <c r="J78" s="97"/>
      <c r="K78" s="97"/>
      <c r="L78" s="224"/>
      <c r="M78" s="97"/>
      <c r="N78" s="120">
        <f t="shared" si="305"/>
        <v>0</v>
      </c>
      <c r="O78" s="136">
        <f t="shared" ref="O78:O79" si="309">G78/H78</f>
        <v>58</v>
      </c>
      <c r="P78" s="137">
        <f t="shared" si="306"/>
        <v>0</v>
      </c>
      <c r="Q78" s="96">
        <f t="shared" si="307"/>
        <v>0</v>
      </c>
      <c r="R78" s="103"/>
      <c r="S78" s="96"/>
      <c r="T78" s="132">
        <f t="shared" ref="T78:T79" si="310">G78-Q78-S78+N78+L78</f>
        <v>754000</v>
      </c>
      <c r="U78" s="73"/>
      <c r="V78" s="64"/>
      <c r="W78" s="72">
        <f t="shared" ref="W78:W79" si="311">A78</f>
        <v>73</v>
      </c>
      <c r="X78" s="72" t="str">
        <f t="shared" ref="X78:X79" si="312">B78</f>
        <v>김영신</v>
      </c>
      <c r="Y78" s="216">
        <f t="shared" ref="Y78:Y79" si="313">ROUNDDOWN(T78*3%,-1)</f>
        <v>22620</v>
      </c>
      <c r="Z78" s="216">
        <f t="shared" ref="Z78:Z79" si="314">ROUNDDOWN(Y78*10%,-1)</f>
        <v>2260</v>
      </c>
      <c r="AA78" s="183"/>
      <c r="AB78" s="183"/>
      <c r="AC78" s="183"/>
      <c r="AD78" s="183"/>
      <c r="AE78" s="70"/>
      <c r="AF78" s="70"/>
      <c r="AG78" s="132">
        <f t="shared" ref="AG78:AG79" si="315">SUM(Y78:AF78)</f>
        <v>24880</v>
      </c>
      <c r="AH78" s="54">
        <f t="shared" ref="AH78:AH79" si="316">T78-AG78</f>
        <v>729120</v>
      </c>
      <c r="AI78" s="77"/>
      <c r="AL78" s="22">
        <v>1722500</v>
      </c>
      <c r="AO78" s="22">
        <v>1053000</v>
      </c>
      <c r="AP78" s="159"/>
      <c r="AQ78" s="159">
        <v>396000</v>
      </c>
      <c r="AR78" s="159">
        <v>348000</v>
      </c>
      <c r="AS78" s="159">
        <v>726000</v>
      </c>
      <c r="AT78" s="159">
        <v>1344000</v>
      </c>
      <c r="AU78" s="159">
        <v>1314000</v>
      </c>
      <c r="AV78" s="159">
        <v>1878000</v>
      </c>
      <c r="AW78" s="159">
        <v>1440000</v>
      </c>
    </row>
    <row r="79" spans="1:49" s="22" customFormat="1" ht="21.95" customHeight="1" x14ac:dyDescent="0.6">
      <c r="A79" s="122">
        <f t="shared" si="0"/>
        <v>74</v>
      </c>
      <c r="B79" s="228" t="s">
        <v>414</v>
      </c>
      <c r="C79" s="156" t="s">
        <v>3</v>
      </c>
      <c r="D79" s="122" t="str">
        <f>VLOOKUP(B79,파트!$C$5:$I$95,7,0)</f>
        <v>031217-3157818</v>
      </c>
      <c r="E79" s="163"/>
      <c r="F79" s="118"/>
      <c r="G79" s="70">
        <f>VLOOKUP(B79,파트!$C$5:$H$69,6,0)</f>
        <v>812500</v>
      </c>
      <c r="H79" s="96">
        <v>13000</v>
      </c>
      <c r="I79" s="97">
        <f t="shared" si="308"/>
        <v>812500</v>
      </c>
      <c r="J79" s="97"/>
      <c r="K79" s="97"/>
      <c r="L79" s="224"/>
      <c r="M79" s="97"/>
      <c r="N79" s="120">
        <f t="shared" si="305"/>
        <v>0</v>
      </c>
      <c r="O79" s="136">
        <f t="shared" si="309"/>
        <v>62.5</v>
      </c>
      <c r="P79" s="137">
        <f t="shared" si="306"/>
        <v>0</v>
      </c>
      <c r="Q79" s="96">
        <f t="shared" si="307"/>
        <v>0</v>
      </c>
      <c r="R79" s="103"/>
      <c r="S79" s="96"/>
      <c r="T79" s="132">
        <f t="shared" si="310"/>
        <v>812500</v>
      </c>
      <c r="U79" s="73"/>
      <c r="V79" s="64"/>
      <c r="W79" s="72">
        <f t="shared" si="311"/>
        <v>74</v>
      </c>
      <c r="X79" s="72" t="str">
        <f t="shared" si="312"/>
        <v>김준하</v>
      </c>
      <c r="Y79" s="216">
        <f t="shared" si="313"/>
        <v>24370</v>
      </c>
      <c r="Z79" s="216">
        <f t="shared" si="314"/>
        <v>2430</v>
      </c>
      <c r="AA79" s="183"/>
      <c r="AB79" s="183"/>
      <c r="AC79" s="183"/>
      <c r="AD79" s="183"/>
      <c r="AE79" s="70"/>
      <c r="AF79" s="70"/>
      <c r="AG79" s="132">
        <f t="shared" si="315"/>
        <v>26800</v>
      </c>
      <c r="AH79" s="54">
        <f t="shared" si="316"/>
        <v>785700</v>
      </c>
      <c r="AI79" s="77"/>
      <c r="AL79" s="22">
        <v>676000</v>
      </c>
      <c r="AO79" s="22">
        <v>78000</v>
      </c>
      <c r="AP79" s="159"/>
      <c r="AQ79" s="159">
        <v>396000</v>
      </c>
      <c r="AR79" s="159">
        <v>1272000</v>
      </c>
      <c r="AS79" s="159">
        <v>1338000</v>
      </c>
      <c r="AT79" s="159">
        <v>762000</v>
      </c>
      <c r="AU79" s="159">
        <v>672000</v>
      </c>
      <c r="AV79" s="159">
        <v>420000</v>
      </c>
      <c r="AW79" s="159">
        <v>1194000</v>
      </c>
    </row>
    <row r="80" spans="1:49" s="22" customFormat="1" ht="21.95" customHeight="1" x14ac:dyDescent="0.6">
      <c r="A80" s="122">
        <f t="shared" si="0"/>
        <v>75</v>
      </c>
      <c r="B80" s="228" t="s">
        <v>415</v>
      </c>
      <c r="C80" s="156" t="s">
        <v>3</v>
      </c>
      <c r="D80" s="122" t="str">
        <f>VLOOKUP(B80,파트!$C$5:$I$95,7,0)</f>
        <v>030117-3157912</v>
      </c>
      <c r="E80" s="163"/>
      <c r="F80" s="118"/>
      <c r="G80" s="70">
        <f>VLOOKUP(B80,파트!$C$5:$H$69,6,0)</f>
        <v>741000</v>
      </c>
      <c r="H80" s="96">
        <v>13000</v>
      </c>
      <c r="I80" s="97">
        <f t="shared" ref="I80:I81" si="317">G80</f>
        <v>741000</v>
      </c>
      <c r="J80" s="97"/>
      <c r="K80" s="97"/>
      <c r="L80" s="224"/>
      <c r="M80" s="97"/>
      <c r="N80" s="120">
        <f t="shared" si="294"/>
        <v>0</v>
      </c>
      <c r="O80" s="136">
        <f t="shared" ref="O80:O81" si="318">G80/H80</f>
        <v>57</v>
      </c>
      <c r="P80" s="137">
        <f t="shared" si="296"/>
        <v>0</v>
      </c>
      <c r="Q80" s="96">
        <f t="shared" si="297"/>
        <v>0</v>
      </c>
      <c r="R80" s="103"/>
      <c r="S80" s="96"/>
      <c r="T80" s="132">
        <f t="shared" ref="T80:T81" si="319">G80-Q80-S80+N80+L80</f>
        <v>741000</v>
      </c>
      <c r="U80" s="73"/>
      <c r="V80" s="64"/>
      <c r="W80" s="72">
        <f t="shared" ref="W80:W81" si="320">A80</f>
        <v>75</v>
      </c>
      <c r="X80" s="72" t="str">
        <f t="shared" ref="X80:X81" si="321">B80</f>
        <v>김태민</v>
      </c>
      <c r="Y80" s="216">
        <f t="shared" ref="Y80:Y81" si="322">ROUNDDOWN(T80*3%,-1)</f>
        <v>22230</v>
      </c>
      <c r="Z80" s="216">
        <f t="shared" ref="Z80:Z81" si="323">ROUNDDOWN(Y80*10%,-1)</f>
        <v>2220</v>
      </c>
      <c r="AA80" s="183"/>
      <c r="AB80" s="183"/>
      <c r="AC80" s="183"/>
      <c r="AD80" s="183"/>
      <c r="AE80" s="70"/>
      <c r="AF80" s="70"/>
      <c r="AG80" s="132">
        <f t="shared" ref="AG80:AG81" si="324">SUM(Y80:AF80)</f>
        <v>24450</v>
      </c>
      <c r="AH80" s="54">
        <f t="shared" ref="AH80:AH81" si="325">T80-AG80</f>
        <v>716550</v>
      </c>
      <c r="AI80" s="77"/>
      <c r="AL80" s="22">
        <v>1742000</v>
      </c>
      <c r="AO80" s="22">
        <v>1436500</v>
      </c>
      <c r="AP80" s="159"/>
      <c r="AQ80" s="159">
        <v>210000</v>
      </c>
      <c r="AR80" s="159">
        <v>840000</v>
      </c>
      <c r="AS80" s="159">
        <v>528000</v>
      </c>
      <c r="AT80" s="159">
        <v>1104000</v>
      </c>
      <c r="AU80" s="159">
        <v>618000</v>
      </c>
      <c r="AV80" s="159">
        <v>1398000</v>
      </c>
      <c r="AW80" s="159">
        <v>1014000</v>
      </c>
    </row>
    <row r="81" spans="1:50" s="22" customFormat="1" ht="21.95" customHeight="1" x14ac:dyDescent="0.6">
      <c r="A81" s="122">
        <f t="shared" si="0"/>
        <v>76</v>
      </c>
      <c r="B81" s="228" t="s">
        <v>416</v>
      </c>
      <c r="C81" s="156" t="s">
        <v>3</v>
      </c>
      <c r="D81" s="122" t="str">
        <f>VLOOKUP(B81,파트!$C$5:$I$95,7,0)</f>
        <v>040915-3154914</v>
      </c>
      <c r="E81" s="163"/>
      <c r="F81" s="118"/>
      <c r="G81" s="70">
        <f>VLOOKUP(B81,파트!$C$5:$H$69,6,0)</f>
        <v>299000</v>
      </c>
      <c r="H81" s="96">
        <v>13000</v>
      </c>
      <c r="I81" s="97">
        <f t="shared" si="317"/>
        <v>299000</v>
      </c>
      <c r="J81" s="97"/>
      <c r="K81" s="97"/>
      <c r="L81" s="224"/>
      <c r="M81" s="97"/>
      <c r="N81" s="120">
        <f t="shared" si="294"/>
        <v>0</v>
      </c>
      <c r="O81" s="136">
        <f t="shared" si="318"/>
        <v>23</v>
      </c>
      <c r="P81" s="137">
        <f t="shared" si="296"/>
        <v>0</v>
      </c>
      <c r="Q81" s="96">
        <f t="shared" si="297"/>
        <v>0</v>
      </c>
      <c r="R81" s="103"/>
      <c r="S81" s="96"/>
      <c r="T81" s="132">
        <f t="shared" si="319"/>
        <v>299000</v>
      </c>
      <c r="U81" s="73"/>
      <c r="V81" s="64"/>
      <c r="W81" s="72">
        <f t="shared" si="320"/>
        <v>76</v>
      </c>
      <c r="X81" s="72" t="str">
        <f t="shared" si="321"/>
        <v>장민호</v>
      </c>
      <c r="Y81" s="216">
        <f t="shared" si="322"/>
        <v>8970</v>
      </c>
      <c r="Z81" s="216">
        <f t="shared" si="323"/>
        <v>890</v>
      </c>
      <c r="AA81" s="183"/>
      <c r="AB81" s="183"/>
      <c r="AC81" s="183"/>
      <c r="AD81" s="183"/>
      <c r="AE81" s="70"/>
      <c r="AF81" s="70"/>
      <c r="AG81" s="132">
        <f t="shared" si="324"/>
        <v>9860</v>
      </c>
      <c r="AH81" s="54">
        <f t="shared" si="325"/>
        <v>289140</v>
      </c>
      <c r="AI81" s="77"/>
      <c r="AL81" s="22">
        <v>1352000</v>
      </c>
      <c r="AO81" s="22">
        <v>448500</v>
      </c>
      <c r="AP81" s="159"/>
      <c r="AQ81" s="159">
        <v>414000</v>
      </c>
      <c r="AR81" s="159">
        <v>960000</v>
      </c>
      <c r="AS81" s="159">
        <v>864000</v>
      </c>
      <c r="AT81" s="159">
        <v>444000</v>
      </c>
      <c r="AU81" s="159">
        <v>1254000</v>
      </c>
      <c r="AV81" s="159">
        <v>426000</v>
      </c>
      <c r="AW81" s="159">
        <v>822000</v>
      </c>
    </row>
    <row r="82" spans="1:50" s="22" customFormat="1" ht="21.95" customHeight="1" x14ac:dyDescent="0.6">
      <c r="A82" s="122">
        <f t="shared" si="0"/>
        <v>77</v>
      </c>
      <c r="B82" s="228" t="s">
        <v>417</v>
      </c>
      <c r="C82" s="156" t="s">
        <v>3</v>
      </c>
      <c r="D82" s="122" t="str">
        <f>VLOOKUP(B82,파트!$C$5:$I$95,7,0)</f>
        <v>040805-3185916</v>
      </c>
      <c r="E82" s="163"/>
      <c r="F82" s="118"/>
      <c r="G82" s="70">
        <f>VLOOKUP(B82,파트!$C$5:$H$69,6,0)</f>
        <v>702000</v>
      </c>
      <c r="H82" s="96">
        <v>13000</v>
      </c>
      <c r="I82" s="97">
        <f t="shared" si="293"/>
        <v>702000</v>
      </c>
      <c r="J82" s="97"/>
      <c r="K82" s="97"/>
      <c r="L82" s="224"/>
      <c r="M82" s="97"/>
      <c r="N82" s="120">
        <f t="shared" si="294"/>
        <v>0</v>
      </c>
      <c r="O82" s="136">
        <f t="shared" si="295"/>
        <v>54</v>
      </c>
      <c r="P82" s="137">
        <f t="shared" si="296"/>
        <v>0</v>
      </c>
      <c r="Q82" s="96">
        <f t="shared" si="297"/>
        <v>0</v>
      </c>
      <c r="R82" s="103"/>
      <c r="S82" s="96"/>
      <c r="T82" s="132">
        <f t="shared" si="298"/>
        <v>702000</v>
      </c>
      <c r="U82" s="73"/>
      <c r="V82" s="64"/>
      <c r="W82" s="72">
        <f t="shared" si="299"/>
        <v>77</v>
      </c>
      <c r="X82" s="72" t="str">
        <f t="shared" si="300"/>
        <v>백준희</v>
      </c>
      <c r="Y82" s="216">
        <f t="shared" si="301"/>
        <v>21060</v>
      </c>
      <c r="Z82" s="216">
        <f t="shared" si="302"/>
        <v>2100</v>
      </c>
      <c r="AA82" s="183"/>
      <c r="AB82" s="183"/>
      <c r="AC82" s="183"/>
      <c r="AD82" s="183"/>
      <c r="AE82" s="70"/>
      <c r="AF82" s="70"/>
      <c r="AG82" s="132">
        <f t="shared" si="303"/>
        <v>23160</v>
      </c>
      <c r="AH82" s="54">
        <f t="shared" si="304"/>
        <v>678840</v>
      </c>
      <c r="AI82" s="77"/>
      <c r="AL82" s="22">
        <v>1722500</v>
      </c>
      <c r="AO82" s="22">
        <v>1053000</v>
      </c>
      <c r="AP82" s="159"/>
      <c r="AQ82" s="159">
        <v>396000</v>
      </c>
      <c r="AR82" s="159">
        <v>348000</v>
      </c>
      <c r="AS82" s="159">
        <v>726000</v>
      </c>
      <c r="AT82" s="159">
        <v>1344000</v>
      </c>
      <c r="AU82" s="159">
        <v>1314000</v>
      </c>
      <c r="AV82" s="159">
        <v>1878000</v>
      </c>
      <c r="AW82" s="159">
        <v>1440000</v>
      </c>
    </row>
    <row r="83" spans="1:50" s="22" customFormat="1" ht="21.95" customHeight="1" x14ac:dyDescent="0.6">
      <c r="A83" s="122">
        <f t="shared" si="0"/>
        <v>78</v>
      </c>
      <c r="B83" s="228" t="s">
        <v>418</v>
      </c>
      <c r="C83" s="156" t="s">
        <v>3</v>
      </c>
      <c r="D83" s="122" t="str">
        <f>VLOOKUP(B83,파트!$C$5:$I$95,7,0)</f>
        <v>010217-3183118</v>
      </c>
      <c r="E83" s="163"/>
      <c r="F83" s="118"/>
      <c r="G83" s="70">
        <f>VLOOKUP(B83,파트!$C$5:$H$69,6,0)</f>
        <v>1872000</v>
      </c>
      <c r="H83" s="96">
        <v>13000</v>
      </c>
      <c r="I83" s="97">
        <f t="shared" si="293"/>
        <v>1872000</v>
      </c>
      <c r="J83" s="97"/>
      <c r="K83" s="97"/>
      <c r="L83" s="224"/>
      <c r="M83" s="97"/>
      <c r="N83" s="120">
        <f t="shared" si="294"/>
        <v>0</v>
      </c>
      <c r="O83" s="136">
        <f t="shared" si="295"/>
        <v>144</v>
      </c>
      <c r="P83" s="137">
        <f t="shared" si="296"/>
        <v>0</v>
      </c>
      <c r="Q83" s="96">
        <f t="shared" si="297"/>
        <v>0</v>
      </c>
      <c r="R83" s="103"/>
      <c r="S83" s="96"/>
      <c r="T83" s="132">
        <f t="shared" si="298"/>
        <v>1872000</v>
      </c>
      <c r="U83" s="73"/>
      <c r="V83" s="64"/>
      <c r="W83" s="72">
        <f t="shared" si="299"/>
        <v>78</v>
      </c>
      <c r="X83" s="72" t="str">
        <f t="shared" si="300"/>
        <v>이현석</v>
      </c>
      <c r="Y83" s="216">
        <f t="shared" si="301"/>
        <v>56160</v>
      </c>
      <c r="Z83" s="216">
        <f t="shared" si="302"/>
        <v>5610</v>
      </c>
      <c r="AA83" s="183"/>
      <c r="AB83" s="183"/>
      <c r="AC83" s="183"/>
      <c r="AD83" s="183"/>
      <c r="AE83" s="70"/>
      <c r="AF83" s="70"/>
      <c r="AG83" s="132">
        <f t="shared" si="303"/>
        <v>61770</v>
      </c>
      <c r="AH83" s="54">
        <f t="shared" si="304"/>
        <v>1810230</v>
      </c>
      <c r="AI83" s="77"/>
      <c r="AL83" s="22">
        <v>676000</v>
      </c>
      <c r="AO83" s="22">
        <v>78000</v>
      </c>
      <c r="AP83" s="159"/>
      <c r="AQ83" s="159">
        <v>396000</v>
      </c>
      <c r="AR83" s="159">
        <v>1272000</v>
      </c>
      <c r="AS83" s="159">
        <v>1338000</v>
      </c>
      <c r="AT83" s="159">
        <v>762000</v>
      </c>
      <c r="AU83" s="159">
        <v>672000</v>
      </c>
      <c r="AV83" s="159">
        <v>420000</v>
      </c>
      <c r="AW83" s="159">
        <v>1194000</v>
      </c>
    </row>
    <row r="84" spans="1:50" s="24" customFormat="1" ht="20.45" customHeight="1" x14ac:dyDescent="0.6">
      <c r="A84" s="98" t="s">
        <v>39</v>
      </c>
      <c r="B84" s="112"/>
      <c r="C84" s="99"/>
      <c r="D84" s="99"/>
      <c r="E84" s="100"/>
      <c r="F84" s="99"/>
      <c r="G84" s="166">
        <f ca="1">SUM(INDIRECT("g5:g"&amp;ROW()-1))</f>
        <v>181706880</v>
      </c>
      <c r="H84" s="166"/>
      <c r="I84" s="166">
        <f ca="1">SUM(INDIRECT("I5:I"&amp;ROW()-1))</f>
        <v>144547245</v>
      </c>
      <c r="J84" s="166">
        <f ca="1">SUM(INDIRECT("j5:j"&amp;ROW()-1))</f>
        <v>29546421</v>
      </c>
      <c r="K84" s="166">
        <f ca="1">SUM(INDIRECT("K5:K"&amp;ROW()-1))</f>
        <v>3987874</v>
      </c>
      <c r="L84" s="166">
        <f ca="1">SUM(INDIRECT("l5:l"&amp;ROW()-1))</f>
        <v>0</v>
      </c>
      <c r="M84" s="166">
        <f ca="1">SUM(INDIRECT("m5:m"&amp;ROW()-1))</f>
        <v>3625343</v>
      </c>
      <c r="N84" s="205">
        <f ca="1">SUM(INDIRECT("n5:n"&amp;ROW()-1))</f>
        <v>4185483.8709677421</v>
      </c>
      <c r="O84" s="206"/>
      <c r="P84" s="206"/>
      <c r="Q84" s="166"/>
      <c r="R84" s="103"/>
      <c r="S84" s="166"/>
      <c r="T84" s="166">
        <f ca="1">SUM(INDIRECT("t5:t"&amp;ROW()-1))</f>
        <v>177913363.87096775</v>
      </c>
      <c r="U84" s="166">
        <f t="shared" ref="U84" ca="1" si="326">SUM(INDIRECT("K5:K"&amp;ROW()-1))</f>
        <v>3987874</v>
      </c>
      <c r="V84" s="166"/>
      <c r="W84" s="166"/>
      <c r="X84" s="166"/>
      <c r="Y84" s="166">
        <f ca="1">SUM(INDIRECT("y5:y"&amp;ROW()-1))</f>
        <v>5792170</v>
      </c>
      <c r="Z84" s="166">
        <f ca="1">SUM(INDIRECT("z5:z"&amp;ROW()-1))</f>
        <v>578940</v>
      </c>
      <c r="AA84" s="166">
        <f ca="1">SUM(INDIRECT("aa5:aa"&amp;ROW()-1))</f>
        <v>3273390</v>
      </c>
      <c r="AB84" s="166">
        <f ca="1">SUM(INDIRECT("ab5:ab"&amp;ROW()-1))</f>
        <v>4432010</v>
      </c>
      <c r="AC84" s="166">
        <f ca="1">SUM(INDIRECT("ac5:ac"&amp;ROW()-1))</f>
        <v>582120</v>
      </c>
      <c r="AD84" s="166">
        <f ca="1">SUM(INDIRECT("ad5:ad"&amp;ROW()-1))</f>
        <v>1091200</v>
      </c>
      <c r="AE84" s="166">
        <f ca="1">SUM(INDIRECT("ae5:ae"&amp;ROW()-1))</f>
        <v>0</v>
      </c>
      <c r="AF84" s="70">
        <f ca="1">SUM(INDIRECT("af5:af"&amp;ROW()-1))</f>
        <v>0</v>
      </c>
      <c r="AG84" s="166">
        <f ca="1">SUM(INDIRECT("ag5:ag"&amp;ROW()-1))</f>
        <v>15749830</v>
      </c>
      <c r="AH84" s="166">
        <f ca="1">SUM(INDIRECT("ah5:ah"&amp;ROW()-1))</f>
        <v>162163533.87096775</v>
      </c>
      <c r="AI84" s="78"/>
      <c r="AN84" s="22"/>
      <c r="AO84" s="22"/>
      <c r="AP84" s="159"/>
      <c r="AQ84" s="159"/>
      <c r="AR84" s="159"/>
      <c r="AS84" s="159"/>
      <c r="AT84" s="159"/>
      <c r="AU84" s="159"/>
      <c r="AV84" s="159" t="e">
        <v>#N/A</v>
      </c>
      <c r="AW84" s="159" t="e">
        <v>#N/A</v>
      </c>
      <c r="AX84" s="22"/>
    </row>
    <row r="85" spans="1:50" ht="11.45" customHeight="1" x14ac:dyDescent="0.6">
      <c r="A85" s="26">
        <v>1</v>
      </c>
      <c r="B85" s="113">
        <v>2</v>
      </c>
      <c r="C85" s="26">
        <v>3</v>
      </c>
      <c r="D85" s="26">
        <v>4</v>
      </c>
      <c r="E85" s="26">
        <v>5</v>
      </c>
      <c r="F85" s="26"/>
      <c r="G85" s="26">
        <v>6</v>
      </c>
      <c r="H85" s="26"/>
      <c r="I85" s="97">
        <f>G85</f>
        <v>6</v>
      </c>
      <c r="J85" s="26">
        <v>9</v>
      </c>
      <c r="K85" s="26">
        <v>10</v>
      </c>
      <c r="L85" s="26">
        <v>11</v>
      </c>
      <c r="M85" s="26">
        <v>12</v>
      </c>
      <c r="N85" s="125">
        <v>13</v>
      </c>
      <c r="O85" s="138">
        <v>14</v>
      </c>
      <c r="P85" s="138">
        <v>15</v>
      </c>
      <c r="Q85" s="26">
        <v>16</v>
      </c>
      <c r="R85" s="26">
        <v>17</v>
      </c>
      <c r="S85" s="26">
        <v>18</v>
      </c>
      <c r="T85" s="26">
        <v>19</v>
      </c>
      <c r="U85" s="26">
        <v>20</v>
      </c>
      <c r="V85" s="26">
        <v>21</v>
      </c>
      <c r="W85" s="26">
        <v>22</v>
      </c>
      <c r="X85" s="26">
        <v>23</v>
      </c>
      <c r="Y85" s="26">
        <v>24</v>
      </c>
      <c r="Z85" s="26">
        <v>25</v>
      </c>
      <c r="AA85" s="26">
        <v>26</v>
      </c>
      <c r="AB85" s="26">
        <v>27</v>
      </c>
      <c r="AC85" s="26">
        <v>28</v>
      </c>
      <c r="AD85" s="26">
        <v>29</v>
      </c>
      <c r="AE85" s="26">
        <v>30</v>
      </c>
      <c r="AF85" s="70"/>
      <c r="AG85" s="26">
        <v>31</v>
      </c>
      <c r="AH85" s="26">
        <v>32</v>
      </c>
      <c r="AI85" s="26">
        <v>33</v>
      </c>
      <c r="AN85" s="22"/>
      <c r="AO85" s="22"/>
      <c r="AP85" s="159"/>
      <c r="AQ85" s="159"/>
      <c r="AR85" s="159"/>
      <c r="AS85" s="159"/>
      <c r="AT85" s="159"/>
      <c r="AU85" s="159"/>
      <c r="AV85" s="159" t="e">
        <v>#N/A</v>
      </c>
      <c r="AW85" s="159" t="e">
        <v>#N/A</v>
      </c>
      <c r="AX85" s="22"/>
    </row>
    <row r="86" spans="1:50" ht="11.25" x14ac:dyDescent="0.6">
      <c r="A86" s="17"/>
      <c r="C86" s="17"/>
      <c r="D86" s="17"/>
      <c r="E86" s="17"/>
      <c r="F86" s="17"/>
      <c r="G86" s="17"/>
      <c r="I86" s="17"/>
      <c r="J86" s="17"/>
      <c r="K86" s="17"/>
      <c r="L86" s="17"/>
      <c r="M86" s="17"/>
      <c r="N86" s="126"/>
      <c r="W86" s="17"/>
      <c r="Y86" s="29"/>
      <c r="AP86" s="159"/>
      <c r="AQ86" s="159"/>
      <c r="AR86" s="159"/>
      <c r="AS86" s="159"/>
      <c r="AT86" s="159"/>
      <c r="AU86" s="159"/>
      <c r="AV86" s="159" t="e">
        <v>#N/A</v>
      </c>
      <c r="AW86" s="159"/>
      <c r="AX86" s="22"/>
    </row>
    <row r="87" spans="1:50" ht="16.899999999999999" x14ac:dyDescent="0.6">
      <c r="B87"/>
      <c r="E87"/>
      <c r="AP87" s="159"/>
      <c r="AQ87" s="159"/>
      <c r="AR87" s="159"/>
      <c r="AS87" s="159"/>
      <c r="AT87" s="159"/>
      <c r="AU87" s="159"/>
      <c r="AV87" s="159"/>
      <c r="AW87" s="159"/>
      <c r="AX87" s="22"/>
    </row>
    <row r="88" spans="1:50" ht="16.899999999999999" x14ac:dyDescent="0.6">
      <c r="B88"/>
      <c r="D88" s="27" t="s">
        <v>422</v>
      </c>
      <c r="E88"/>
      <c r="AP88" s="159"/>
      <c r="AQ88" s="159"/>
      <c r="AR88" s="159"/>
      <c r="AS88" s="159"/>
      <c r="AT88" s="159"/>
      <c r="AU88" s="159"/>
      <c r="AV88" s="159"/>
      <c r="AW88" s="159"/>
      <c r="AX88" s="22"/>
    </row>
    <row r="89" spans="1:50" ht="16.899999999999999" x14ac:dyDescent="0.6">
      <c r="B89"/>
      <c r="E89"/>
      <c r="AP89" s="159"/>
      <c r="AQ89" s="159"/>
      <c r="AR89" s="159"/>
      <c r="AS89" s="159"/>
      <c r="AT89" s="159"/>
      <c r="AU89" s="159"/>
      <c r="AV89" s="159"/>
      <c r="AW89" s="159"/>
      <c r="AX89" s="22"/>
    </row>
    <row r="90" spans="1:50" ht="16.899999999999999" x14ac:dyDescent="0.6">
      <c r="B90"/>
      <c r="E90"/>
      <c r="AP90" s="159"/>
      <c r="AQ90" s="159"/>
      <c r="AR90" s="159"/>
      <c r="AS90" s="159"/>
      <c r="AT90" s="159"/>
      <c r="AU90" s="159"/>
      <c r="AV90" s="159"/>
      <c r="AW90" s="159"/>
      <c r="AX90" s="22"/>
    </row>
    <row r="91" spans="1:50" ht="16.899999999999999" x14ac:dyDescent="0.6">
      <c r="B91"/>
      <c r="AP91" s="159"/>
      <c r="AQ91" s="159"/>
      <c r="AR91" s="159"/>
      <c r="AS91" s="159"/>
      <c r="AT91" s="159"/>
      <c r="AU91" s="159"/>
      <c r="AV91" s="159"/>
      <c r="AW91" s="159"/>
      <c r="AX91" s="22"/>
    </row>
    <row r="92" spans="1:50" ht="11.25" x14ac:dyDescent="0.6">
      <c r="AP92" s="159"/>
      <c r="AQ92" s="159"/>
      <c r="AR92" s="159"/>
      <c r="AS92" s="159"/>
      <c r="AT92" s="159"/>
      <c r="AU92" s="159"/>
      <c r="AV92" s="159"/>
      <c r="AW92" s="159"/>
      <c r="AX92" s="22"/>
    </row>
    <row r="93" spans="1:50" ht="16.899999999999999" x14ac:dyDescent="0.6">
      <c r="D93"/>
      <c r="AP93" s="159"/>
      <c r="AQ93" s="159"/>
      <c r="AR93" s="159"/>
      <c r="AS93" s="159"/>
      <c r="AT93" s="159"/>
      <c r="AU93" s="159"/>
      <c r="AV93" s="159"/>
      <c r="AW93" s="159"/>
      <c r="AX93" s="22"/>
    </row>
    <row r="94" spans="1:50" ht="16.899999999999999" x14ac:dyDescent="0.6">
      <c r="D94"/>
    </row>
    <row r="95" spans="1:50" ht="16.899999999999999" x14ac:dyDescent="0.6">
      <c r="D95"/>
    </row>
  </sheetData>
  <mergeCells count="23">
    <mergeCell ref="AH4:AH5"/>
    <mergeCell ref="AI4:AI5"/>
    <mergeCell ref="S4:S5"/>
    <mergeCell ref="T4:T5"/>
    <mergeCell ref="X4:X5"/>
    <mergeCell ref="Y4:AD4"/>
    <mergeCell ref="AG4:AG5"/>
    <mergeCell ref="A1:T1"/>
    <mergeCell ref="F4:F5"/>
    <mergeCell ref="W4:W5"/>
    <mergeCell ref="W1:AH1"/>
    <mergeCell ref="A4:A5"/>
    <mergeCell ref="B4:B5"/>
    <mergeCell ref="C4:C5"/>
    <mergeCell ref="D4:D5"/>
    <mergeCell ref="E4:E5"/>
    <mergeCell ref="G4:G5"/>
    <mergeCell ref="H4:H5"/>
    <mergeCell ref="I4:N4"/>
    <mergeCell ref="O4:O5"/>
    <mergeCell ref="P4:P5"/>
    <mergeCell ref="Q4:Q5"/>
    <mergeCell ref="R4:R5"/>
  </mergeCells>
  <phoneticPr fontId="1" type="noConversion"/>
  <conditionalFormatting sqref="B1:B1048576">
    <cfRule type="duplicateValues" dxfId="14" priority="1"/>
  </conditionalFormatting>
  <conditionalFormatting sqref="D1:D1048576">
    <cfRule type="duplicateValues" dxfId="13" priority="2"/>
  </conditionalFormatting>
  <conditionalFormatting sqref="F6:F83">
    <cfRule type="cellIs" dxfId="12" priority="615" operator="greaterThan">
      <formula>43523</formula>
    </cfRule>
    <cfRule type="cellIs" dxfId="10" priority="631" operator="lessThan">
      <formula>40179</formula>
    </cfRule>
  </conditionalFormatting>
  <conditionalFormatting sqref="L6:L83 P6:P83 AE6:AF83">
    <cfRule type="cellIs" dxfId="9" priority="3" operator="greaterThan">
      <formula>0</formula>
    </cfRule>
  </conditionalFormatting>
  <conditionalFormatting sqref="N6:N83">
    <cfRule type="cellIs" dxfId="8" priority="604" operator="greaterThan">
      <formula>0</formula>
    </cfRule>
  </conditionalFormatting>
  <conditionalFormatting sqref="AF84:AF85">
    <cfRule type="cellIs" dxfId="7" priority="618" operator="greaterThan">
      <formula>0</formula>
    </cfRule>
  </conditionalFormatting>
  <printOptions horizontalCentered="1" verticalCentered="1"/>
  <pageMargins left="0.31496062992125984" right="0" top="0.15748031496062992" bottom="0.15748031496062992" header="0.47244094488188981" footer="0.15748031496062992"/>
  <pageSetup paperSize="9" scale="61" orientation="landscape" r:id="rId1"/>
  <headerFooter alignWithMargins="0"/>
  <colBreaks count="1" manualBreakCount="1">
    <brk id="22" max="50" man="1"/>
  </col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16" operator="containsText" id="{B021C640-7636-4FB3-A270-C3A71C34F861}">
            <xm:f>NOT(ISERROR(SEARCH("-",F6)))</xm:f>
            <xm:f>"-"</xm:f>
            <x14:dxf>
              <fill>
                <patternFill>
                  <bgColor rgb="FFFFC7CE"/>
                </patternFill>
              </fill>
            </x14:dxf>
          </x14:cfRule>
          <xm:sqref>F6:F83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82"/>
  <sheetViews>
    <sheetView showGridLines="0" zoomScaleNormal="100" workbookViewId="0">
      <selection activeCell="A42" sqref="A42:XFD42"/>
    </sheetView>
  </sheetViews>
  <sheetFormatPr defaultRowHeight="16.899999999999999" x14ac:dyDescent="0.6"/>
  <cols>
    <col min="1" max="1" width="8.875" style="152"/>
    <col min="2" max="2" width="14.375" style="151" bestFit="1" customWidth="1"/>
    <col min="3" max="3" width="16.3125" style="151" bestFit="1" customWidth="1"/>
    <col min="4" max="4" width="11" style="151" bestFit="1" customWidth="1"/>
    <col min="5" max="5" width="18.6875" style="151" bestFit="1" customWidth="1"/>
    <col min="6" max="6" width="12.875" style="150" bestFit="1" customWidth="1"/>
    <col min="7" max="7" width="9.3125" style="56" bestFit="1" customWidth="1"/>
    <col min="8" max="9" width="8.875" style="56"/>
    <col min="10" max="27" width="0" style="56" hidden="1" customWidth="1"/>
    <col min="28" max="228" width="8.875" style="56"/>
    <col min="229" max="229" width="10.6875" style="56" customWidth="1"/>
    <col min="230" max="230" width="8.875" style="56"/>
    <col min="231" max="231" width="10.875" style="56" customWidth="1"/>
    <col min="232" max="232" width="16" style="56" customWidth="1"/>
    <col min="233" max="233" width="27" style="56" customWidth="1"/>
    <col min="234" max="234" width="14.6875" style="56" customWidth="1"/>
    <col min="235" max="235" width="20.3125" style="56" customWidth="1"/>
    <col min="236" max="236" width="18.1875" style="56" customWidth="1"/>
    <col min="237" max="237" width="14.375" style="56" customWidth="1"/>
    <col min="238" max="238" width="14.125" style="56" customWidth="1"/>
    <col min="239" max="239" width="11.3125" style="56" customWidth="1"/>
    <col min="240" max="484" width="8.875" style="56"/>
    <col min="485" max="485" width="10.6875" style="56" customWidth="1"/>
    <col min="486" max="486" width="8.875" style="56"/>
    <col min="487" max="487" width="10.875" style="56" customWidth="1"/>
    <col min="488" max="488" width="16" style="56" customWidth="1"/>
    <col min="489" max="489" width="27" style="56" customWidth="1"/>
    <col min="490" max="490" width="14.6875" style="56" customWidth="1"/>
    <col min="491" max="491" width="20.3125" style="56" customWidth="1"/>
    <col min="492" max="492" width="18.1875" style="56" customWidth="1"/>
    <col min="493" max="493" width="14.375" style="56" customWidth="1"/>
    <col min="494" max="494" width="14.125" style="56" customWidth="1"/>
    <col min="495" max="495" width="11.3125" style="56" customWidth="1"/>
    <col min="496" max="740" width="8.875" style="56"/>
    <col min="741" max="741" width="10.6875" style="56" customWidth="1"/>
    <col min="742" max="742" width="8.875" style="56"/>
    <col min="743" max="743" width="10.875" style="56" customWidth="1"/>
    <col min="744" max="744" width="16" style="56" customWidth="1"/>
    <col min="745" max="745" width="27" style="56" customWidth="1"/>
    <col min="746" max="746" width="14.6875" style="56" customWidth="1"/>
    <col min="747" max="747" width="20.3125" style="56" customWidth="1"/>
    <col min="748" max="748" width="18.1875" style="56" customWidth="1"/>
    <col min="749" max="749" width="14.375" style="56" customWidth="1"/>
    <col min="750" max="750" width="14.125" style="56" customWidth="1"/>
    <col min="751" max="751" width="11.3125" style="56" customWidth="1"/>
    <col min="752" max="996" width="8.875" style="56"/>
    <col min="997" max="997" width="10.6875" style="56" customWidth="1"/>
    <col min="998" max="998" width="8.875" style="56"/>
    <col min="999" max="999" width="10.875" style="56" customWidth="1"/>
    <col min="1000" max="1000" width="16" style="56" customWidth="1"/>
    <col min="1001" max="1001" width="27" style="56" customWidth="1"/>
    <col min="1002" max="1002" width="14.6875" style="56" customWidth="1"/>
    <col min="1003" max="1003" width="20.3125" style="56" customWidth="1"/>
    <col min="1004" max="1004" width="18.1875" style="56" customWidth="1"/>
    <col min="1005" max="1005" width="14.375" style="56" customWidth="1"/>
    <col min="1006" max="1006" width="14.125" style="56" customWidth="1"/>
    <col min="1007" max="1007" width="11.3125" style="56" customWidth="1"/>
    <col min="1008" max="1252" width="8.875" style="56"/>
    <col min="1253" max="1253" width="10.6875" style="56" customWidth="1"/>
    <col min="1254" max="1254" width="8.875" style="56"/>
    <col min="1255" max="1255" width="10.875" style="56" customWidth="1"/>
    <col min="1256" max="1256" width="16" style="56" customWidth="1"/>
    <col min="1257" max="1257" width="27" style="56" customWidth="1"/>
    <col min="1258" max="1258" width="14.6875" style="56" customWidth="1"/>
    <col min="1259" max="1259" width="20.3125" style="56" customWidth="1"/>
    <col min="1260" max="1260" width="18.1875" style="56" customWidth="1"/>
    <col min="1261" max="1261" width="14.375" style="56" customWidth="1"/>
    <col min="1262" max="1262" width="14.125" style="56" customWidth="1"/>
    <col min="1263" max="1263" width="11.3125" style="56" customWidth="1"/>
    <col min="1264" max="1508" width="8.875" style="56"/>
    <col min="1509" max="1509" width="10.6875" style="56" customWidth="1"/>
    <col min="1510" max="1510" width="8.875" style="56"/>
    <col min="1511" max="1511" width="10.875" style="56" customWidth="1"/>
    <col min="1512" max="1512" width="16" style="56" customWidth="1"/>
    <col min="1513" max="1513" width="27" style="56" customWidth="1"/>
    <col min="1514" max="1514" width="14.6875" style="56" customWidth="1"/>
    <col min="1515" max="1515" width="20.3125" style="56" customWidth="1"/>
    <col min="1516" max="1516" width="18.1875" style="56" customWidth="1"/>
    <col min="1517" max="1517" width="14.375" style="56" customWidth="1"/>
    <col min="1518" max="1518" width="14.125" style="56" customWidth="1"/>
    <col min="1519" max="1519" width="11.3125" style="56" customWidth="1"/>
    <col min="1520" max="1764" width="8.875" style="56"/>
    <col min="1765" max="1765" width="10.6875" style="56" customWidth="1"/>
    <col min="1766" max="1766" width="8.875" style="56"/>
    <col min="1767" max="1767" width="10.875" style="56" customWidth="1"/>
    <col min="1768" max="1768" width="16" style="56" customWidth="1"/>
    <col min="1769" max="1769" width="27" style="56" customWidth="1"/>
    <col min="1770" max="1770" width="14.6875" style="56" customWidth="1"/>
    <col min="1771" max="1771" width="20.3125" style="56" customWidth="1"/>
    <col min="1772" max="1772" width="18.1875" style="56" customWidth="1"/>
    <col min="1773" max="1773" width="14.375" style="56" customWidth="1"/>
    <col min="1774" max="1774" width="14.125" style="56" customWidth="1"/>
    <col min="1775" max="1775" width="11.3125" style="56" customWidth="1"/>
    <col min="1776" max="2020" width="8.875" style="56"/>
    <col min="2021" max="2021" width="10.6875" style="56" customWidth="1"/>
    <col min="2022" max="2022" width="8.875" style="56"/>
    <col min="2023" max="2023" width="10.875" style="56" customWidth="1"/>
    <col min="2024" max="2024" width="16" style="56" customWidth="1"/>
    <col min="2025" max="2025" width="27" style="56" customWidth="1"/>
    <col min="2026" max="2026" width="14.6875" style="56" customWidth="1"/>
    <col min="2027" max="2027" width="20.3125" style="56" customWidth="1"/>
    <col min="2028" max="2028" width="18.1875" style="56" customWidth="1"/>
    <col min="2029" max="2029" width="14.375" style="56" customWidth="1"/>
    <col min="2030" max="2030" width="14.125" style="56" customWidth="1"/>
    <col min="2031" max="2031" width="11.3125" style="56" customWidth="1"/>
    <col min="2032" max="2276" width="8.875" style="56"/>
    <col min="2277" max="2277" width="10.6875" style="56" customWidth="1"/>
    <col min="2278" max="2278" width="8.875" style="56"/>
    <col min="2279" max="2279" width="10.875" style="56" customWidth="1"/>
    <col min="2280" max="2280" width="16" style="56" customWidth="1"/>
    <col min="2281" max="2281" width="27" style="56" customWidth="1"/>
    <col min="2282" max="2282" width="14.6875" style="56" customWidth="1"/>
    <col min="2283" max="2283" width="20.3125" style="56" customWidth="1"/>
    <col min="2284" max="2284" width="18.1875" style="56" customWidth="1"/>
    <col min="2285" max="2285" width="14.375" style="56" customWidth="1"/>
    <col min="2286" max="2286" width="14.125" style="56" customWidth="1"/>
    <col min="2287" max="2287" width="11.3125" style="56" customWidth="1"/>
    <col min="2288" max="2532" width="8.875" style="56"/>
    <col min="2533" max="2533" width="10.6875" style="56" customWidth="1"/>
    <col min="2534" max="2534" width="8.875" style="56"/>
    <col min="2535" max="2535" width="10.875" style="56" customWidth="1"/>
    <col min="2536" max="2536" width="16" style="56" customWidth="1"/>
    <col min="2537" max="2537" width="27" style="56" customWidth="1"/>
    <col min="2538" max="2538" width="14.6875" style="56" customWidth="1"/>
    <col min="2539" max="2539" width="20.3125" style="56" customWidth="1"/>
    <col min="2540" max="2540" width="18.1875" style="56" customWidth="1"/>
    <col min="2541" max="2541" width="14.375" style="56" customWidth="1"/>
    <col min="2542" max="2542" width="14.125" style="56" customWidth="1"/>
    <col min="2543" max="2543" width="11.3125" style="56" customWidth="1"/>
    <col min="2544" max="2788" width="8.875" style="56"/>
    <col min="2789" max="2789" width="10.6875" style="56" customWidth="1"/>
    <col min="2790" max="2790" width="8.875" style="56"/>
    <col min="2791" max="2791" width="10.875" style="56" customWidth="1"/>
    <col min="2792" max="2792" width="16" style="56" customWidth="1"/>
    <col min="2793" max="2793" width="27" style="56" customWidth="1"/>
    <col min="2794" max="2794" width="14.6875" style="56" customWidth="1"/>
    <col min="2795" max="2795" width="20.3125" style="56" customWidth="1"/>
    <col min="2796" max="2796" width="18.1875" style="56" customWidth="1"/>
    <col min="2797" max="2797" width="14.375" style="56" customWidth="1"/>
    <col min="2798" max="2798" width="14.125" style="56" customWidth="1"/>
    <col min="2799" max="2799" width="11.3125" style="56" customWidth="1"/>
    <col min="2800" max="3044" width="8.875" style="56"/>
    <col min="3045" max="3045" width="10.6875" style="56" customWidth="1"/>
    <col min="3046" max="3046" width="8.875" style="56"/>
    <col min="3047" max="3047" width="10.875" style="56" customWidth="1"/>
    <col min="3048" max="3048" width="16" style="56" customWidth="1"/>
    <col min="3049" max="3049" width="27" style="56" customWidth="1"/>
    <col min="3050" max="3050" width="14.6875" style="56" customWidth="1"/>
    <col min="3051" max="3051" width="20.3125" style="56" customWidth="1"/>
    <col min="3052" max="3052" width="18.1875" style="56" customWidth="1"/>
    <col min="3053" max="3053" width="14.375" style="56" customWidth="1"/>
    <col min="3054" max="3054" width="14.125" style="56" customWidth="1"/>
    <col min="3055" max="3055" width="11.3125" style="56" customWidth="1"/>
    <col min="3056" max="3300" width="8.875" style="56"/>
    <col min="3301" max="3301" width="10.6875" style="56" customWidth="1"/>
    <col min="3302" max="3302" width="8.875" style="56"/>
    <col min="3303" max="3303" width="10.875" style="56" customWidth="1"/>
    <col min="3304" max="3304" width="16" style="56" customWidth="1"/>
    <col min="3305" max="3305" width="27" style="56" customWidth="1"/>
    <col min="3306" max="3306" width="14.6875" style="56" customWidth="1"/>
    <col min="3307" max="3307" width="20.3125" style="56" customWidth="1"/>
    <col min="3308" max="3308" width="18.1875" style="56" customWidth="1"/>
    <col min="3309" max="3309" width="14.375" style="56" customWidth="1"/>
    <col min="3310" max="3310" width="14.125" style="56" customWidth="1"/>
    <col min="3311" max="3311" width="11.3125" style="56" customWidth="1"/>
    <col min="3312" max="3556" width="8.875" style="56"/>
    <col min="3557" max="3557" width="10.6875" style="56" customWidth="1"/>
    <col min="3558" max="3558" width="8.875" style="56"/>
    <col min="3559" max="3559" width="10.875" style="56" customWidth="1"/>
    <col min="3560" max="3560" width="16" style="56" customWidth="1"/>
    <col min="3561" max="3561" width="27" style="56" customWidth="1"/>
    <col min="3562" max="3562" width="14.6875" style="56" customWidth="1"/>
    <col min="3563" max="3563" width="20.3125" style="56" customWidth="1"/>
    <col min="3564" max="3564" width="18.1875" style="56" customWidth="1"/>
    <col min="3565" max="3565" width="14.375" style="56" customWidth="1"/>
    <col min="3566" max="3566" width="14.125" style="56" customWidth="1"/>
    <col min="3567" max="3567" width="11.3125" style="56" customWidth="1"/>
    <col min="3568" max="3812" width="8.875" style="56"/>
    <col min="3813" max="3813" width="10.6875" style="56" customWidth="1"/>
    <col min="3814" max="3814" width="8.875" style="56"/>
    <col min="3815" max="3815" width="10.875" style="56" customWidth="1"/>
    <col min="3816" max="3816" width="16" style="56" customWidth="1"/>
    <col min="3817" max="3817" width="27" style="56" customWidth="1"/>
    <col min="3818" max="3818" width="14.6875" style="56" customWidth="1"/>
    <col min="3819" max="3819" width="20.3125" style="56" customWidth="1"/>
    <col min="3820" max="3820" width="18.1875" style="56" customWidth="1"/>
    <col min="3821" max="3821" width="14.375" style="56" customWidth="1"/>
    <col min="3822" max="3822" width="14.125" style="56" customWidth="1"/>
    <col min="3823" max="3823" width="11.3125" style="56" customWidth="1"/>
    <col min="3824" max="4068" width="8.875" style="56"/>
    <col min="4069" max="4069" width="10.6875" style="56" customWidth="1"/>
    <col min="4070" max="4070" width="8.875" style="56"/>
    <col min="4071" max="4071" width="10.875" style="56" customWidth="1"/>
    <col min="4072" max="4072" width="16" style="56" customWidth="1"/>
    <col min="4073" max="4073" width="27" style="56" customWidth="1"/>
    <col min="4074" max="4074" width="14.6875" style="56" customWidth="1"/>
    <col min="4075" max="4075" width="20.3125" style="56" customWidth="1"/>
    <col min="4076" max="4076" width="18.1875" style="56" customWidth="1"/>
    <col min="4077" max="4077" width="14.375" style="56" customWidth="1"/>
    <col min="4078" max="4078" width="14.125" style="56" customWidth="1"/>
    <col min="4079" max="4079" width="11.3125" style="56" customWidth="1"/>
    <col min="4080" max="4324" width="8.875" style="56"/>
    <col min="4325" max="4325" width="10.6875" style="56" customWidth="1"/>
    <col min="4326" max="4326" width="8.875" style="56"/>
    <col min="4327" max="4327" width="10.875" style="56" customWidth="1"/>
    <col min="4328" max="4328" width="16" style="56" customWidth="1"/>
    <col min="4329" max="4329" width="27" style="56" customWidth="1"/>
    <col min="4330" max="4330" width="14.6875" style="56" customWidth="1"/>
    <col min="4331" max="4331" width="20.3125" style="56" customWidth="1"/>
    <col min="4332" max="4332" width="18.1875" style="56" customWidth="1"/>
    <col min="4333" max="4333" width="14.375" style="56" customWidth="1"/>
    <col min="4334" max="4334" width="14.125" style="56" customWidth="1"/>
    <col min="4335" max="4335" width="11.3125" style="56" customWidth="1"/>
    <col min="4336" max="4580" width="8.875" style="56"/>
    <col min="4581" max="4581" width="10.6875" style="56" customWidth="1"/>
    <col min="4582" max="4582" width="8.875" style="56"/>
    <col min="4583" max="4583" width="10.875" style="56" customWidth="1"/>
    <col min="4584" max="4584" width="16" style="56" customWidth="1"/>
    <col min="4585" max="4585" width="27" style="56" customWidth="1"/>
    <col min="4586" max="4586" width="14.6875" style="56" customWidth="1"/>
    <col min="4587" max="4587" width="20.3125" style="56" customWidth="1"/>
    <col min="4588" max="4588" width="18.1875" style="56" customWidth="1"/>
    <col min="4589" max="4589" width="14.375" style="56" customWidth="1"/>
    <col min="4590" max="4590" width="14.125" style="56" customWidth="1"/>
    <col min="4591" max="4591" width="11.3125" style="56" customWidth="1"/>
    <col min="4592" max="4836" width="8.875" style="56"/>
    <col min="4837" max="4837" width="10.6875" style="56" customWidth="1"/>
    <col min="4838" max="4838" width="8.875" style="56"/>
    <col min="4839" max="4839" width="10.875" style="56" customWidth="1"/>
    <col min="4840" max="4840" width="16" style="56" customWidth="1"/>
    <col min="4841" max="4841" width="27" style="56" customWidth="1"/>
    <col min="4842" max="4842" width="14.6875" style="56" customWidth="1"/>
    <col min="4843" max="4843" width="20.3125" style="56" customWidth="1"/>
    <col min="4844" max="4844" width="18.1875" style="56" customWidth="1"/>
    <col min="4845" max="4845" width="14.375" style="56" customWidth="1"/>
    <col min="4846" max="4846" width="14.125" style="56" customWidth="1"/>
    <col min="4847" max="4847" width="11.3125" style="56" customWidth="1"/>
    <col min="4848" max="5092" width="8.875" style="56"/>
    <col min="5093" max="5093" width="10.6875" style="56" customWidth="1"/>
    <col min="5094" max="5094" width="8.875" style="56"/>
    <col min="5095" max="5095" width="10.875" style="56" customWidth="1"/>
    <col min="5096" max="5096" width="16" style="56" customWidth="1"/>
    <col min="5097" max="5097" width="27" style="56" customWidth="1"/>
    <col min="5098" max="5098" width="14.6875" style="56" customWidth="1"/>
    <col min="5099" max="5099" width="20.3125" style="56" customWidth="1"/>
    <col min="5100" max="5100" width="18.1875" style="56" customWidth="1"/>
    <col min="5101" max="5101" width="14.375" style="56" customWidth="1"/>
    <col min="5102" max="5102" width="14.125" style="56" customWidth="1"/>
    <col min="5103" max="5103" width="11.3125" style="56" customWidth="1"/>
    <col min="5104" max="5348" width="8.875" style="56"/>
    <col min="5349" max="5349" width="10.6875" style="56" customWidth="1"/>
    <col min="5350" max="5350" width="8.875" style="56"/>
    <col min="5351" max="5351" width="10.875" style="56" customWidth="1"/>
    <col min="5352" max="5352" width="16" style="56" customWidth="1"/>
    <col min="5353" max="5353" width="27" style="56" customWidth="1"/>
    <col min="5354" max="5354" width="14.6875" style="56" customWidth="1"/>
    <col min="5355" max="5355" width="20.3125" style="56" customWidth="1"/>
    <col min="5356" max="5356" width="18.1875" style="56" customWidth="1"/>
    <col min="5357" max="5357" width="14.375" style="56" customWidth="1"/>
    <col min="5358" max="5358" width="14.125" style="56" customWidth="1"/>
    <col min="5359" max="5359" width="11.3125" style="56" customWidth="1"/>
    <col min="5360" max="5604" width="8.875" style="56"/>
    <col min="5605" max="5605" width="10.6875" style="56" customWidth="1"/>
    <col min="5606" max="5606" width="8.875" style="56"/>
    <col min="5607" max="5607" width="10.875" style="56" customWidth="1"/>
    <col min="5608" max="5608" width="16" style="56" customWidth="1"/>
    <col min="5609" max="5609" width="27" style="56" customWidth="1"/>
    <col min="5610" max="5610" width="14.6875" style="56" customWidth="1"/>
    <col min="5611" max="5611" width="20.3125" style="56" customWidth="1"/>
    <col min="5612" max="5612" width="18.1875" style="56" customWidth="1"/>
    <col min="5613" max="5613" width="14.375" style="56" customWidth="1"/>
    <col min="5614" max="5614" width="14.125" style="56" customWidth="1"/>
    <col min="5615" max="5615" width="11.3125" style="56" customWidth="1"/>
    <col min="5616" max="5860" width="8.875" style="56"/>
    <col min="5861" max="5861" width="10.6875" style="56" customWidth="1"/>
    <col min="5862" max="5862" width="8.875" style="56"/>
    <col min="5863" max="5863" width="10.875" style="56" customWidth="1"/>
    <col min="5864" max="5864" width="16" style="56" customWidth="1"/>
    <col min="5865" max="5865" width="27" style="56" customWidth="1"/>
    <col min="5866" max="5866" width="14.6875" style="56" customWidth="1"/>
    <col min="5867" max="5867" width="20.3125" style="56" customWidth="1"/>
    <col min="5868" max="5868" width="18.1875" style="56" customWidth="1"/>
    <col min="5869" max="5869" width="14.375" style="56" customWidth="1"/>
    <col min="5870" max="5870" width="14.125" style="56" customWidth="1"/>
    <col min="5871" max="5871" width="11.3125" style="56" customWidth="1"/>
    <col min="5872" max="6116" width="8.875" style="56"/>
    <col min="6117" max="6117" width="10.6875" style="56" customWidth="1"/>
    <col min="6118" max="6118" width="8.875" style="56"/>
    <col min="6119" max="6119" width="10.875" style="56" customWidth="1"/>
    <col min="6120" max="6120" width="16" style="56" customWidth="1"/>
    <col min="6121" max="6121" width="27" style="56" customWidth="1"/>
    <col min="6122" max="6122" width="14.6875" style="56" customWidth="1"/>
    <col min="6123" max="6123" width="20.3125" style="56" customWidth="1"/>
    <col min="6124" max="6124" width="18.1875" style="56" customWidth="1"/>
    <col min="6125" max="6125" width="14.375" style="56" customWidth="1"/>
    <col min="6126" max="6126" width="14.125" style="56" customWidth="1"/>
    <col min="6127" max="6127" width="11.3125" style="56" customWidth="1"/>
    <col min="6128" max="6372" width="8.875" style="56"/>
    <col min="6373" max="6373" width="10.6875" style="56" customWidth="1"/>
    <col min="6374" max="6374" width="8.875" style="56"/>
    <col min="6375" max="6375" width="10.875" style="56" customWidth="1"/>
    <col min="6376" max="6376" width="16" style="56" customWidth="1"/>
    <col min="6377" max="6377" width="27" style="56" customWidth="1"/>
    <col min="6378" max="6378" width="14.6875" style="56" customWidth="1"/>
    <col min="6379" max="6379" width="20.3125" style="56" customWidth="1"/>
    <col min="6380" max="6380" width="18.1875" style="56" customWidth="1"/>
    <col min="6381" max="6381" width="14.375" style="56" customWidth="1"/>
    <col min="6382" max="6382" width="14.125" style="56" customWidth="1"/>
    <col min="6383" max="6383" width="11.3125" style="56" customWidth="1"/>
    <col min="6384" max="6628" width="8.875" style="56"/>
    <col min="6629" max="6629" width="10.6875" style="56" customWidth="1"/>
    <col min="6630" max="6630" width="8.875" style="56"/>
    <col min="6631" max="6631" width="10.875" style="56" customWidth="1"/>
    <col min="6632" max="6632" width="16" style="56" customWidth="1"/>
    <col min="6633" max="6633" width="27" style="56" customWidth="1"/>
    <col min="6634" max="6634" width="14.6875" style="56" customWidth="1"/>
    <col min="6635" max="6635" width="20.3125" style="56" customWidth="1"/>
    <col min="6636" max="6636" width="18.1875" style="56" customWidth="1"/>
    <col min="6637" max="6637" width="14.375" style="56" customWidth="1"/>
    <col min="6638" max="6638" width="14.125" style="56" customWidth="1"/>
    <col min="6639" max="6639" width="11.3125" style="56" customWidth="1"/>
    <col min="6640" max="6884" width="8.875" style="56"/>
    <col min="6885" max="6885" width="10.6875" style="56" customWidth="1"/>
    <col min="6886" max="6886" width="8.875" style="56"/>
    <col min="6887" max="6887" width="10.875" style="56" customWidth="1"/>
    <col min="6888" max="6888" width="16" style="56" customWidth="1"/>
    <col min="6889" max="6889" width="27" style="56" customWidth="1"/>
    <col min="6890" max="6890" width="14.6875" style="56" customWidth="1"/>
    <col min="6891" max="6891" width="20.3125" style="56" customWidth="1"/>
    <col min="6892" max="6892" width="18.1875" style="56" customWidth="1"/>
    <col min="6893" max="6893" width="14.375" style="56" customWidth="1"/>
    <col min="6894" max="6894" width="14.125" style="56" customWidth="1"/>
    <col min="6895" max="6895" width="11.3125" style="56" customWidth="1"/>
    <col min="6896" max="7140" width="8.875" style="56"/>
    <col min="7141" max="7141" width="10.6875" style="56" customWidth="1"/>
    <col min="7142" max="7142" width="8.875" style="56"/>
    <col min="7143" max="7143" width="10.875" style="56" customWidth="1"/>
    <col min="7144" max="7144" width="16" style="56" customWidth="1"/>
    <col min="7145" max="7145" width="27" style="56" customWidth="1"/>
    <col min="7146" max="7146" width="14.6875" style="56" customWidth="1"/>
    <col min="7147" max="7147" width="20.3125" style="56" customWidth="1"/>
    <col min="7148" max="7148" width="18.1875" style="56" customWidth="1"/>
    <col min="7149" max="7149" width="14.375" style="56" customWidth="1"/>
    <col min="7150" max="7150" width="14.125" style="56" customWidth="1"/>
    <col min="7151" max="7151" width="11.3125" style="56" customWidth="1"/>
    <col min="7152" max="7396" width="8.875" style="56"/>
    <col min="7397" max="7397" width="10.6875" style="56" customWidth="1"/>
    <col min="7398" max="7398" width="8.875" style="56"/>
    <col min="7399" max="7399" width="10.875" style="56" customWidth="1"/>
    <col min="7400" max="7400" width="16" style="56" customWidth="1"/>
    <col min="7401" max="7401" width="27" style="56" customWidth="1"/>
    <col min="7402" max="7402" width="14.6875" style="56" customWidth="1"/>
    <col min="7403" max="7403" width="20.3125" style="56" customWidth="1"/>
    <col min="7404" max="7404" width="18.1875" style="56" customWidth="1"/>
    <col min="7405" max="7405" width="14.375" style="56" customWidth="1"/>
    <col min="7406" max="7406" width="14.125" style="56" customWidth="1"/>
    <col min="7407" max="7407" width="11.3125" style="56" customWidth="1"/>
    <col min="7408" max="7652" width="8.875" style="56"/>
    <col min="7653" max="7653" width="10.6875" style="56" customWidth="1"/>
    <col min="7654" max="7654" width="8.875" style="56"/>
    <col min="7655" max="7655" width="10.875" style="56" customWidth="1"/>
    <col min="7656" max="7656" width="16" style="56" customWidth="1"/>
    <col min="7657" max="7657" width="27" style="56" customWidth="1"/>
    <col min="7658" max="7658" width="14.6875" style="56" customWidth="1"/>
    <col min="7659" max="7659" width="20.3125" style="56" customWidth="1"/>
    <col min="7660" max="7660" width="18.1875" style="56" customWidth="1"/>
    <col min="7661" max="7661" width="14.375" style="56" customWidth="1"/>
    <col min="7662" max="7662" width="14.125" style="56" customWidth="1"/>
    <col min="7663" max="7663" width="11.3125" style="56" customWidth="1"/>
    <col min="7664" max="7908" width="8.875" style="56"/>
    <col min="7909" max="7909" width="10.6875" style="56" customWidth="1"/>
    <col min="7910" max="7910" width="8.875" style="56"/>
    <col min="7911" max="7911" width="10.875" style="56" customWidth="1"/>
    <col min="7912" max="7912" width="16" style="56" customWidth="1"/>
    <col min="7913" max="7913" width="27" style="56" customWidth="1"/>
    <col min="7914" max="7914" width="14.6875" style="56" customWidth="1"/>
    <col min="7915" max="7915" width="20.3125" style="56" customWidth="1"/>
    <col min="7916" max="7916" width="18.1875" style="56" customWidth="1"/>
    <col min="7917" max="7917" width="14.375" style="56" customWidth="1"/>
    <col min="7918" max="7918" width="14.125" style="56" customWidth="1"/>
    <col min="7919" max="7919" width="11.3125" style="56" customWidth="1"/>
    <col min="7920" max="8164" width="8.875" style="56"/>
    <col min="8165" max="8165" width="10.6875" style="56" customWidth="1"/>
    <col min="8166" max="8166" width="8.875" style="56"/>
    <col min="8167" max="8167" width="10.875" style="56" customWidth="1"/>
    <col min="8168" max="8168" width="16" style="56" customWidth="1"/>
    <col min="8169" max="8169" width="27" style="56" customWidth="1"/>
    <col min="8170" max="8170" width="14.6875" style="56" customWidth="1"/>
    <col min="8171" max="8171" width="20.3125" style="56" customWidth="1"/>
    <col min="8172" max="8172" width="18.1875" style="56" customWidth="1"/>
    <col min="8173" max="8173" width="14.375" style="56" customWidth="1"/>
    <col min="8174" max="8174" width="14.125" style="56" customWidth="1"/>
    <col min="8175" max="8175" width="11.3125" style="56" customWidth="1"/>
    <col min="8176" max="8420" width="8.875" style="56"/>
    <col min="8421" max="8421" width="10.6875" style="56" customWidth="1"/>
    <col min="8422" max="8422" width="8.875" style="56"/>
    <col min="8423" max="8423" width="10.875" style="56" customWidth="1"/>
    <col min="8424" max="8424" width="16" style="56" customWidth="1"/>
    <col min="8425" max="8425" width="27" style="56" customWidth="1"/>
    <col min="8426" max="8426" width="14.6875" style="56" customWidth="1"/>
    <col min="8427" max="8427" width="20.3125" style="56" customWidth="1"/>
    <col min="8428" max="8428" width="18.1875" style="56" customWidth="1"/>
    <col min="8429" max="8429" width="14.375" style="56" customWidth="1"/>
    <col min="8430" max="8430" width="14.125" style="56" customWidth="1"/>
    <col min="8431" max="8431" width="11.3125" style="56" customWidth="1"/>
    <col min="8432" max="8676" width="8.875" style="56"/>
    <col min="8677" max="8677" width="10.6875" style="56" customWidth="1"/>
    <col min="8678" max="8678" width="8.875" style="56"/>
    <col min="8679" max="8679" width="10.875" style="56" customWidth="1"/>
    <col min="8680" max="8680" width="16" style="56" customWidth="1"/>
    <col min="8681" max="8681" width="27" style="56" customWidth="1"/>
    <col min="8682" max="8682" width="14.6875" style="56" customWidth="1"/>
    <col min="8683" max="8683" width="20.3125" style="56" customWidth="1"/>
    <col min="8684" max="8684" width="18.1875" style="56" customWidth="1"/>
    <col min="8685" max="8685" width="14.375" style="56" customWidth="1"/>
    <col min="8686" max="8686" width="14.125" style="56" customWidth="1"/>
    <col min="8687" max="8687" width="11.3125" style="56" customWidth="1"/>
    <col min="8688" max="8932" width="8.875" style="56"/>
    <col min="8933" max="8933" width="10.6875" style="56" customWidth="1"/>
    <col min="8934" max="8934" width="8.875" style="56"/>
    <col min="8935" max="8935" width="10.875" style="56" customWidth="1"/>
    <col min="8936" max="8936" width="16" style="56" customWidth="1"/>
    <col min="8937" max="8937" width="27" style="56" customWidth="1"/>
    <col min="8938" max="8938" width="14.6875" style="56" customWidth="1"/>
    <col min="8939" max="8939" width="20.3125" style="56" customWidth="1"/>
    <col min="8940" max="8940" width="18.1875" style="56" customWidth="1"/>
    <col min="8941" max="8941" width="14.375" style="56" customWidth="1"/>
    <col min="8942" max="8942" width="14.125" style="56" customWidth="1"/>
    <col min="8943" max="8943" width="11.3125" style="56" customWidth="1"/>
    <col min="8944" max="9188" width="8.875" style="56"/>
    <col min="9189" max="9189" width="10.6875" style="56" customWidth="1"/>
    <col min="9190" max="9190" width="8.875" style="56"/>
    <col min="9191" max="9191" width="10.875" style="56" customWidth="1"/>
    <col min="9192" max="9192" width="16" style="56" customWidth="1"/>
    <col min="9193" max="9193" width="27" style="56" customWidth="1"/>
    <col min="9194" max="9194" width="14.6875" style="56" customWidth="1"/>
    <col min="9195" max="9195" width="20.3125" style="56" customWidth="1"/>
    <col min="9196" max="9196" width="18.1875" style="56" customWidth="1"/>
    <col min="9197" max="9197" width="14.375" style="56" customWidth="1"/>
    <col min="9198" max="9198" width="14.125" style="56" customWidth="1"/>
    <col min="9199" max="9199" width="11.3125" style="56" customWidth="1"/>
    <col min="9200" max="9444" width="8.875" style="56"/>
    <col min="9445" max="9445" width="10.6875" style="56" customWidth="1"/>
    <col min="9446" max="9446" width="8.875" style="56"/>
    <col min="9447" max="9447" width="10.875" style="56" customWidth="1"/>
    <col min="9448" max="9448" width="16" style="56" customWidth="1"/>
    <col min="9449" max="9449" width="27" style="56" customWidth="1"/>
    <col min="9450" max="9450" width="14.6875" style="56" customWidth="1"/>
    <col min="9451" max="9451" width="20.3125" style="56" customWidth="1"/>
    <col min="9452" max="9452" width="18.1875" style="56" customWidth="1"/>
    <col min="9453" max="9453" width="14.375" style="56" customWidth="1"/>
    <col min="9454" max="9454" width="14.125" style="56" customWidth="1"/>
    <col min="9455" max="9455" width="11.3125" style="56" customWidth="1"/>
    <col min="9456" max="9700" width="8.875" style="56"/>
    <col min="9701" max="9701" width="10.6875" style="56" customWidth="1"/>
    <col min="9702" max="9702" width="8.875" style="56"/>
    <col min="9703" max="9703" width="10.875" style="56" customWidth="1"/>
    <col min="9704" max="9704" width="16" style="56" customWidth="1"/>
    <col min="9705" max="9705" width="27" style="56" customWidth="1"/>
    <col min="9706" max="9706" width="14.6875" style="56" customWidth="1"/>
    <col min="9707" max="9707" width="20.3125" style="56" customWidth="1"/>
    <col min="9708" max="9708" width="18.1875" style="56" customWidth="1"/>
    <col min="9709" max="9709" width="14.375" style="56" customWidth="1"/>
    <col min="9710" max="9710" width="14.125" style="56" customWidth="1"/>
    <col min="9711" max="9711" width="11.3125" style="56" customWidth="1"/>
    <col min="9712" max="9956" width="8.875" style="56"/>
    <col min="9957" max="9957" width="10.6875" style="56" customWidth="1"/>
    <col min="9958" max="9958" width="8.875" style="56"/>
    <col min="9959" max="9959" width="10.875" style="56" customWidth="1"/>
    <col min="9960" max="9960" width="16" style="56" customWidth="1"/>
    <col min="9961" max="9961" width="27" style="56" customWidth="1"/>
    <col min="9962" max="9962" width="14.6875" style="56" customWidth="1"/>
    <col min="9963" max="9963" width="20.3125" style="56" customWidth="1"/>
    <col min="9964" max="9964" width="18.1875" style="56" customWidth="1"/>
    <col min="9965" max="9965" width="14.375" style="56" customWidth="1"/>
    <col min="9966" max="9966" width="14.125" style="56" customWidth="1"/>
    <col min="9967" max="9967" width="11.3125" style="56" customWidth="1"/>
    <col min="9968" max="10212" width="8.875" style="56"/>
    <col min="10213" max="10213" width="10.6875" style="56" customWidth="1"/>
    <col min="10214" max="10214" width="8.875" style="56"/>
    <col min="10215" max="10215" width="10.875" style="56" customWidth="1"/>
    <col min="10216" max="10216" width="16" style="56" customWidth="1"/>
    <col min="10217" max="10217" width="27" style="56" customWidth="1"/>
    <col min="10218" max="10218" width="14.6875" style="56" customWidth="1"/>
    <col min="10219" max="10219" width="20.3125" style="56" customWidth="1"/>
    <col min="10220" max="10220" width="18.1875" style="56" customWidth="1"/>
    <col min="10221" max="10221" width="14.375" style="56" customWidth="1"/>
    <col min="10222" max="10222" width="14.125" style="56" customWidth="1"/>
    <col min="10223" max="10223" width="11.3125" style="56" customWidth="1"/>
    <col min="10224" max="10468" width="8.875" style="56"/>
    <col min="10469" max="10469" width="10.6875" style="56" customWidth="1"/>
    <col min="10470" max="10470" width="8.875" style="56"/>
    <col min="10471" max="10471" width="10.875" style="56" customWidth="1"/>
    <col min="10472" max="10472" width="16" style="56" customWidth="1"/>
    <col min="10473" max="10473" width="27" style="56" customWidth="1"/>
    <col min="10474" max="10474" width="14.6875" style="56" customWidth="1"/>
    <col min="10475" max="10475" width="20.3125" style="56" customWidth="1"/>
    <col min="10476" max="10476" width="18.1875" style="56" customWidth="1"/>
    <col min="10477" max="10477" width="14.375" style="56" customWidth="1"/>
    <col min="10478" max="10478" width="14.125" style="56" customWidth="1"/>
    <col min="10479" max="10479" width="11.3125" style="56" customWidth="1"/>
    <col min="10480" max="10724" width="8.875" style="56"/>
    <col min="10725" max="10725" width="10.6875" style="56" customWidth="1"/>
    <col min="10726" max="10726" width="8.875" style="56"/>
    <col min="10727" max="10727" width="10.875" style="56" customWidth="1"/>
    <col min="10728" max="10728" width="16" style="56" customWidth="1"/>
    <col min="10729" max="10729" width="27" style="56" customWidth="1"/>
    <col min="10730" max="10730" width="14.6875" style="56" customWidth="1"/>
    <col min="10731" max="10731" width="20.3125" style="56" customWidth="1"/>
    <col min="10732" max="10732" width="18.1875" style="56" customWidth="1"/>
    <col min="10733" max="10733" width="14.375" style="56" customWidth="1"/>
    <col min="10734" max="10734" width="14.125" style="56" customWidth="1"/>
    <col min="10735" max="10735" width="11.3125" style="56" customWidth="1"/>
    <col min="10736" max="10980" width="8.875" style="56"/>
    <col min="10981" max="10981" width="10.6875" style="56" customWidth="1"/>
    <col min="10982" max="10982" width="8.875" style="56"/>
    <col min="10983" max="10983" width="10.875" style="56" customWidth="1"/>
    <col min="10984" max="10984" width="16" style="56" customWidth="1"/>
    <col min="10985" max="10985" width="27" style="56" customWidth="1"/>
    <col min="10986" max="10986" width="14.6875" style="56" customWidth="1"/>
    <col min="10987" max="10987" width="20.3125" style="56" customWidth="1"/>
    <col min="10988" max="10988" width="18.1875" style="56" customWidth="1"/>
    <col min="10989" max="10989" width="14.375" style="56" customWidth="1"/>
    <col min="10990" max="10990" width="14.125" style="56" customWidth="1"/>
    <col min="10991" max="10991" width="11.3125" style="56" customWidth="1"/>
    <col min="10992" max="11236" width="8.875" style="56"/>
    <col min="11237" max="11237" width="10.6875" style="56" customWidth="1"/>
    <col min="11238" max="11238" width="8.875" style="56"/>
    <col min="11239" max="11239" width="10.875" style="56" customWidth="1"/>
    <col min="11240" max="11240" width="16" style="56" customWidth="1"/>
    <col min="11241" max="11241" width="27" style="56" customWidth="1"/>
    <col min="11242" max="11242" width="14.6875" style="56" customWidth="1"/>
    <col min="11243" max="11243" width="20.3125" style="56" customWidth="1"/>
    <col min="11244" max="11244" width="18.1875" style="56" customWidth="1"/>
    <col min="11245" max="11245" width="14.375" style="56" customWidth="1"/>
    <col min="11246" max="11246" width="14.125" style="56" customWidth="1"/>
    <col min="11247" max="11247" width="11.3125" style="56" customWidth="1"/>
    <col min="11248" max="11492" width="8.875" style="56"/>
    <col min="11493" max="11493" width="10.6875" style="56" customWidth="1"/>
    <col min="11494" max="11494" width="8.875" style="56"/>
    <col min="11495" max="11495" width="10.875" style="56" customWidth="1"/>
    <col min="11496" max="11496" width="16" style="56" customWidth="1"/>
    <col min="11497" max="11497" width="27" style="56" customWidth="1"/>
    <col min="11498" max="11498" width="14.6875" style="56" customWidth="1"/>
    <col min="11499" max="11499" width="20.3125" style="56" customWidth="1"/>
    <col min="11500" max="11500" width="18.1875" style="56" customWidth="1"/>
    <col min="11501" max="11501" width="14.375" style="56" customWidth="1"/>
    <col min="11502" max="11502" width="14.125" style="56" customWidth="1"/>
    <col min="11503" max="11503" width="11.3125" style="56" customWidth="1"/>
    <col min="11504" max="11748" width="8.875" style="56"/>
    <col min="11749" max="11749" width="10.6875" style="56" customWidth="1"/>
    <col min="11750" max="11750" width="8.875" style="56"/>
    <col min="11751" max="11751" width="10.875" style="56" customWidth="1"/>
    <col min="11752" max="11752" width="16" style="56" customWidth="1"/>
    <col min="11753" max="11753" width="27" style="56" customWidth="1"/>
    <col min="11754" max="11754" width="14.6875" style="56" customWidth="1"/>
    <col min="11755" max="11755" width="20.3125" style="56" customWidth="1"/>
    <col min="11756" max="11756" width="18.1875" style="56" customWidth="1"/>
    <col min="11757" max="11757" width="14.375" style="56" customWidth="1"/>
    <col min="11758" max="11758" width="14.125" style="56" customWidth="1"/>
    <col min="11759" max="11759" width="11.3125" style="56" customWidth="1"/>
    <col min="11760" max="12004" width="8.875" style="56"/>
    <col min="12005" max="12005" width="10.6875" style="56" customWidth="1"/>
    <col min="12006" max="12006" width="8.875" style="56"/>
    <col min="12007" max="12007" width="10.875" style="56" customWidth="1"/>
    <col min="12008" max="12008" width="16" style="56" customWidth="1"/>
    <col min="12009" max="12009" width="27" style="56" customWidth="1"/>
    <col min="12010" max="12010" width="14.6875" style="56" customWidth="1"/>
    <col min="12011" max="12011" width="20.3125" style="56" customWidth="1"/>
    <col min="12012" max="12012" width="18.1875" style="56" customWidth="1"/>
    <col min="12013" max="12013" width="14.375" style="56" customWidth="1"/>
    <col min="12014" max="12014" width="14.125" style="56" customWidth="1"/>
    <col min="12015" max="12015" width="11.3125" style="56" customWidth="1"/>
    <col min="12016" max="12260" width="8.875" style="56"/>
    <col min="12261" max="12261" width="10.6875" style="56" customWidth="1"/>
    <col min="12262" max="12262" width="8.875" style="56"/>
    <col min="12263" max="12263" width="10.875" style="56" customWidth="1"/>
    <col min="12264" max="12264" width="16" style="56" customWidth="1"/>
    <col min="12265" max="12265" width="27" style="56" customWidth="1"/>
    <col min="12266" max="12266" width="14.6875" style="56" customWidth="1"/>
    <col min="12267" max="12267" width="20.3125" style="56" customWidth="1"/>
    <col min="12268" max="12268" width="18.1875" style="56" customWidth="1"/>
    <col min="12269" max="12269" width="14.375" style="56" customWidth="1"/>
    <col min="12270" max="12270" width="14.125" style="56" customWidth="1"/>
    <col min="12271" max="12271" width="11.3125" style="56" customWidth="1"/>
    <col min="12272" max="12516" width="8.875" style="56"/>
    <col min="12517" max="12517" width="10.6875" style="56" customWidth="1"/>
    <col min="12518" max="12518" width="8.875" style="56"/>
    <col min="12519" max="12519" width="10.875" style="56" customWidth="1"/>
    <col min="12520" max="12520" width="16" style="56" customWidth="1"/>
    <col min="12521" max="12521" width="27" style="56" customWidth="1"/>
    <col min="12522" max="12522" width="14.6875" style="56" customWidth="1"/>
    <col min="12523" max="12523" width="20.3125" style="56" customWidth="1"/>
    <col min="12524" max="12524" width="18.1875" style="56" customWidth="1"/>
    <col min="12525" max="12525" width="14.375" style="56" customWidth="1"/>
    <col min="12526" max="12526" width="14.125" style="56" customWidth="1"/>
    <col min="12527" max="12527" width="11.3125" style="56" customWidth="1"/>
    <col min="12528" max="12772" width="8.875" style="56"/>
    <col min="12773" max="12773" width="10.6875" style="56" customWidth="1"/>
    <col min="12774" max="12774" width="8.875" style="56"/>
    <col min="12775" max="12775" width="10.875" style="56" customWidth="1"/>
    <col min="12776" max="12776" width="16" style="56" customWidth="1"/>
    <col min="12777" max="12777" width="27" style="56" customWidth="1"/>
    <col min="12778" max="12778" width="14.6875" style="56" customWidth="1"/>
    <col min="12779" max="12779" width="20.3125" style="56" customWidth="1"/>
    <col min="12780" max="12780" width="18.1875" style="56" customWidth="1"/>
    <col min="12781" max="12781" width="14.375" style="56" customWidth="1"/>
    <col min="12782" max="12782" width="14.125" style="56" customWidth="1"/>
    <col min="12783" max="12783" width="11.3125" style="56" customWidth="1"/>
    <col min="12784" max="13028" width="8.875" style="56"/>
    <col min="13029" max="13029" width="10.6875" style="56" customWidth="1"/>
    <col min="13030" max="13030" width="8.875" style="56"/>
    <col min="13031" max="13031" width="10.875" style="56" customWidth="1"/>
    <col min="13032" max="13032" width="16" style="56" customWidth="1"/>
    <col min="13033" max="13033" width="27" style="56" customWidth="1"/>
    <col min="13034" max="13034" width="14.6875" style="56" customWidth="1"/>
    <col min="13035" max="13035" width="20.3125" style="56" customWidth="1"/>
    <col min="13036" max="13036" width="18.1875" style="56" customWidth="1"/>
    <col min="13037" max="13037" width="14.375" style="56" customWidth="1"/>
    <col min="13038" max="13038" width="14.125" style="56" customWidth="1"/>
    <col min="13039" max="13039" width="11.3125" style="56" customWidth="1"/>
    <col min="13040" max="13284" width="8.875" style="56"/>
    <col min="13285" max="13285" width="10.6875" style="56" customWidth="1"/>
    <col min="13286" max="13286" width="8.875" style="56"/>
    <col min="13287" max="13287" width="10.875" style="56" customWidth="1"/>
    <col min="13288" max="13288" width="16" style="56" customWidth="1"/>
    <col min="13289" max="13289" width="27" style="56" customWidth="1"/>
    <col min="13290" max="13290" width="14.6875" style="56" customWidth="1"/>
    <col min="13291" max="13291" width="20.3125" style="56" customWidth="1"/>
    <col min="13292" max="13292" width="18.1875" style="56" customWidth="1"/>
    <col min="13293" max="13293" width="14.375" style="56" customWidth="1"/>
    <col min="13294" max="13294" width="14.125" style="56" customWidth="1"/>
    <col min="13295" max="13295" width="11.3125" style="56" customWidth="1"/>
    <col min="13296" max="13540" width="8.875" style="56"/>
    <col min="13541" max="13541" width="10.6875" style="56" customWidth="1"/>
    <col min="13542" max="13542" width="8.875" style="56"/>
    <col min="13543" max="13543" width="10.875" style="56" customWidth="1"/>
    <col min="13544" max="13544" width="16" style="56" customWidth="1"/>
    <col min="13545" max="13545" width="27" style="56" customWidth="1"/>
    <col min="13546" max="13546" width="14.6875" style="56" customWidth="1"/>
    <col min="13547" max="13547" width="20.3125" style="56" customWidth="1"/>
    <col min="13548" max="13548" width="18.1875" style="56" customWidth="1"/>
    <col min="13549" max="13549" width="14.375" style="56" customWidth="1"/>
    <col min="13550" max="13550" width="14.125" style="56" customWidth="1"/>
    <col min="13551" max="13551" width="11.3125" style="56" customWidth="1"/>
    <col min="13552" max="13796" width="8.875" style="56"/>
    <col min="13797" max="13797" width="10.6875" style="56" customWidth="1"/>
    <col min="13798" max="13798" width="8.875" style="56"/>
    <col min="13799" max="13799" width="10.875" style="56" customWidth="1"/>
    <col min="13800" max="13800" width="16" style="56" customWidth="1"/>
    <col min="13801" max="13801" width="27" style="56" customWidth="1"/>
    <col min="13802" max="13802" width="14.6875" style="56" customWidth="1"/>
    <col min="13803" max="13803" width="20.3125" style="56" customWidth="1"/>
    <col min="13804" max="13804" width="18.1875" style="56" customWidth="1"/>
    <col min="13805" max="13805" width="14.375" style="56" customWidth="1"/>
    <col min="13806" max="13806" width="14.125" style="56" customWidth="1"/>
    <col min="13807" max="13807" width="11.3125" style="56" customWidth="1"/>
    <col min="13808" max="14052" width="8.875" style="56"/>
    <col min="14053" max="14053" width="10.6875" style="56" customWidth="1"/>
    <col min="14054" max="14054" width="8.875" style="56"/>
    <col min="14055" max="14055" width="10.875" style="56" customWidth="1"/>
    <col min="14056" max="14056" width="16" style="56" customWidth="1"/>
    <col min="14057" max="14057" width="27" style="56" customWidth="1"/>
    <col min="14058" max="14058" width="14.6875" style="56" customWidth="1"/>
    <col min="14059" max="14059" width="20.3125" style="56" customWidth="1"/>
    <col min="14060" max="14060" width="18.1875" style="56" customWidth="1"/>
    <col min="14061" max="14061" width="14.375" style="56" customWidth="1"/>
    <col min="14062" max="14062" width="14.125" style="56" customWidth="1"/>
    <col min="14063" max="14063" width="11.3125" style="56" customWidth="1"/>
    <col min="14064" max="14308" width="8.875" style="56"/>
    <col min="14309" max="14309" width="10.6875" style="56" customWidth="1"/>
    <col min="14310" max="14310" width="8.875" style="56"/>
    <col min="14311" max="14311" width="10.875" style="56" customWidth="1"/>
    <col min="14312" max="14312" width="16" style="56" customWidth="1"/>
    <col min="14313" max="14313" width="27" style="56" customWidth="1"/>
    <col min="14314" max="14314" width="14.6875" style="56" customWidth="1"/>
    <col min="14315" max="14315" width="20.3125" style="56" customWidth="1"/>
    <col min="14316" max="14316" width="18.1875" style="56" customWidth="1"/>
    <col min="14317" max="14317" width="14.375" style="56" customWidth="1"/>
    <col min="14318" max="14318" width="14.125" style="56" customWidth="1"/>
    <col min="14319" max="14319" width="11.3125" style="56" customWidth="1"/>
    <col min="14320" max="14564" width="8.875" style="56"/>
    <col min="14565" max="14565" width="10.6875" style="56" customWidth="1"/>
    <col min="14566" max="14566" width="8.875" style="56"/>
    <col min="14567" max="14567" width="10.875" style="56" customWidth="1"/>
    <col min="14568" max="14568" width="16" style="56" customWidth="1"/>
    <col min="14569" max="14569" width="27" style="56" customWidth="1"/>
    <col min="14570" max="14570" width="14.6875" style="56" customWidth="1"/>
    <col min="14571" max="14571" width="20.3125" style="56" customWidth="1"/>
    <col min="14572" max="14572" width="18.1875" style="56" customWidth="1"/>
    <col min="14573" max="14573" width="14.375" style="56" customWidth="1"/>
    <col min="14574" max="14574" width="14.125" style="56" customWidth="1"/>
    <col min="14575" max="14575" width="11.3125" style="56" customWidth="1"/>
    <col min="14576" max="14820" width="8.875" style="56"/>
    <col min="14821" max="14821" width="10.6875" style="56" customWidth="1"/>
    <col min="14822" max="14822" width="8.875" style="56"/>
    <col min="14823" max="14823" width="10.875" style="56" customWidth="1"/>
    <col min="14824" max="14824" width="16" style="56" customWidth="1"/>
    <col min="14825" max="14825" width="27" style="56" customWidth="1"/>
    <col min="14826" max="14826" width="14.6875" style="56" customWidth="1"/>
    <col min="14827" max="14827" width="20.3125" style="56" customWidth="1"/>
    <col min="14828" max="14828" width="18.1875" style="56" customWidth="1"/>
    <col min="14829" max="14829" width="14.375" style="56" customWidth="1"/>
    <col min="14830" max="14830" width="14.125" style="56" customWidth="1"/>
    <col min="14831" max="14831" width="11.3125" style="56" customWidth="1"/>
    <col min="14832" max="15076" width="8.875" style="56"/>
    <col min="15077" max="15077" width="10.6875" style="56" customWidth="1"/>
    <col min="15078" max="15078" width="8.875" style="56"/>
    <col min="15079" max="15079" width="10.875" style="56" customWidth="1"/>
    <col min="15080" max="15080" width="16" style="56" customWidth="1"/>
    <col min="15081" max="15081" width="27" style="56" customWidth="1"/>
    <col min="15082" max="15082" width="14.6875" style="56" customWidth="1"/>
    <col min="15083" max="15083" width="20.3125" style="56" customWidth="1"/>
    <col min="15084" max="15084" width="18.1875" style="56" customWidth="1"/>
    <col min="15085" max="15085" width="14.375" style="56" customWidth="1"/>
    <col min="15086" max="15086" width="14.125" style="56" customWidth="1"/>
    <col min="15087" max="15087" width="11.3125" style="56" customWidth="1"/>
    <col min="15088" max="15332" width="8.875" style="56"/>
    <col min="15333" max="15333" width="10.6875" style="56" customWidth="1"/>
    <col min="15334" max="15334" width="8.875" style="56"/>
    <col min="15335" max="15335" width="10.875" style="56" customWidth="1"/>
    <col min="15336" max="15336" width="16" style="56" customWidth="1"/>
    <col min="15337" max="15337" width="27" style="56" customWidth="1"/>
    <col min="15338" max="15338" width="14.6875" style="56" customWidth="1"/>
    <col min="15339" max="15339" width="20.3125" style="56" customWidth="1"/>
    <col min="15340" max="15340" width="18.1875" style="56" customWidth="1"/>
    <col min="15341" max="15341" width="14.375" style="56" customWidth="1"/>
    <col min="15342" max="15342" width="14.125" style="56" customWidth="1"/>
    <col min="15343" max="15343" width="11.3125" style="56" customWidth="1"/>
    <col min="15344" max="15588" width="8.875" style="56"/>
    <col min="15589" max="15589" width="10.6875" style="56" customWidth="1"/>
    <col min="15590" max="15590" width="8.875" style="56"/>
    <col min="15591" max="15591" width="10.875" style="56" customWidth="1"/>
    <col min="15592" max="15592" width="16" style="56" customWidth="1"/>
    <col min="15593" max="15593" width="27" style="56" customWidth="1"/>
    <col min="15594" max="15594" width="14.6875" style="56" customWidth="1"/>
    <col min="15595" max="15595" width="20.3125" style="56" customWidth="1"/>
    <col min="15596" max="15596" width="18.1875" style="56" customWidth="1"/>
    <col min="15597" max="15597" width="14.375" style="56" customWidth="1"/>
    <col min="15598" max="15598" width="14.125" style="56" customWidth="1"/>
    <col min="15599" max="15599" width="11.3125" style="56" customWidth="1"/>
    <col min="15600" max="15844" width="8.875" style="56"/>
    <col min="15845" max="15845" width="10.6875" style="56" customWidth="1"/>
    <col min="15846" max="15846" width="8.875" style="56"/>
    <col min="15847" max="15847" width="10.875" style="56" customWidth="1"/>
    <col min="15848" max="15848" width="16" style="56" customWidth="1"/>
    <col min="15849" max="15849" width="27" style="56" customWidth="1"/>
    <col min="15850" max="15850" width="14.6875" style="56" customWidth="1"/>
    <col min="15851" max="15851" width="20.3125" style="56" customWidth="1"/>
    <col min="15852" max="15852" width="18.1875" style="56" customWidth="1"/>
    <col min="15853" max="15853" width="14.375" style="56" customWidth="1"/>
    <col min="15854" max="15854" width="14.125" style="56" customWidth="1"/>
    <col min="15855" max="15855" width="11.3125" style="56" customWidth="1"/>
    <col min="15856" max="16100" width="8.875" style="56"/>
    <col min="16101" max="16101" width="10.6875" style="56" customWidth="1"/>
    <col min="16102" max="16102" width="8.875" style="56"/>
    <col min="16103" max="16103" width="10.875" style="56" customWidth="1"/>
    <col min="16104" max="16104" width="16" style="56" customWidth="1"/>
    <col min="16105" max="16105" width="27" style="56" customWidth="1"/>
    <col min="16106" max="16106" width="14.6875" style="56" customWidth="1"/>
    <col min="16107" max="16107" width="20.3125" style="56" customWidth="1"/>
    <col min="16108" max="16108" width="18.1875" style="56" customWidth="1"/>
    <col min="16109" max="16109" width="14.375" style="56" customWidth="1"/>
    <col min="16110" max="16110" width="14.125" style="56" customWidth="1"/>
    <col min="16111" max="16111" width="11.3125" style="56" customWidth="1"/>
    <col min="16112" max="16358" width="8.875" style="56"/>
    <col min="16359" max="16361" width="9" style="56" customWidth="1"/>
    <col min="16362" max="16384" width="9" style="56"/>
  </cols>
  <sheetData>
    <row r="1" spans="1:12" ht="38.450000000000003" customHeight="1" thickBot="1" x14ac:dyDescent="0.65">
      <c r="A1" s="154" t="s">
        <v>398</v>
      </c>
      <c r="B1" s="154"/>
      <c r="C1" s="154"/>
      <c r="D1" s="154"/>
      <c r="E1" s="154"/>
      <c r="F1" s="154"/>
    </row>
    <row r="2" spans="1:12" ht="30" customHeight="1" thickTop="1" x14ac:dyDescent="0.6">
      <c r="A2" s="207" t="s">
        <v>55</v>
      </c>
      <c r="B2" s="226" t="s">
        <v>56</v>
      </c>
      <c r="C2" s="226" t="s">
        <v>57</v>
      </c>
      <c r="D2" s="227" t="s">
        <v>78</v>
      </c>
      <c r="E2" s="227" t="s">
        <v>79</v>
      </c>
      <c r="F2" s="226" t="s">
        <v>80</v>
      </c>
    </row>
    <row r="3" spans="1:12" ht="28.5" customHeight="1" x14ac:dyDescent="0.6">
      <c r="A3" s="208">
        <f>ROW()-2</f>
        <v>1</v>
      </c>
      <c r="B3" s="209" t="str">
        <f>VLOOKUP(A3,임금대장!$A$3:$B$135,2,0)</f>
        <v>박은규</v>
      </c>
      <c r="C3" s="209" t="str">
        <f>VLOOKUP(B3,'정직원 (2)'!$C$3:$F$77,4,0)</f>
        <v>870923-1243215</v>
      </c>
      <c r="D3" s="209" t="str">
        <f>VLOOKUP(B3,'정직원 (2)'!$C$4:$H$77,5,0)</f>
        <v>하나은행</v>
      </c>
      <c r="E3" s="209" t="str">
        <f>VLOOKUP(B3,'정직원 (2)'!$C$4:$H$77,6,0)</f>
        <v>369-910552-11407</v>
      </c>
      <c r="F3" s="210">
        <f>VLOOKUP(B3,임금대장!$B$3:$AH$86,33,0)</f>
        <v>3796784.8387096776</v>
      </c>
    </row>
    <row r="4" spans="1:12" ht="28.5" customHeight="1" x14ac:dyDescent="0.6">
      <c r="A4" s="208">
        <f t="shared" ref="A4:A41" si="0">ROW()-2</f>
        <v>2</v>
      </c>
      <c r="B4" s="209" t="str">
        <f>VLOOKUP(A4,임금대장!$A$3:$B$135,2,0)</f>
        <v>piao jing</v>
      </c>
      <c r="C4" s="209" t="str">
        <f>VLOOKUP(B4,'정직원 (2)'!$C$3:$F$77,4,0)</f>
        <v>830729-6100013</v>
      </c>
      <c r="D4" s="209">
        <f>VLOOKUP(B4,'정직원 (2)'!$C$4:$H$77,5,0)</f>
        <v>0</v>
      </c>
      <c r="E4" s="209">
        <f>VLOOKUP(B4,'정직원 (2)'!$C$4:$H$77,6,0)</f>
        <v>0</v>
      </c>
      <c r="F4" s="210">
        <f>VLOOKUP(B4,임금대장!$B$3:$AH$86,33,0)</f>
        <v>3167313.5483870967</v>
      </c>
    </row>
    <row r="5" spans="1:12" ht="28.5" customHeight="1" x14ac:dyDescent="0.6">
      <c r="A5" s="208">
        <f t="shared" si="0"/>
        <v>3</v>
      </c>
      <c r="B5" s="209" t="str">
        <f>VLOOKUP(A5,임금대장!$A$6:$B$135,2,0)</f>
        <v>박옥순</v>
      </c>
      <c r="C5" s="209" t="str">
        <f>VLOOKUP(B5,'정직원 (2)'!$C$3:$F$77,4,0)</f>
        <v>630526-2252859</v>
      </c>
      <c r="D5" s="209" t="str">
        <f>VLOOKUP(B5,'정직원 (2)'!$C$4:$H$77,5,0)</f>
        <v>새마을금고</v>
      </c>
      <c r="E5" s="209" t="str">
        <f>VLOOKUP(B5,'정직원 (2)'!$C$4:$H$77,6,0)</f>
        <v>9002-1731-3280-5</v>
      </c>
      <c r="F5" s="210">
        <f>VLOOKUP(B5,임금대장!$B$3:$AH$86,33,0)</f>
        <v>3070955.8064516131</v>
      </c>
    </row>
    <row r="6" spans="1:12" ht="28.5" customHeight="1" x14ac:dyDescent="0.6">
      <c r="A6" s="208">
        <f t="shared" si="0"/>
        <v>4</v>
      </c>
      <c r="B6" s="209" t="str">
        <f>VLOOKUP(A6,임금대장!$A$6:$B$135,2,0)</f>
        <v>김성환</v>
      </c>
      <c r="C6" s="209" t="str">
        <f>VLOOKUP(B6,'정직원 (2)'!$C$3:$F$77,4,0)</f>
        <v>970504-1019024</v>
      </c>
      <c r="D6" s="209" t="str">
        <f>VLOOKUP(B6,'정직원 (2)'!$C$4:$H$77,5,0)</f>
        <v>농협</v>
      </c>
      <c r="E6" s="209" t="str">
        <f>VLOOKUP(B6,'정직원 (2)'!$C$4:$H$77,6,0)</f>
        <v>356-0297-9622-53</v>
      </c>
      <c r="F6" s="210">
        <f>VLOOKUP(B6,임금대장!$B$3:$AH$86,33,0)</f>
        <v>3244128.064516129</v>
      </c>
      <c r="L6" s="56">
        <f>VLOOKUP(B6,'정직원 (2)'!C4:O30,13,0)</f>
        <v>0</v>
      </c>
    </row>
    <row r="7" spans="1:12" ht="28.5" customHeight="1" x14ac:dyDescent="0.6">
      <c r="A7" s="208">
        <f t="shared" si="0"/>
        <v>5</v>
      </c>
      <c r="B7" s="209" t="str">
        <f>VLOOKUP(A7,임금대장!$A$6:$B$135,2,0)</f>
        <v>강수정</v>
      </c>
      <c r="C7" s="209" t="str">
        <f>VLOOKUP(B7,'정직원 (2)'!$C$3:$F$77,4,0)</f>
        <v>970726-2155815</v>
      </c>
      <c r="D7" s="209">
        <f>VLOOKUP(B7,'정직원 (2)'!$C$4:$H$77,5,0)</f>
        <v>0</v>
      </c>
      <c r="E7" s="209">
        <f>VLOOKUP(B7,'정직원 (2)'!$C$4:$H$77,6,0)</f>
        <v>0</v>
      </c>
      <c r="F7" s="210">
        <f>VLOOKUP(B7,임금대장!$B$3:$AH$86,33,0)</f>
        <v>3173444.8387096776</v>
      </c>
    </row>
    <row r="8" spans="1:12" ht="28.5" customHeight="1" x14ac:dyDescent="0.6">
      <c r="A8" s="208">
        <f t="shared" si="0"/>
        <v>6</v>
      </c>
      <c r="B8" s="209" t="str">
        <f>VLOOKUP(A8,임금대장!$A$6:$B$135,2,0)</f>
        <v>장준수</v>
      </c>
      <c r="C8" s="209" t="str">
        <f>VLOOKUP(B8,'정직원 (2)'!$C$3:$F$77,4,0)</f>
        <v>890417-1709714</v>
      </c>
      <c r="D8" s="209">
        <f>VLOOKUP(B8,'정직원 (2)'!$C$4:$H$77,5,0)</f>
        <v>0</v>
      </c>
      <c r="E8" s="209">
        <f>VLOOKUP(B8,'정직원 (2)'!$C$4:$H$77,6,0)</f>
        <v>0</v>
      </c>
      <c r="F8" s="210">
        <f>VLOOKUP(B8,임금대장!$B$3:$AH$86,33,0)</f>
        <v>3165124.8387096776</v>
      </c>
      <c r="H8" s="238"/>
    </row>
    <row r="9" spans="1:12" ht="28.5" customHeight="1" x14ac:dyDescent="0.6">
      <c r="A9" s="208">
        <f t="shared" si="0"/>
        <v>7</v>
      </c>
      <c r="B9" s="209" t="str">
        <f>VLOOKUP(A9,임금대장!$A$6:$B$135,2,0)</f>
        <v>강정애</v>
      </c>
      <c r="C9" s="209" t="str">
        <f>VLOOKUP(B9,'정직원 (2)'!$C$3:$F$77,4,0)</f>
        <v>621005-6100899</v>
      </c>
      <c r="D9" s="209" t="str">
        <f>VLOOKUP(B9,'정직원 (2)'!$C$4:$H$77,5,0)</f>
        <v>신한</v>
      </c>
      <c r="E9" s="209" t="str">
        <f>VLOOKUP(B9,'정직원 (2)'!$C$4:$H$77,6,0)</f>
        <v>110-253-242081</v>
      </c>
      <c r="F9" s="210">
        <f>VLOOKUP(B9,임금대장!$B$3:$AH$86,33,0)</f>
        <v>3070955.8064516131</v>
      </c>
    </row>
    <row r="10" spans="1:12" ht="28.5" customHeight="1" x14ac:dyDescent="0.6">
      <c r="A10" s="208">
        <f t="shared" si="0"/>
        <v>8</v>
      </c>
      <c r="B10" s="209" t="str">
        <f>VLOOKUP(A10,임금대장!$A$6:$B$135,2,0)</f>
        <v>김금희</v>
      </c>
      <c r="C10" s="209" t="str">
        <f>VLOOKUP(B10,'정직원 (2)'!$C$3:$F$77,4,0)</f>
        <v>700318-2018314</v>
      </c>
      <c r="D10" s="209">
        <f>VLOOKUP(B10,'정직원 (2)'!$C$4:$H$77,5,0)</f>
        <v>0</v>
      </c>
      <c r="E10" s="209">
        <f>VLOOKUP(B10,'정직원 (2)'!$C$4:$H$77,6,0)</f>
        <v>0</v>
      </c>
      <c r="F10" s="210">
        <f>VLOOKUP(B10,임금대장!$B$3:$AH$86,33,0)</f>
        <v>2075946.7741935486</v>
      </c>
    </row>
    <row r="11" spans="1:12" ht="28.5" customHeight="1" x14ac:dyDescent="0.6">
      <c r="A11" s="208">
        <f t="shared" si="0"/>
        <v>9</v>
      </c>
      <c r="B11" s="209" t="str">
        <f>VLOOKUP(A11,임금대장!$A$6:$B$135,2,0)</f>
        <v>서헌규</v>
      </c>
      <c r="C11" s="209" t="str">
        <f>VLOOKUP(B11,'정직원 (2)'!$C$3:$F$77,4,0)</f>
        <v>921204-1748215</v>
      </c>
      <c r="D11" s="209">
        <f>VLOOKUP(B11,'정직원 (2)'!$C$4:$H$77,5,0)</f>
        <v>0</v>
      </c>
      <c r="E11" s="209">
        <f>VLOOKUP(B11,'정직원 (2)'!$C$4:$H$77,6,0)</f>
        <v>0</v>
      </c>
      <c r="F11" s="210">
        <f>VLOOKUP(B11,임금대장!$B$3:$AH$86,33,0)</f>
        <v>3082126.1290322579</v>
      </c>
    </row>
    <row r="12" spans="1:12" ht="28.5" customHeight="1" x14ac:dyDescent="0.6">
      <c r="A12" s="208">
        <f t="shared" si="0"/>
        <v>10</v>
      </c>
      <c r="B12" s="209" t="str">
        <f>VLOOKUP(A12,임금대장!$A$6:$B$135,2,0)</f>
        <v>김선월</v>
      </c>
      <c r="C12" s="209" t="str">
        <f>VLOOKUP(B12,'정직원 (2)'!$C$3:$F$77,4,0)</f>
        <v>631004-6320198</v>
      </c>
      <c r="D12" s="209">
        <f>VLOOKUP(B12,'정직원 (2)'!$C$4:$H$77,5,0)</f>
        <v>0</v>
      </c>
      <c r="E12" s="209">
        <f>VLOOKUP(B12,'정직원 (2)'!$C$4:$H$77,6,0)</f>
        <v>0</v>
      </c>
      <c r="F12" s="210">
        <f>VLOOKUP(B12,임금대장!$B$3:$AH$86,33,0)</f>
        <v>3101125.8064516131</v>
      </c>
    </row>
    <row r="13" spans="1:12" ht="28.5" customHeight="1" x14ac:dyDescent="0.6">
      <c r="A13" s="208">
        <f t="shared" si="0"/>
        <v>11</v>
      </c>
      <c r="B13" s="209" t="str">
        <f>VLOOKUP(A13,임금대장!$A$6:$B$135,2,0)</f>
        <v>유용복</v>
      </c>
      <c r="C13" s="209" t="str">
        <f>VLOOKUP(B13,'정직원 (2)'!$C$3:$F$77,4,0)</f>
        <v>880621-1065632</v>
      </c>
      <c r="D13" s="209">
        <f>VLOOKUP(B13,'정직원 (2)'!$C$4:$H$77,5,0)</f>
        <v>0</v>
      </c>
      <c r="E13" s="209">
        <f>VLOOKUP(B13,'정직원 (2)'!$C$4:$H$77,6,0)</f>
        <v>0</v>
      </c>
      <c r="F13" s="210">
        <f>VLOOKUP(B13,임금대장!$B$3:$AH$86,33,0)</f>
        <v>3068558.7096774192</v>
      </c>
    </row>
    <row r="14" spans="1:12" ht="28.5" customHeight="1" x14ac:dyDescent="0.6">
      <c r="A14" s="208">
        <f t="shared" si="0"/>
        <v>12</v>
      </c>
      <c r="B14" s="209" t="str">
        <f>VLOOKUP(A14,임금대장!$A$6:$B$135,2,0)</f>
        <v>안동화</v>
      </c>
      <c r="C14" s="209" t="str">
        <f>VLOOKUP(B14,'정직원 (2)'!$C$3:$F$77,4,0)</f>
        <v>700928-6101893</v>
      </c>
      <c r="D14" s="209" t="str">
        <f>VLOOKUP(B14,'정직원 (2)'!$C$4:$H$77,5,0)</f>
        <v>우리</v>
      </c>
      <c r="E14" s="209" t="str">
        <f>VLOOKUP(B14,'정직원 (2)'!$C$4:$H$77,6,0)</f>
        <v>1002-946-342922</v>
      </c>
      <c r="F14" s="210">
        <f>VLOOKUP(B14,임금대장!$B$3:$AH$86,33,0)</f>
        <v>3068558.7096774192</v>
      </c>
    </row>
    <row r="15" spans="1:12" ht="28.5" customHeight="1" x14ac:dyDescent="0.6">
      <c r="A15" s="208">
        <f t="shared" si="0"/>
        <v>13</v>
      </c>
      <c r="B15" s="209" t="str">
        <f>VLOOKUP(A15,임금대장!$A$6:$B$135,2,0)</f>
        <v>최장현</v>
      </c>
      <c r="C15" s="209" t="str">
        <f>VLOOKUP(B15,'정직원 (2)'!$C$3:$F$77,4,0)</f>
        <v>930114-1064818</v>
      </c>
      <c r="D15" s="209">
        <f>VLOOKUP(B15,'정직원 (2)'!$C$4:$H$77,5,0)</f>
        <v>0</v>
      </c>
      <c r="E15" s="209">
        <f>VLOOKUP(B15,'정직원 (2)'!$C$4:$H$77,6,0)</f>
        <v>0</v>
      </c>
      <c r="F15" s="210">
        <f>VLOOKUP(B15,임금대장!$B$3:$AH$86,33,0)</f>
        <v>3490810.9677419355</v>
      </c>
    </row>
    <row r="16" spans="1:12" ht="28.5" customHeight="1" x14ac:dyDescent="0.6">
      <c r="A16" s="208">
        <f t="shared" si="0"/>
        <v>14</v>
      </c>
      <c r="B16" s="209" t="str">
        <f>VLOOKUP(A16,임금대장!$A$6:$B$135,2,0)</f>
        <v>이준수</v>
      </c>
      <c r="C16" s="209" t="str">
        <f>VLOOKUP(B16,'정직원 (2)'!$C$3:$F$77,4,0)</f>
        <v>991231-1152511</v>
      </c>
      <c r="D16" s="209">
        <f>VLOOKUP(B16,'정직원 (2)'!$C$4:$H$77,5,0)</f>
        <v>0</v>
      </c>
      <c r="E16" s="209">
        <f>VLOOKUP(B16,'정직원 (2)'!$C$4:$H$77,6,0)</f>
        <v>0</v>
      </c>
      <c r="F16" s="210">
        <f>VLOOKUP(B16,임금대장!$B$3:$AH$86,33,0)</f>
        <v>3242834.8387096776</v>
      </c>
    </row>
    <row r="17" spans="1:6" ht="28.5" customHeight="1" x14ac:dyDescent="0.6">
      <c r="A17" s="208">
        <f t="shared" si="0"/>
        <v>15</v>
      </c>
      <c r="B17" s="209" t="str">
        <f>VLOOKUP(A17,임금대장!$A$6:$B$135,2,0)</f>
        <v>이부순</v>
      </c>
      <c r="C17" s="209" t="str">
        <f>VLOOKUP(B17,'정직원 (2)'!$C$3:$F$77,4,0)</f>
        <v>690917-2451117</v>
      </c>
      <c r="D17" s="209">
        <f>VLOOKUP(B17,'정직원 (2)'!$C$4:$H$77,5,0)</f>
        <v>0</v>
      </c>
      <c r="E17" s="209">
        <f>VLOOKUP(B17,'정직원 (2)'!$C$4:$H$77,6,0)</f>
        <v>0</v>
      </c>
      <c r="F17" s="210">
        <f>VLOOKUP(B17,임금대장!$B$3:$AH$86,33,0)</f>
        <v>2985455.8064516131</v>
      </c>
    </row>
    <row r="18" spans="1:6" ht="28.5" customHeight="1" x14ac:dyDescent="0.6">
      <c r="A18" s="208">
        <f t="shared" si="0"/>
        <v>16</v>
      </c>
      <c r="B18" s="209" t="str">
        <f>VLOOKUP(A18,임금대장!$A$6:$B$135,2,0)</f>
        <v>김예찬</v>
      </c>
      <c r="C18" s="209" t="str">
        <f>VLOOKUP(B18,'정직원 (2)'!$C$3:$F$77,4,0)</f>
        <v>980825-1156317</v>
      </c>
      <c r="D18" s="209">
        <f>VLOOKUP(B18,'정직원 (2)'!$C$4:$H$77,5,0)</f>
        <v>0</v>
      </c>
      <c r="E18" s="209">
        <f>VLOOKUP(B18,'정직원 (2)'!$C$4:$H$77,6,0)</f>
        <v>0</v>
      </c>
      <c r="F18" s="210">
        <f>VLOOKUP(B18,임금대장!$B$3:$AH$86,33,0)</f>
        <v>3156646.1290322579</v>
      </c>
    </row>
    <row r="19" spans="1:6" ht="28.5" customHeight="1" x14ac:dyDescent="0.6">
      <c r="A19" s="208">
        <f t="shared" si="0"/>
        <v>17</v>
      </c>
      <c r="B19" s="209" t="str">
        <f>VLOOKUP(A19,임금대장!$A$6:$B$135,2,0)</f>
        <v>조윤희</v>
      </c>
      <c r="C19" s="209" t="str">
        <f>VLOOKUP(B19,'정직원 (2)'!$C$3:$F$77,4,0)</f>
        <v>890428-2150912</v>
      </c>
      <c r="D19" s="209">
        <f>VLOOKUP(B19,'정직원 (2)'!$C$4:$H$77,5,0)</f>
        <v>0</v>
      </c>
      <c r="E19" s="209">
        <f>VLOOKUP(B19,'정직원 (2)'!$C$4:$H$77,6,0)</f>
        <v>0</v>
      </c>
      <c r="F19" s="210">
        <f>VLOOKUP(B19,임금대장!$B$3:$AH$86,33,0)</f>
        <v>3000000</v>
      </c>
    </row>
    <row r="20" spans="1:6" ht="28.5" customHeight="1" x14ac:dyDescent="0.6">
      <c r="A20" s="208">
        <f t="shared" si="0"/>
        <v>18</v>
      </c>
      <c r="B20" s="209" t="str">
        <f>VLOOKUP(A20,임금대장!$A$6:$B$135,2,0)</f>
        <v>나지훈</v>
      </c>
      <c r="C20" s="209" t="str">
        <f>VLOOKUP(B20,'정직원 (2)'!$C$3:$F$77,4,0)</f>
        <v>960115-1020619</v>
      </c>
      <c r="D20" s="209">
        <f>VLOOKUP(B20,'정직원 (2)'!$C$4:$H$77,5,0)</f>
        <v>0</v>
      </c>
      <c r="E20" s="209">
        <f>VLOOKUP(B20,'정직원 (2)'!$C$4:$H$77,6,0)</f>
        <v>0</v>
      </c>
      <c r="F20" s="210">
        <f>VLOOKUP(B20,임금대장!$B$3:$AH$86,33,0)</f>
        <v>3245910.6451612902</v>
      </c>
    </row>
    <row r="21" spans="1:6" ht="28.5" customHeight="1" x14ac:dyDescent="0.6">
      <c r="A21" s="208">
        <f t="shared" si="0"/>
        <v>19</v>
      </c>
      <c r="B21" s="209" t="str">
        <f>VLOOKUP(A21,임금대장!$A$6:$B$135,2,0)</f>
        <v>박기호</v>
      </c>
      <c r="C21" s="209" t="str">
        <f>VLOOKUP(B21,'정직원 (2)'!$C$3:$F$77,4,0)</f>
        <v>010620-3156714</v>
      </c>
      <c r="D21" s="209">
        <f>VLOOKUP(B21,'정직원 (2)'!$C$4:$H$77,5,0)</f>
        <v>0</v>
      </c>
      <c r="E21" s="209">
        <f>VLOOKUP(B21,'정직원 (2)'!$C$4:$H$77,6,0)</f>
        <v>0</v>
      </c>
      <c r="F21" s="210">
        <f>VLOOKUP(B21,임금대장!$B$3:$AH$86,33,0)</f>
        <v>3068558.7096774192</v>
      </c>
    </row>
    <row r="22" spans="1:6" ht="28.5" customHeight="1" x14ac:dyDescent="0.6">
      <c r="A22" s="208">
        <f t="shared" si="0"/>
        <v>20</v>
      </c>
      <c r="B22" s="209" t="str">
        <f>VLOOKUP(A22,임금대장!$A$6:$B$135,2,0)</f>
        <v>황지현</v>
      </c>
      <c r="C22" s="209" t="str">
        <f>VLOOKUP(B22,'정직원 (2)'!$C$3:$F$77,4,0)</f>
        <v>830909-1247317</v>
      </c>
      <c r="D22" s="209">
        <f>VLOOKUP(B22,'정직원 (2)'!$C$4:$H$77,5,0)</f>
        <v>0</v>
      </c>
      <c r="E22" s="209">
        <f>VLOOKUP(B22,'정직원 (2)'!$C$4:$H$77,6,0)</f>
        <v>0</v>
      </c>
      <c r="F22" s="210">
        <f>VLOOKUP(B22,임금대장!$B$3:$AH$86,33,0)</f>
        <v>4130303.8709677421</v>
      </c>
    </row>
    <row r="23" spans="1:6" ht="28.5" customHeight="1" x14ac:dyDescent="0.6">
      <c r="A23" s="208">
        <f t="shared" si="0"/>
        <v>21</v>
      </c>
      <c r="B23" s="209" t="str">
        <f>VLOOKUP(A23,임금대장!$A$6:$B$135,2,0)</f>
        <v>허옥자</v>
      </c>
      <c r="C23" s="209" t="str">
        <f>VLOOKUP(B23,'정직원 (2)'!$C$3:$F$77,4,0)</f>
        <v>691020-6760016</v>
      </c>
      <c r="D23" s="209">
        <f>VLOOKUP(B23,'정직원 (2)'!$C$4:$H$77,5,0)</f>
        <v>0</v>
      </c>
      <c r="E23" s="209">
        <f>VLOOKUP(B23,'정직원 (2)'!$C$4:$H$77,6,0)</f>
        <v>0</v>
      </c>
      <c r="F23" s="210">
        <f>VLOOKUP(B23,임금대장!$B$3:$AH$86,33,0)</f>
        <v>2985455.8064516131</v>
      </c>
    </row>
    <row r="24" spans="1:6" ht="28.5" customHeight="1" x14ac:dyDescent="0.6">
      <c r="A24" s="208">
        <f t="shared" si="0"/>
        <v>22</v>
      </c>
      <c r="B24" s="209" t="str">
        <f>VLOOKUP(A24,임금대장!$A$6:$B$135,2,0)</f>
        <v>이금향</v>
      </c>
      <c r="C24" s="209" t="str">
        <f>VLOOKUP(B24,'정직원 (2)'!$C$3:$F$77,4,0)</f>
        <v>660414-6101593</v>
      </c>
      <c r="D24" s="209">
        <f>VLOOKUP(B24,'정직원 (2)'!$C$4:$H$77,5,0)</f>
        <v>0</v>
      </c>
      <c r="E24" s="209">
        <f>VLOOKUP(B24,'정직원 (2)'!$C$4:$H$77,6,0)</f>
        <v>0</v>
      </c>
      <c r="F24" s="210">
        <f>VLOOKUP(B24,임금대장!$B$3:$AH$86,33,0)</f>
        <v>2805770</v>
      </c>
    </row>
    <row r="25" spans="1:6" ht="28.5" customHeight="1" x14ac:dyDescent="0.6">
      <c r="A25" s="208">
        <f t="shared" si="0"/>
        <v>23</v>
      </c>
      <c r="B25" s="209" t="str">
        <f>VLOOKUP(A25,임금대장!$A$6:$B$135,2,0)</f>
        <v>김린</v>
      </c>
      <c r="C25" s="209" t="str">
        <f>VLOOKUP(B25,'정직원 (2)'!$C$3:$F$77,4,0)</f>
        <v>861016-6100690</v>
      </c>
      <c r="D25" s="209">
        <f>VLOOKUP(B25,'정직원 (2)'!$C$4:$H$77,5,0)</f>
        <v>0</v>
      </c>
      <c r="E25" s="209">
        <f>VLOOKUP(B25,'정직원 (2)'!$C$4:$H$77,6,0)</f>
        <v>0</v>
      </c>
      <c r="F25" s="210">
        <f>VLOOKUP(B25,임금대장!$B$3:$AH$86,33,0)</f>
        <v>2301790</v>
      </c>
    </row>
    <row r="26" spans="1:6" ht="28.5" customHeight="1" x14ac:dyDescent="0.6">
      <c r="A26" s="208">
        <f t="shared" si="0"/>
        <v>24</v>
      </c>
      <c r="B26" s="209" t="str">
        <f>VLOOKUP(A26,임금대장!$A$6:$B$135,2,0)</f>
        <v>박성재</v>
      </c>
      <c r="C26" s="209" t="str">
        <f>VLOOKUP(B26,'정직원 (2)'!$C$3:$F$77,4,0)</f>
        <v>061020-3178512</v>
      </c>
      <c r="D26" s="209">
        <f>VLOOKUP(B26,'정직원 (2)'!$C$4:$H$77,5,0)</f>
        <v>0</v>
      </c>
      <c r="E26" s="209">
        <f>VLOOKUP(B26,'정직원 (2)'!$C$4:$H$77,6,0)</f>
        <v>0</v>
      </c>
      <c r="F26" s="210">
        <f>VLOOKUP(B26,임금대장!$B$3:$AH$86,33,0)</f>
        <v>0</v>
      </c>
    </row>
    <row r="27" spans="1:6" ht="28.5" customHeight="1" x14ac:dyDescent="0.6">
      <c r="A27" s="208">
        <f t="shared" si="0"/>
        <v>25</v>
      </c>
      <c r="B27" s="209" t="str">
        <f>VLOOKUP(A27,임금대장!$A$6:$B$135,2,0)</f>
        <v>김연희</v>
      </c>
      <c r="C27" s="209" t="str">
        <f>VLOOKUP(B27,'정직원 (2)'!$C$3:$F$77,4,0)</f>
        <v>770210-6102899</v>
      </c>
      <c r="D27" s="209">
        <f>VLOOKUP(B27,'정직원 (2)'!$C$4:$H$77,5,0)</f>
        <v>0</v>
      </c>
      <c r="E27" s="209">
        <f>VLOOKUP(B27,'정직원 (2)'!$C$4:$H$77,6,0)</f>
        <v>0</v>
      </c>
      <c r="F27" s="210">
        <f>VLOOKUP(B27,임금대장!$B$3:$AH$86,33,0)</f>
        <v>3104287.4193548388</v>
      </c>
    </row>
    <row r="28" spans="1:6" ht="28.5" customHeight="1" x14ac:dyDescent="0.6">
      <c r="A28" s="208">
        <f t="shared" si="0"/>
        <v>26</v>
      </c>
      <c r="B28" s="209" t="str">
        <f>VLOOKUP(A28,임금대장!$A$6:$B$135,2,0)</f>
        <v>전용현</v>
      </c>
      <c r="C28" s="209" t="str">
        <f>VLOOKUP(B28,'정직원 (2)'!$C$3:$F$77,4,0)</f>
        <v>000316-3154622</v>
      </c>
      <c r="D28" s="209">
        <f>VLOOKUP(B28,'정직원 (2)'!$C$4:$H$77,5,0)</f>
        <v>0</v>
      </c>
      <c r="E28" s="209">
        <f>VLOOKUP(B28,'정직원 (2)'!$C$4:$H$77,6,0)</f>
        <v>0</v>
      </c>
      <c r="F28" s="210">
        <f>VLOOKUP(B28,임금대장!$B$3:$AH$86,33,0)</f>
        <v>993600</v>
      </c>
    </row>
    <row r="29" spans="1:6" ht="28.5" customHeight="1" x14ac:dyDescent="0.6">
      <c r="A29" s="208">
        <f t="shared" si="0"/>
        <v>27</v>
      </c>
      <c r="B29" s="209" t="str">
        <f>VLOOKUP(A29,임금대장!$A$6:$B$135,2,0)</f>
        <v>노근희</v>
      </c>
      <c r="C29" s="209" t="str">
        <f>VLOOKUP(B29,'정직원 (2)'!$C$3:$F$77,4,0)</f>
        <v>000927-3054211</v>
      </c>
      <c r="D29" s="209">
        <f>VLOOKUP(B29,'정직원 (2)'!$C$4:$H$77,5,0)</f>
        <v>0</v>
      </c>
      <c r="E29" s="209">
        <f>VLOOKUP(B29,'정직원 (2)'!$C$4:$H$77,6,0)</f>
        <v>0</v>
      </c>
      <c r="F29" s="210">
        <f>VLOOKUP(B29,임금대장!$B$3:$AH$86,33,0)</f>
        <v>2986978.7096774192</v>
      </c>
    </row>
    <row r="30" spans="1:6" ht="28.5" customHeight="1" x14ac:dyDescent="0.6">
      <c r="A30" s="208">
        <f t="shared" si="0"/>
        <v>28</v>
      </c>
      <c r="B30" s="209" t="str">
        <f>VLOOKUP(A30,임금대장!$A$6:$B$135,2,0)</f>
        <v>강현경</v>
      </c>
      <c r="C30" s="209" t="str">
        <f>VLOOKUP(B30,'정직원 (2)'!$C$3:$F$77,4,0)</f>
        <v>951206-2158027</v>
      </c>
      <c r="D30" s="209">
        <f>VLOOKUP(B30,'정직원 (2)'!$C$4:$H$77,5,0)</f>
        <v>0</v>
      </c>
      <c r="E30" s="209">
        <f>VLOOKUP(B30,'정직원 (2)'!$C$4:$H$77,6,0)</f>
        <v>0</v>
      </c>
      <c r="F30" s="210">
        <f>VLOOKUP(B30,임금대장!$B$3:$AH$86,33,0)</f>
        <v>2985455.8064516131</v>
      </c>
    </row>
    <row r="31" spans="1:6" ht="28.5" customHeight="1" x14ac:dyDescent="0.6">
      <c r="A31" s="208">
        <f t="shared" si="0"/>
        <v>29</v>
      </c>
      <c r="B31" s="209" t="str">
        <f>VLOOKUP(A31,임금대장!$A$6:$B$135,2,0)</f>
        <v>김미숙</v>
      </c>
      <c r="C31" s="209" t="str">
        <f>VLOOKUP(B31,'정직원 (2)'!$C$3:$F$77,4,0)</f>
        <v>690610-2328312</v>
      </c>
      <c r="D31" s="209">
        <f>VLOOKUP(B31,'정직원 (2)'!$C$4:$H$77,5,0)</f>
        <v>0</v>
      </c>
      <c r="E31" s="209">
        <f>VLOOKUP(B31,'정직원 (2)'!$C$4:$H$77,6,0)</f>
        <v>0</v>
      </c>
      <c r="F31" s="210">
        <f>VLOOKUP(B31,임금대장!$B$3:$AH$86,33,0)</f>
        <v>3073157.4193548388</v>
      </c>
    </row>
    <row r="32" spans="1:6" ht="28.5" customHeight="1" x14ac:dyDescent="0.6">
      <c r="A32" s="208">
        <f t="shared" si="0"/>
        <v>30</v>
      </c>
      <c r="B32" s="209" t="str">
        <f>VLOOKUP(A32,임금대장!$A$6:$B$135,2,0)</f>
        <v>정지훈</v>
      </c>
      <c r="C32" s="209" t="str">
        <f>VLOOKUP(B32,'정직원 (2)'!$C$3:$F$77,4,0)</f>
        <v>841217-1183319</v>
      </c>
      <c r="D32" s="209">
        <f>VLOOKUP(B32,'정직원 (2)'!$C$4:$H$77,5,0)</f>
        <v>0</v>
      </c>
      <c r="E32" s="209">
        <f>VLOOKUP(B32,'정직원 (2)'!$C$4:$H$77,6,0)</f>
        <v>0</v>
      </c>
      <c r="F32" s="210">
        <f>VLOOKUP(B32,임금대장!$B$3:$AH$86,33,0)</f>
        <v>3490810.9677419355</v>
      </c>
    </row>
    <row r="33" spans="1:6" ht="28.5" customHeight="1" x14ac:dyDescent="0.6">
      <c r="A33" s="208">
        <f t="shared" si="0"/>
        <v>31</v>
      </c>
      <c r="B33" s="209" t="str">
        <f>VLOOKUP(A33,임금대장!$A$6:$B$135,2,0)</f>
        <v>안유빈</v>
      </c>
      <c r="C33" s="209" t="str">
        <f>VLOOKUP(B33,'정직원 (2)'!$C$3:$F$77,4,0)</f>
        <v>001104-3466619</v>
      </c>
      <c r="D33" s="209">
        <f>VLOOKUP(B33,'정직원 (2)'!$C$4:$H$77,5,0)</f>
        <v>0</v>
      </c>
      <c r="E33" s="209">
        <f>VLOOKUP(B33,'정직원 (2)'!$C$4:$H$77,6,0)</f>
        <v>0</v>
      </c>
      <c r="F33" s="210">
        <f>VLOOKUP(B33,임금대장!$B$3:$AH$86,33,0)</f>
        <v>2985455.8064516131</v>
      </c>
    </row>
    <row r="34" spans="1:6" ht="28.5" customHeight="1" x14ac:dyDescent="0.6">
      <c r="A34" s="208">
        <f t="shared" si="0"/>
        <v>32</v>
      </c>
      <c r="B34" s="209" t="str">
        <f>VLOOKUP(A34,임금대장!$A$6:$B$135,2,0)</f>
        <v>정유진</v>
      </c>
      <c r="C34" s="209" t="str">
        <f>VLOOKUP(B34,'정직원 (2)'!$C$3:$F$77,4,0)</f>
        <v>000810-4155313</v>
      </c>
      <c r="D34" s="209">
        <f>VLOOKUP(B34,'정직원 (2)'!$C$4:$H$77,5,0)</f>
        <v>0</v>
      </c>
      <c r="E34" s="209">
        <f>VLOOKUP(B34,'정직원 (2)'!$C$4:$H$77,6,0)</f>
        <v>0</v>
      </c>
      <c r="F34" s="210">
        <f>VLOOKUP(B34,임금대장!$B$3:$AH$86,33,0)</f>
        <v>2986978.7096774192</v>
      </c>
    </row>
    <row r="35" spans="1:6" ht="28.5" customHeight="1" x14ac:dyDescent="0.6">
      <c r="A35" s="208">
        <f t="shared" si="0"/>
        <v>33</v>
      </c>
      <c r="B35" s="209" t="str">
        <f>VLOOKUP(A35,임금대장!$A$6:$B$135,2,0)</f>
        <v>이경숙</v>
      </c>
      <c r="C35" s="209" t="str">
        <f>VLOOKUP(B35,'정직원 (2)'!$C$3:$F$77,4,0)</f>
        <v>650225-2154914</v>
      </c>
      <c r="D35" s="209">
        <f>VLOOKUP(B35,'정직원 (2)'!$C$4:$H$77,5,0)</f>
        <v>0</v>
      </c>
      <c r="E35" s="209">
        <f>VLOOKUP(B35,'정직원 (2)'!$C$4:$H$77,6,0)</f>
        <v>0</v>
      </c>
      <c r="F35" s="210">
        <f>VLOOKUP(B35,임금대장!$B$3:$AH$86,33,0)</f>
        <v>3186685.8064516131</v>
      </c>
    </row>
    <row r="36" spans="1:6" ht="28.5" customHeight="1" x14ac:dyDescent="0.6">
      <c r="A36" s="208">
        <f t="shared" si="0"/>
        <v>34</v>
      </c>
      <c r="B36" s="209" t="str">
        <f>VLOOKUP(A36,임금대장!$A$6:$B$135,2,0)</f>
        <v>이경수</v>
      </c>
      <c r="C36" s="209" t="str">
        <f>VLOOKUP(B36,'정직원 (2)'!$C$3:$F$77,4,0)</f>
        <v>920315-1352615</v>
      </c>
      <c r="D36" s="209">
        <f>VLOOKUP(B36,'정직원 (2)'!$C$4:$H$77,5,0)</f>
        <v>0</v>
      </c>
      <c r="E36" s="209">
        <f>VLOOKUP(B36,'정직원 (2)'!$C$4:$H$77,6,0)</f>
        <v>0</v>
      </c>
      <c r="F36" s="210">
        <f>VLOOKUP(B36,임금대장!$B$3:$AH$86,33,0)</f>
        <v>2685120</v>
      </c>
    </row>
    <row r="37" spans="1:6" ht="28.5" customHeight="1" x14ac:dyDescent="0.6">
      <c r="A37" s="208">
        <f t="shared" si="0"/>
        <v>35</v>
      </c>
      <c r="B37" s="209" t="str">
        <f>VLOOKUP(A37,임금대장!$A$6:$B$135,2,0)</f>
        <v>김제우</v>
      </c>
      <c r="C37" s="209" t="str">
        <f>VLOOKUP(B37,'정직원 (2)'!$C$3:$F$77,4,0)</f>
        <v>830513-1624015</v>
      </c>
      <c r="D37" s="209">
        <f>VLOOKUP(B37,'정직원 (2)'!$C$4:$H$77,5,0)</f>
        <v>0</v>
      </c>
      <c r="E37" s="209">
        <f>VLOOKUP(B37,'정직원 (2)'!$C$4:$H$77,6,0)</f>
        <v>0</v>
      </c>
      <c r="F37" s="210">
        <f>VLOOKUP(B37,임금대장!$B$3:$AH$86,33,0)</f>
        <v>3490810.9677419355</v>
      </c>
    </row>
    <row r="38" spans="1:6" ht="28.5" customHeight="1" x14ac:dyDescent="0.6">
      <c r="A38" s="208">
        <f t="shared" si="0"/>
        <v>36</v>
      </c>
      <c r="B38" s="209" t="str">
        <f>VLOOKUP(A38,임금대장!$A$6:$B$135,2,0)</f>
        <v>김광신</v>
      </c>
      <c r="C38" s="209" t="str">
        <f>VLOOKUP(B38,'정직원 (2)'!$C$3:$F$77,4,0)</f>
        <v>730213-1350715</v>
      </c>
      <c r="D38" s="209">
        <f>VLOOKUP(B38,'정직원 (2)'!$C$4:$H$77,5,0)</f>
        <v>0</v>
      </c>
      <c r="E38" s="209">
        <f>VLOOKUP(B38,'정직원 (2)'!$C$4:$H$77,6,0)</f>
        <v>0</v>
      </c>
      <c r="F38" s="210">
        <f>VLOOKUP(B38,임금대장!$B$3:$AH$86,33,0)</f>
        <v>3151691.6129032257</v>
      </c>
    </row>
    <row r="39" spans="1:6" ht="28.5" customHeight="1" x14ac:dyDescent="0.6">
      <c r="A39" s="208">
        <f t="shared" si="0"/>
        <v>37</v>
      </c>
      <c r="B39" s="209" t="str">
        <f>VLOOKUP(A39,임금대장!$A$6:$B$135,2,0)</f>
        <v>이다연</v>
      </c>
      <c r="C39" s="209" t="str">
        <f>VLOOKUP(B39,'정직원 (2)'!$C$3:$F$77,4,0)</f>
        <v>950526-2401425</v>
      </c>
      <c r="D39" s="209">
        <f>VLOOKUP(B39,'정직원 (2)'!$C$4:$H$77,5,0)</f>
        <v>0</v>
      </c>
      <c r="E39" s="209">
        <f>VLOOKUP(B39,'정직원 (2)'!$C$4:$H$77,6,0)</f>
        <v>0</v>
      </c>
      <c r="F39" s="210">
        <f>VLOOKUP(B39,임금대장!$B$3:$AH$86,33,0)</f>
        <v>2685120</v>
      </c>
    </row>
    <row r="40" spans="1:6" ht="28.5" customHeight="1" x14ac:dyDescent="0.6">
      <c r="A40" s="208">
        <f t="shared" si="0"/>
        <v>38</v>
      </c>
      <c r="B40" s="209" t="str">
        <f>VLOOKUP(A40,임금대장!$A$6:$B$135,2,0)</f>
        <v>강봉국</v>
      </c>
      <c r="C40" s="209" t="str">
        <f>VLOOKUP(B40,'정직원 (2)'!$C$3:$F$77,4,0)</f>
        <v>860414-1156218</v>
      </c>
      <c r="D40" s="209">
        <f>VLOOKUP(B40,'정직원 (2)'!$C$4:$H$77,5,0)</f>
        <v>0</v>
      </c>
      <c r="E40" s="209">
        <f>VLOOKUP(B40,'정직원 (2)'!$C$4:$H$77,6,0)</f>
        <v>0</v>
      </c>
      <c r="F40" s="210">
        <f>VLOOKUP(B40,임금대장!$B$3:$AH$86,33,0)</f>
        <v>2685070</v>
      </c>
    </row>
    <row r="41" spans="1:6" ht="28.5" customHeight="1" x14ac:dyDescent="0.6">
      <c r="A41" s="208">
        <f t="shared" si="0"/>
        <v>39</v>
      </c>
      <c r="B41" s="209" t="str">
        <f>VLOOKUP(A41,임금대장!$A$6:$B$135,2,0)</f>
        <v>남궁현</v>
      </c>
      <c r="C41" s="209" t="str">
        <f>VLOOKUP(B41,'정직원 (2)'!$C$3:$F$77,4,0)</f>
        <v>880916-1063617</v>
      </c>
      <c r="D41" s="209">
        <f>VLOOKUP(B41,'정직원 (2)'!$C$4:$H$77,5,0)</f>
        <v>0</v>
      </c>
      <c r="E41" s="209">
        <f>VLOOKUP(B41,'정직원 (2)'!$C$4:$H$77,6,0)</f>
        <v>0</v>
      </c>
      <c r="F41" s="210">
        <f>VLOOKUP(B41,임금대장!$B$3:$AH$86,33,0)</f>
        <v>1982560</v>
      </c>
    </row>
    <row r="42" spans="1:6" ht="28.5" customHeight="1" x14ac:dyDescent="0.6">
      <c r="A42" s="153" t="s">
        <v>81</v>
      </c>
      <c r="B42" s="153"/>
      <c r="C42" s="153"/>
      <c r="D42" s="153"/>
      <c r="E42" s="153"/>
      <c r="F42" s="153"/>
    </row>
    <row r="43" spans="1:6" ht="28.5" customHeight="1" x14ac:dyDescent="0.6">
      <c r="A43" s="208">
        <f t="shared" ref="A43:A80" si="1">ROW()-3</f>
        <v>40</v>
      </c>
      <c r="B43" s="209" t="str">
        <f>VLOOKUP(A43,임금대장!$A$6:$B$135,2,0)</f>
        <v>홍이준</v>
      </c>
      <c r="C43" s="160" t="str">
        <f>VLOOKUP(B43,파트!$C$5:$I$95,7,0)</f>
        <v>030827-3033011</v>
      </c>
      <c r="D43" s="160">
        <f>VLOOKUP(B43,파트!$C$5:$F$52,3,0)</f>
        <v>0</v>
      </c>
      <c r="E43" s="209">
        <f>VLOOKUP(B43,파트!$C$5:$F$52,4,0)</f>
        <v>0</v>
      </c>
      <c r="F43" s="210">
        <f>VLOOKUP(B43,임금대장!$B$6:$AH$86,33,0)</f>
        <v>1011980</v>
      </c>
    </row>
    <row r="44" spans="1:6" ht="28.5" customHeight="1" x14ac:dyDescent="0.6">
      <c r="A44" s="208">
        <f t="shared" si="1"/>
        <v>41</v>
      </c>
      <c r="B44" s="209" t="str">
        <f>VLOOKUP(A44,임금대장!$A$6:$B$135,2,0)</f>
        <v>박경찬</v>
      </c>
      <c r="C44" s="160" t="str">
        <f>VLOOKUP(B44,파트!$C$5:$I$95,7,0)</f>
        <v>010321-3152616</v>
      </c>
      <c r="D44" s="160">
        <f>VLOOKUP(B44,파트!$C$5:$F$52,3,0)</f>
        <v>0</v>
      </c>
      <c r="E44" s="209">
        <f>VLOOKUP(B44,파트!$C$5:$F$52,4,0)</f>
        <v>0</v>
      </c>
      <c r="F44" s="210">
        <f>VLOOKUP(B44,임금대장!$B$6:$AH$86,33,0)</f>
        <v>1055970</v>
      </c>
    </row>
    <row r="45" spans="1:6" ht="28.5" customHeight="1" x14ac:dyDescent="0.6">
      <c r="A45" s="208">
        <f t="shared" si="1"/>
        <v>42</v>
      </c>
      <c r="B45" s="209" t="str">
        <f>VLOOKUP(A45,임금대장!$A$6:$B$135,2,0)</f>
        <v>최예림</v>
      </c>
      <c r="C45" s="160" t="str">
        <f>VLOOKUP(B45,파트!$C$5:$I$95,7,0)</f>
        <v>030710-4183811</v>
      </c>
      <c r="D45" s="160">
        <f>VLOOKUP(B45,파트!$C$5:$F$52,3,0)</f>
        <v>0</v>
      </c>
      <c r="E45" s="209">
        <f>VLOOKUP(B45,파트!$C$5:$F$52,4,0)</f>
        <v>0</v>
      </c>
      <c r="F45" s="210">
        <f>VLOOKUP(B45,임금대장!$B$6:$AH$86,33,0)</f>
        <v>917690</v>
      </c>
    </row>
    <row r="46" spans="1:6" ht="28.5" customHeight="1" x14ac:dyDescent="0.6">
      <c r="A46" s="208">
        <f t="shared" si="1"/>
        <v>43</v>
      </c>
      <c r="B46" s="209" t="str">
        <f>VLOOKUP(A46,임금대장!$A$6:$B$135,2,0)</f>
        <v>박대순</v>
      </c>
      <c r="C46" s="160" t="str">
        <f>VLOOKUP(B46,파트!$C$5:$I$95,7,0)</f>
        <v>001228-3157718</v>
      </c>
      <c r="D46" s="160">
        <f>VLOOKUP(B46,파트!$C$5:$F$52,3,0)</f>
        <v>0</v>
      </c>
      <c r="E46" s="209">
        <f>VLOOKUP(B46,파트!$C$5:$F$52,4,0)</f>
        <v>0</v>
      </c>
      <c r="F46" s="210">
        <f>VLOOKUP(B46,임금대장!$B$6:$AH$86,33,0)</f>
        <v>2369640</v>
      </c>
    </row>
    <row r="47" spans="1:6" ht="29.45" customHeight="1" x14ac:dyDescent="0.6">
      <c r="A47" s="208">
        <f t="shared" si="1"/>
        <v>44</v>
      </c>
      <c r="B47" s="209" t="str">
        <f>VLOOKUP(A47,임금대장!$A$6:$B$135,2,0)</f>
        <v>김민준</v>
      </c>
      <c r="C47" s="160" t="str">
        <f>VLOOKUP(B47,파트!$C$5:$I$95,7,0)</f>
        <v>070810-3154613</v>
      </c>
      <c r="D47" s="160">
        <f>VLOOKUP(B47,파트!$C$5:$F$52,3,0)</f>
        <v>0</v>
      </c>
      <c r="E47" s="209">
        <f>VLOOKUP(B47,파트!$C$5:$F$52,4,0)</f>
        <v>0</v>
      </c>
      <c r="F47" s="210">
        <f>VLOOKUP(B47,임금대장!$B$6:$AH$86,33,0)</f>
        <v>1590240</v>
      </c>
    </row>
    <row r="48" spans="1:6" ht="29.45" customHeight="1" x14ac:dyDescent="0.6">
      <c r="A48" s="208">
        <f t="shared" si="1"/>
        <v>45</v>
      </c>
      <c r="B48" s="209" t="str">
        <f>VLOOKUP(A48,임금대장!$A$6:$B$135,2,0)</f>
        <v>방창배</v>
      </c>
      <c r="C48" s="160" t="str">
        <f>VLOOKUP(B48,파트!$C$5:$I$95,7,0)</f>
        <v>030306-3156310</v>
      </c>
      <c r="D48" s="160">
        <f>VLOOKUP(B48,파트!$C$5:$F$52,3,0)</f>
        <v>0</v>
      </c>
      <c r="E48" s="209">
        <f>VLOOKUP(B48,파트!$C$5:$F$52,4,0)</f>
        <v>0</v>
      </c>
      <c r="F48" s="210">
        <f>VLOOKUP(B48,임금대장!$B$6:$AH$86,33,0)</f>
        <v>2338210</v>
      </c>
    </row>
    <row r="49" spans="1:6" ht="29.45" customHeight="1" x14ac:dyDescent="0.6">
      <c r="A49" s="208">
        <f t="shared" si="1"/>
        <v>46</v>
      </c>
      <c r="B49" s="209" t="str">
        <f>VLOOKUP(A49,임금대장!$A$6:$B$135,2,0)</f>
        <v>주혜원</v>
      </c>
      <c r="C49" s="160" t="str">
        <f>VLOOKUP(B49,파트!$C$5:$I$95,7,0)</f>
        <v>050722-4155113</v>
      </c>
      <c r="D49" s="160">
        <f>VLOOKUP(B49,파트!$C$5:$F$52,3,0)</f>
        <v>0</v>
      </c>
      <c r="E49" s="209">
        <f>VLOOKUP(B49,파트!$C$5:$F$52,4,0)</f>
        <v>0</v>
      </c>
      <c r="F49" s="210">
        <f>VLOOKUP(B49,임금대장!$B$6:$AH$86,33,0)</f>
        <v>1709660</v>
      </c>
    </row>
    <row r="50" spans="1:6" ht="28.5" customHeight="1" x14ac:dyDescent="0.6">
      <c r="A50" s="208">
        <f t="shared" si="1"/>
        <v>47</v>
      </c>
      <c r="B50" s="209" t="str">
        <f>VLOOKUP(A50,임금대장!$A$6:$B$135,2,0)</f>
        <v>김철우</v>
      </c>
      <c r="C50" s="160" t="str">
        <f>VLOOKUP(B50,파트!$C$5:$I$95,7,0)</f>
        <v>070111-3155018</v>
      </c>
      <c r="D50" s="160">
        <f>VLOOKUP(B50,파트!$C$5:$F$52,3,0)</f>
        <v>0</v>
      </c>
      <c r="E50" s="209">
        <f>VLOOKUP(B50,파트!$C$5:$F$52,4,0)</f>
        <v>0</v>
      </c>
      <c r="F50" s="210">
        <f>VLOOKUP(B50,임금대장!$B$6:$AH$86,33,0)</f>
        <v>1665670</v>
      </c>
    </row>
    <row r="51" spans="1:6" ht="28.5" customHeight="1" x14ac:dyDescent="0.6">
      <c r="A51" s="208">
        <f t="shared" si="1"/>
        <v>48</v>
      </c>
      <c r="B51" s="209" t="str">
        <f>VLOOKUP(A51,임금대장!$A$6:$B$135,2,0)</f>
        <v>김수연</v>
      </c>
      <c r="C51" s="160" t="str">
        <f>VLOOKUP(B51,파트!$C$5:$I$95,7,0)</f>
        <v>990817-2005918</v>
      </c>
      <c r="D51" s="160">
        <f>VLOOKUP(B51,파트!$C$5:$F$52,3,0)</f>
        <v>0</v>
      </c>
      <c r="E51" s="209">
        <f>VLOOKUP(B51,파트!$C$5:$F$52,4,0)</f>
        <v>0</v>
      </c>
      <c r="F51" s="210">
        <f>VLOOKUP(B51,임금대장!$B$6:$AH$86,33,0)</f>
        <v>1458240</v>
      </c>
    </row>
    <row r="52" spans="1:6" ht="28.5" customHeight="1" x14ac:dyDescent="0.6">
      <c r="A52" s="208">
        <f t="shared" si="1"/>
        <v>49</v>
      </c>
      <c r="B52" s="209" t="str">
        <f>VLOOKUP(A52,임금대장!$A$6:$B$135,2,0)</f>
        <v>서진우</v>
      </c>
      <c r="C52" s="160" t="str">
        <f>VLOOKUP(B52,파트!$C$5:$I$95,7,0)</f>
        <v>990927-1213821</v>
      </c>
      <c r="D52" s="160">
        <f>VLOOKUP(B52,파트!$C$5:$F$52,3,0)</f>
        <v>0</v>
      </c>
      <c r="E52" s="209">
        <f>VLOOKUP(B52,파트!$C$5:$F$52,4,0)</f>
        <v>0</v>
      </c>
      <c r="F52" s="210">
        <f>VLOOKUP(B52,임금대장!$B$6:$AH$86,33,0)</f>
        <v>1992510</v>
      </c>
    </row>
    <row r="53" spans="1:6" ht="28.5" customHeight="1" x14ac:dyDescent="0.6">
      <c r="A53" s="208">
        <f t="shared" si="1"/>
        <v>50</v>
      </c>
      <c r="B53" s="209" t="str">
        <f>VLOOKUP(A53,임금대장!$A$6:$B$135,2,0)</f>
        <v>윤동현</v>
      </c>
      <c r="C53" s="160" t="str">
        <f>VLOOKUP(B53,파트!$C$5:$I$95,7,0)</f>
        <v>020712-3155616</v>
      </c>
      <c r="D53" s="160">
        <f>VLOOKUP(B53,파트!$C$5:$F$52,3,0)</f>
        <v>0</v>
      </c>
      <c r="E53" s="209">
        <f>VLOOKUP(B53,파트!$C$5:$F$52,4,0)</f>
        <v>0</v>
      </c>
      <c r="F53" s="210">
        <f>VLOOKUP(B53,임금대장!$B$6:$AH$86,33,0)</f>
        <v>396000</v>
      </c>
    </row>
    <row r="54" spans="1:6" ht="28.5" customHeight="1" x14ac:dyDescent="0.6">
      <c r="A54" s="208">
        <f t="shared" si="1"/>
        <v>51</v>
      </c>
      <c r="B54" s="209" t="str">
        <f>VLOOKUP(A54,임금대장!$A$6:$B$135,2,0)</f>
        <v>김정진</v>
      </c>
      <c r="C54" s="160" t="str">
        <f>VLOOKUP(B54,파트!$C$5:$I$95,7,0)</f>
        <v>050215-3122818</v>
      </c>
      <c r="D54" s="160">
        <f>VLOOKUP(B54,파트!$C$5:$F$52,3,0)</f>
        <v>0</v>
      </c>
      <c r="E54" s="209">
        <f>VLOOKUP(B54,파트!$C$5:$F$52,4,0)</f>
        <v>0</v>
      </c>
      <c r="F54" s="210">
        <f>VLOOKUP(B54,임금대장!$B$6:$AH$86,33,0)</f>
        <v>1697090</v>
      </c>
    </row>
    <row r="55" spans="1:6" ht="28.5" customHeight="1" x14ac:dyDescent="0.6">
      <c r="A55" s="208">
        <f t="shared" si="1"/>
        <v>52</v>
      </c>
      <c r="B55" s="209" t="str">
        <f>VLOOKUP(A55,임금대장!$A$6:$B$135,2,0)</f>
        <v>황수아</v>
      </c>
      <c r="C55" s="160" t="str">
        <f>VLOOKUP(B55,파트!$C$5:$I$95,7,0)</f>
        <v>010212-4163121</v>
      </c>
      <c r="D55" s="160">
        <f>VLOOKUP(B55,파트!$C$5:$F$52,3,0)</f>
        <v>0</v>
      </c>
      <c r="E55" s="209">
        <f>VLOOKUP(B55,파트!$C$5:$F$52,4,0)</f>
        <v>0</v>
      </c>
      <c r="F55" s="210">
        <f>VLOOKUP(B55,임금대장!$B$6:$AH$86,33,0)</f>
        <v>760560</v>
      </c>
    </row>
    <row r="56" spans="1:6" ht="28.5" customHeight="1" x14ac:dyDescent="0.6">
      <c r="A56" s="208">
        <f t="shared" si="1"/>
        <v>53</v>
      </c>
      <c r="B56" s="209" t="str">
        <f>VLOOKUP(A56,임금대장!$A$6:$B$135,2,0)</f>
        <v>김동현</v>
      </c>
      <c r="C56" s="160" t="str">
        <f>VLOOKUP(B56,파트!$C$5:$I$95,7,0)</f>
        <v>990824-1081317</v>
      </c>
      <c r="D56" s="160">
        <f>VLOOKUP(B56,파트!$C$5:$F$52,3,0)</f>
        <v>0</v>
      </c>
      <c r="E56" s="209">
        <f>VLOOKUP(B56,파트!$C$5:$F$52,4,0)</f>
        <v>0</v>
      </c>
      <c r="F56" s="210">
        <f>VLOOKUP(B56,임금대장!$B$6:$AH$86,33,0)</f>
        <v>1935940</v>
      </c>
    </row>
    <row r="57" spans="1:6" ht="28.5" customHeight="1" x14ac:dyDescent="0.6">
      <c r="A57" s="208">
        <f t="shared" si="1"/>
        <v>54</v>
      </c>
      <c r="B57" s="209" t="str">
        <f>VLOOKUP(A57,임금대장!$A$6:$B$135,2,0)</f>
        <v>이태현</v>
      </c>
      <c r="C57" s="160" t="str">
        <f>VLOOKUP(B57,파트!$C$5:$I$95,7,0)</f>
        <v>071229-3158912</v>
      </c>
      <c r="D57" s="160">
        <f>VLOOKUP(B57,파트!$C$5:$F$52,3,0)</f>
        <v>0</v>
      </c>
      <c r="E57" s="209">
        <f>VLOOKUP(B57,파트!$C$5:$F$52,4,0)</f>
        <v>0</v>
      </c>
      <c r="F57" s="210">
        <f>VLOOKUP(B57,임금대장!$B$6:$AH$86,33,0)</f>
        <v>1671950</v>
      </c>
    </row>
    <row r="58" spans="1:6" ht="28.5" customHeight="1" x14ac:dyDescent="0.6">
      <c r="A58" s="208">
        <f t="shared" si="1"/>
        <v>55</v>
      </c>
      <c r="B58" s="209" t="str">
        <f>VLOOKUP(A58,임금대장!$A$6:$B$135,2,0)</f>
        <v>주희연</v>
      </c>
      <c r="C58" s="160" t="str">
        <f>VLOOKUP(B58,파트!$C$5:$I$95,7,0)</f>
        <v>050804-4156712</v>
      </c>
      <c r="D58" s="160">
        <f>VLOOKUP(B58,파트!$C$5:$F$52,3,0)</f>
        <v>0</v>
      </c>
      <c r="E58" s="209">
        <f>VLOOKUP(B58,파트!$C$5:$F$52,4,0)</f>
        <v>0</v>
      </c>
      <c r="F58" s="210">
        <f>VLOOKUP(B58,임금대장!$B$6:$AH$86,33,0)</f>
        <v>622270</v>
      </c>
    </row>
    <row r="59" spans="1:6" ht="28.5" customHeight="1" x14ac:dyDescent="0.6">
      <c r="A59" s="208">
        <f t="shared" si="1"/>
        <v>56</v>
      </c>
      <c r="B59" s="209" t="str">
        <f>VLOOKUP(A59,임금대장!$A$6:$B$135,2,0)</f>
        <v>김서연</v>
      </c>
      <c r="C59" s="160" t="str">
        <f>VLOOKUP(B59,파트!$C$5:$I$95,7,0)</f>
        <v>070904-4156018</v>
      </c>
      <c r="D59" s="160">
        <f>VLOOKUP(B59,파트!$C$5:$F$52,3,0)</f>
        <v>0</v>
      </c>
      <c r="E59" s="209">
        <f>VLOOKUP(B59,파트!$C$5:$F$52,4,0)</f>
        <v>0</v>
      </c>
      <c r="F59" s="210">
        <f>VLOOKUP(B59,임금대장!$B$6:$AH$86,33,0)</f>
        <v>1313680</v>
      </c>
    </row>
    <row r="60" spans="1:6" ht="28.5" customHeight="1" x14ac:dyDescent="0.6">
      <c r="A60" s="208">
        <f t="shared" si="1"/>
        <v>57</v>
      </c>
      <c r="B60" s="209" t="str">
        <f>VLOOKUP(A60,임금대장!$A$6:$B$135,2,0)</f>
        <v>권은주</v>
      </c>
      <c r="C60" s="160" t="str">
        <f>VLOOKUP(B60,파트!$C$5:$I$95,7,0)</f>
        <v>731006-2894913</v>
      </c>
      <c r="D60" s="160">
        <f>VLOOKUP(B60,파트!$C$5:$F$52,3,0)</f>
        <v>0</v>
      </c>
      <c r="E60" s="209">
        <f>VLOOKUP(B60,파트!$C$5:$F$52,4,0)</f>
        <v>0</v>
      </c>
      <c r="F60" s="210">
        <f>VLOOKUP(B60,임금대장!$B$6:$AH$86,33,0)</f>
        <v>1734800</v>
      </c>
    </row>
    <row r="61" spans="1:6" ht="28.5" customHeight="1" x14ac:dyDescent="0.6">
      <c r="A61" s="208">
        <f t="shared" si="1"/>
        <v>58</v>
      </c>
      <c r="B61" s="209" t="str">
        <f>VLOOKUP(A61,임금대장!$A$6:$B$135,2,0)</f>
        <v>박경원</v>
      </c>
      <c r="C61" s="160" t="str">
        <f>VLOOKUP(B61,파트!$C$5:$I$95,7,0)</f>
        <v>071012-3154816</v>
      </c>
      <c r="D61" s="160">
        <f>VLOOKUP(B61,파트!$C$5:$F$52,3,0)</f>
        <v>0</v>
      </c>
      <c r="E61" s="209">
        <f>VLOOKUP(B61,파트!$C$5:$F$52,4,0)</f>
        <v>0</v>
      </c>
      <c r="F61" s="210">
        <f>VLOOKUP(B61,임금대장!$B$6:$AH$86,33,0)</f>
        <v>1470810</v>
      </c>
    </row>
    <row r="62" spans="1:6" ht="28.5" customHeight="1" x14ac:dyDescent="0.6">
      <c r="A62" s="208">
        <f t="shared" si="1"/>
        <v>59</v>
      </c>
      <c r="B62" s="209" t="str">
        <f>VLOOKUP(A62,임금대장!$A$6:$B$135,2,0)</f>
        <v>이혜원</v>
      </c>
      <c r="C62" s="160" t="str">
        <f>VLOOKUP(B62,파트!$C$5:$I$95,7,0)</f>
        <v>040202-4784027</v>
      </c>
      <c r="D62" s="160">
        <f>VLOOKUP(B62,파트!$C$5:$F$52,3,0)</f>
        <v>0</v>
      </c>
      <c r="E62" s="209">
        <f>VLOOKUP(B62,파트!$C$5:$F$52,4,0)</f>
        <v>0</v>
      </c>
      <c r="F62" s="210">
        <f>VLOOKUP(B62,임금대장!$B$6:$AH$86,33,0)</f>
        <v>1244530</v>
      </c>
    </row>
    <row r="63" spans="1:6" ht="28.5" customHeight="1" x14ac:dyDescent="0.6">
      <c r="A63" s="208">
        <f t="shared" si="1"/>
        <v>60</v>
      </c>
      <c r="B63" s="209" t="str">
        <f>VLOOKUP(A63,임금대장!$A$6:$B$135,2,0)</f>
        <v>이다온</v>
      </c>
      <c r="C63" s="160" t="str">
        <f>VLOOKUP(B63,파트!$C$5:$I$95,7,0)</f>
        <v>040501-4156419</v>
      </c>
      <c r="D63" s="160">
        <f>VLOOKUP(B63,파트!$C$5:$F$52,3,0)</f>
        <v>0</v>
      </c>
      <c r="E63" s="209">
        <f>VLOOKUP(B63,파트!$C$5:$F$52,4,0)</f>
        <v>0</v>
      </c>
      <c r="F63" s="210">
        <f>VLOOKUP(B63,임금대장!$B$6:$AH$86,33,0)</f>
        <v>1583950</v>
      </c>
    </row>
    <row r="64" spans="1:6" ht="28.5" customHeight="1" x14ac:dyDescent="0.6">
      <c r="A64" s="208">
        <f t="shared" si="1"/>
        <v>61</v>
      </c>
      <c r="B64" s="209" t="str">
        <f>VLOOKUP(A64,임금대장!$A$6:$B$135,2,0)</f>
        <v>강준은</v>
      </c>
      <c r="C64" s="160" t="str">
        <f>VLOOKUP(B64,파트!$C$5:$I$95,7,0)</f>
        <v>040612-3184329</v>
      </c>
      <c r="D64" s="160">
        <f>VLOOKUP(B64,파트!$C$5:$F$52,3,0)</f>
        <v>0</v>
      </c>
      <c r="E64" s="209">
        <f>VLOOKUP(B64,파트!$C$5:$F$52,4,0)</f>
        <v>0</v>
      </c>
      <c r="F64" s="210">
        <f>VLOOKUP(B64,임금대장!$B$6:$AH$86,33,0)</f>
        <v>515420</v>
      </c>
    </row>
    <row r="65" spans="1:6" ht="28.5" customHeight="1" x14ac:dyDescent="0.6">
      <c r="A65" s="208">
        <f t="shared" si="1"/>
        <v>62</v>
      </c>
      <c r="B65" s="209" t="str">
        <f>VLOOKUP(A65,임금대장!$A$6:$B$135,2,0)</f>
        <v>문서연</v>
      </c>
      <c r="C65" s="160" t="str">
        <f>VLOOKUP(B65,파트!$C$5:$I$95,7,0)</f>
        <v>030923-4151819</v>
      </c>
      <c r="D65" s="160">
        <f>VLOOKUP(B65,파트!$C$5:$F$52,3,0)</f>
        <v>0</v>
      </c>
      <c r="E65" s="209">
        <f>VLOOKUP(B65,파트!$C$5:$F$52,4,0)</f>
        <v>0</v>
      </c>
      <c r="F65" s="210">
        <f>VLOOKUP(B65,임금대장!$B$6:$AH$86,33,0)</f>
        <v>1697090</v>
      </c>
    </row>
    <row r="66" spans="1:6" ht="28.5" customHeight="1" x14ac:dyDescent="0.6">
      <c r="A66" s="208">
        <f t="shared" si="1"/>
        <v>63</v>
      </c>
      <c r="B66" s="209" t="str">
        <f>VLOOKUP(A66,임금대장!$A$6:$B$135,2,0)</f>
        <v>정영수</v>
      </c>
      <c r="C66" s="160" t="str">
        <f>VLOOKUP(B66,파트!$C$5:$I$95,7,0)</f>
        <v>041127-3222537</v>
      </c>
      <c r="D66" s="160">
        <f>VLOOKUP(B66,파트!$C$5:$F$52,3,0)</f>
        <v>0</v>
      </c>
      <c r="E66" s="209">
        <f>VLOOKUP(B66,파트!$C$5:$F$52,4,0)</f>
        <v>0</v>
      </c>
      <c r="F66" s="210">
        <f>VLOOKUP(B66,임금대장!$B$6:$AH$86,33,0)</f>
        <v>1420530</v>
      </c>
    </row>
    <row r="67" spans="1:6" ht="28.5" customHeight="1" x14ac:dyDescent="0.6">
      <c r="A67" s="208">
        <f t="shared" si="1"/>
        <v>64</v>
      </c>
      <c r="B67" s="209" t="str">
        <f>VLOOKUP(A67,임금대장!$A$6:$B$135,2,0)</f>
        <v>이윤서</v>
      </c>
      <c r="C67" s="160" t="str">
        <f>VLOOKUP(B67,파트!$C$5:$I$95,7,0)</f>
        <v>030303-4158113</v>
      </c>
      <c r="D67" s="160">
        <f>VLOOKUP(B67,파트!$C$5:$F$52,3,0)</f>
        <v>0</v>
      </c>
      <c r="E67" s="209">
        <f>VLOOKUP(B67,파트!$C$5:$F$52,4,0)</f>
        <v>0</v>
      </c>
      <c r="F67" s="210">
        <f>VLOOKUP(B67,임금대장!$B$6:$AH$86,33,0)</f>
        <v>1470810</v>
      </c>
    </row>
    <row r="68" spans="1:6" ht="28.5" customHeight="1" x14ac:dyDescent="0.6">
      <c r="A68" s="208">
        <f t="shared" si="1"/>
        <v>65</v>
      </c>
      <c r="B68" s="209" t="str">
        <f>VLOOKUP(A68,임금대장!$A$6:$B$135,2,0)</f>
        <v>이강욱</v>
      </c>
      <c r="C68" s="160" t="str">
        <f>VLOOKUP(B68,파트!$C$5:$I$95,7,0)</f>
        <v>060816-3159016</v>
      </c>
      <c r="D68" s="160">
        <f>VLOOKUP(B68,파트!$C$5:$F$52,3,0)</f>
        <v>0</v>
      </c>
      <c r="E68" s="209">
        <f>VLOOKUP(B68,파트!$C$5:$F$52,4,0)</f>
        <v>0</v>
      </c>
      <c r="F68" s="210">
        <f>VLOOKUP(B68,임금대장!$B$6:$AH$86,33,0)</f>
        <v>955400</v>
      </c>
    </row>
    <row r="69" spans="1:6" ht="28.5" customHeight="1" x14ac:dyDescent="0.6">
      <c r="A69" s="208">
        <f t="shared" si="1"/>
        <v>66</v>
      </c>
      <c r="B69" s="209" t="str">
        <f>VLOOKUP(A69,임금대장!$A$6:$B$135,2,0)</f>
        <v>김아영</v>
      </c>
      <c r="C69" s="160" t="str">
        <f>VLOOKUP(B69,파트!$C$5:$I$95,7,0)</f>
        <v>041227-4082114</v>
      </c>
      <c r="D69" s="160">
        <f>VLOOKUP(B69,파트!$C$5:$F$52,3,0)</f>
        <v>0</v>
      </c>
      <c r="E69" s="209">
        <f>VLOOKUP(B69,파트!$C$5:$F$52,4,0)</f>
        <v>0</v>
      </c>
      <c r="F69" s="210">
        <f>VLOOKUP(B69,임금대장!$B$6:$AH$86,33,0)</f>
        <v>710270</v>
      </c>
    </row>
    <row r="70" spans="1:6" ht="28.5" customHeight="1" x14ac:dyDescent="0.6">
      <c r="A70" s="208">
        <f t="shared" si="1"/>
        <v>67</v>
      </c>
      <c r="B70" s="209" t="str">
        <f>VLOOKUP(A70,임금대장!$A$6:$B$135,2,0)</f>
        <v>이민성</v>
      </c>
      <c r="C70" s="160" t="str">
        <f>VLOOKUP(B70,파트!$C$5:$I$95,7,0)</f>
        <v>060606-3156019</v>
      </c>
      <c r="D70" s="160">
        <f>VLOOKUP(B70,파트!$C$5:$F$52,3,0)</f>
        <v>0</v>
      </c>
      <c r="E70" s="209">
        <f>VLOOKUP(B70,파트!$C$5:$F$52,4,0)</f>
        <v>0</v>
      </c>
      <c r="F70" s="210">
        <f>VLOOKUP(B70,임금대장!$B$6:$AH$86,33,0)</f>
        <v>1225680</v>
      </c>
    </row>
    <row r="71" spans="1:6" ht="28.5" customHeight="1" x14ac:dyDescent="0.6">
      <c r="A71" s="208">
        <f t="shared" si="1"/>
        <v>68</v>
      </c>
      <c r="B71" s="209" t="str">
        <f>VLOOKUP(A71,임금대장!$A$6:$B$135,2,0)</f>
        <v>김소연</v>
      </c>
      <c r="C71" s="160" t="str">
        <f>VLOOKUP(B71,파트!$C$5:$I$95,7,0)</f>
        <v>040409-4155010</v>
      </c>
      <c r="D71" s="160">
        <f>VLOOKUP(B71,파트!$C$5:$F$52,3,0)</f>
        <v>0</v>
      </c>
      <c r="E71" s="209">
        <f>VLOOKUP(B71,파트!$C$5:$F$52,4,0)</f>
        <v>0</v>
      </c>
      <c r="F71" s="210">
        <f>VLOOKUP(B71,임금대장!$B$6:$AH$86,33,0)</f>
        <v>289140</v>
      </c>
    </row>
    <row r="72" spans="1:6" ht="28.5" customHeight="1" x14ac:dyDescent="0.6">
      <c r="A72" s="208">
        <f t="shared" si="1"/>
        <v>69</v>
      </c>
      <c r="B72" s="209" t="str">
        <f>VLOOKUP(A72,임금대장!$A$6:$B$135,2,0)</f>
        <v>최지훈</v>
      </c>
      <c r="C72" s="160" t="str">
        <f>VLOOKUP(B72,파트!$C$5:$I$95,7,0)</f>
        <v>020814-3156211</v>
      </c>
      <c r="D72" s="160">
        <f>VLOOKUP(B72,파트!$C$5:$F$52,3,0)</f>
        <v>0</v>
      </c>
      <c r="E72" s="209">
        <f>VLOOKUP(B72,파트!$C$5:$F$52,4,0)</f>
        <v>0</v>
      </c>
      <c r="F72" s="210">
        <f>VLOOKUP(B72,임금대장!$B$6:$AH$86,33,0)</f>
        <v>1376530</v>
      </c>
    </row>
    <row r="73" spans="1:6" ht="28.5" customHeight="1" x14ac:dyDescent="0.6">
      <c r="A73" s="208">
        <f t="shared" si="1"/>
        <v>70</v>
      </c>
      <c r="B73" s="209" t="str">
        <f>VLOOKUP(A73,임금대장!$A$6:$B$135,2,0)</f>
        <v>함석형</v>
      </c>
      <c r="C73" s="160" t="str">
        <f>VLOOKUP(B73,파트!$C$5:$I$95,7,0)</f>
        <v>010306-3222516</v>
      </c>
      <c r="D73" s="160">
        <f>VLOOKUP(B73,파트!$C$5:$F$52,3,0)</f>
        <v>0</v>
      </c>
      <c r="E73" s="209">
        <f>VLOOKUP(B73,파트!$C$5:$F$52,4,0)</f>
        <v>0</v>
      </c>
      <c r="F73" s="210">
        <f>VLOOKUP(B73,임금대장!$B$6:$AH$86,33,0)</f>
        <v>1439390</v>
      </c>
    </row>
    <row r="74" spans="1:6" ht="28.5" customHeight="1" x14ac:dyDescent="0.6">
      <c r="A74" s="208">
        <f t="shared" si="1"/>
        <v>71</v>
      </c>
      <c r="B74" s="209" t="str">
        <f>VLOOKUP(A74,임금대장!$A$6:$B$135,2,0)</f>
        <v>윤서진</v>
      </c>
      <c r="C74" s="160" t="str">
        <f>VLOOKUP(B74,파트!$C$5:$I$95,7,0)</f>
        <v>050510-4156011</v>
      </c>
      <c r="D74" s="160">
        <f>VLOOKUP(B74,파트!$C$5:$F$52,3,0)</f>
        <v>0</v>
      </c>
      <c r="E74" s="209">
        <f>VLOOKUP(B74,파트!$C$5:$F$52,4,0)</f>
        <v>0</v>
      </c>
      <c r="F74" s="210">
        <f>VLOOKUP(B74,임금대장!$B$6:$AH$86,33,0)</f>
        <v>75430</v>
      </c>
    </row>
    <row r="75" spans="1:6" ht="28.5" customHeight="1" x14ac:dyDescent="0.6">
      <c r="A75" s="208">
        <f t="shared" si="1"/>
        <v>72</v>
      </c>
      <c r="B75" s="209" t="str">
        <f>VLOOKUP(A75,임금대장!$A$6:$B$135,2,0)</f>
        <v>한재승</v>
      </c>
      <c r="C75" s="160" t="str">
        <f>VLOOKUP(B75,파트!$C$5:$I$95,7,0)</f>
        <v>030916-3155213</v>
      </c>
      <c r="D75" s="160">
        <f>VLOOKUP(B75,파트!$C$5:$F$52,3,0)</f>
        <v>0</v>
      </c>
      <c r="E75" s="209">
        <f>VLOOKUP(B75,파트!$C$5:$F$52,4,0)</f>
        <v>0</v>
      </c>
      <c r="F75" s="210">
        <f>VLOOKUP(B75,임금대장!$B$6:$AH$86,33,0)</f>
        <v>1464530</v>
      </c>
    </row>
    <row r="76" spans="1:6" ht="28.5" customHeight="1" x14ac:dyDescent="0.6">
      <c r="A76" s="208">
        <f t="shared" si="1"/>
        <v>73</v>
      </c>
      <c r="B76" s="209" t="str">
        <f>VLOOKUP(A76,임금대장!$A$6:$B$135,2,0)</f>
        <v>김영신</v>
      </c>
      <c r="C76" s="160" t="str">
        <f>VLOOKUP(B76,파트!$C$5:$I$95,7,0)</f>
        <v>000203-4185028</v>
      </c>
      <c r="D76" s="160">
        <f>VLOOKUP(B76,파트!$C$5:$F$52,3,0)</f>
        <v>0</v>
      </c>
      <c r="E76" s="209">
        <f>VLOOKUP(B76,파트!$C$5:$F$52,4,0)</f>
        <v>0</v>
      </c>
      <c r="F76" s="210">
        <f>VLOOKUP(B76,임금대장!$B$6:$AH$86,33,0)</f>
        <v>729120</v>
      </c>
    </row>
    <row r="77" spans="1:6" ht="28.5" customHeight="1" x14ac:dyDescent="0.6">
      <c r="A77" s="208">
        <f t="shared" si="1"/>
        <v>74</v>
      </c>
      <c r="B77" s="209" t="str">
        <f>VLOOKUP(A77,임금대장!$A$6:$B$135,2,0)</f>
        <v>김준하</v>
      </c>
      <c r="C77" s="160" t="str">
        <f>VLOOKUP(B77,파트!$C$5:$I$95,7,0)</f>
        <v>031217-3157818</v>
      </c>
      <c r="D77" s="160">
        <f>VLOOKUP(B77,파트!$C$5:$F$52,3,0)</f>
        <v>0</v>
      </c>
      <c r="E77" s="209">
        <f>VLOOKUP(B77,파트!$C$5:$F$52,4,0)</f>
        <v>0</v>
      </c>
      <c r="F77" s="210">
        <f>VLOOKUP(B77,임금대장!$B$6:$AH$86,33,0)</f>
        <v>785700</v>
      </c>
    </row>
    <row r="78" spans="1:6" ht="28.5" customHeight="1" x14ac:dyDescent="0.6">
      <c r="A78" s="208">
        <f t="shared" si="1"/>
        <v>75</v>
      </c>
      <c r="B78" s="209" t="str">
        <f>VLOOKUP(A78,임금대장!$A$6:$B$135,2,0)</f>
        <v>김태민</v>
      </c>
      <c r="C78" s="160" t="str">
        <f>VLOOKUP(B78,파트!$C$5:$I$95,7,0)</f>
        <v>030117-3157912</v>
      </c>
      <c r="D78" s="160">
        <f>VLOOKUP(B78,파트!$C$5:$F$52,3,0)</f>
        <v>0</v>
      </c>
      <c r="E78" s="209">
        <f>VLOOKUP(B78,파트!$C$5:$F$52,4,0)</f>
        <v>0</v>
      </c>
      <c r="F78" s="210">
        <f>VLOOKUP(B78,임금대장!$B$6:$AH$86,33,0)</f>
        <v>716550</v>
      </c>
    </row>
    <row r="79" spans="1:6" ht="28.5" customHeight="1" x14ac:dyDescent="0.6">
      <c r="A79" s="208">
        <f t="shared" si="1"/>
        <v>76</v>
      </c>
      <c r="B79" s="209" t="str">
        <f>VLOOKUP(A79,임금대장!$A$6:$B$135,2,0)</f>
        <v>장민호</v>
      </c>
      <c r="C79" s="160" t="str">
        <f>VLOOKUP(B79,파트!$C$5:$I$95,7,0)</f>
        <v>040915-3154914</v>
      </c>
      <c r="D79" s="160">
        <f>VLOOKUP(B79,파트!$C$5:$F$52,3,0)</f>
        <v>0</v>
      </c>
      <c r="E79" s="209">
        <f>VLOOKUP(B79,파트!$C$5:$F$52,4,0)</f>
        <v>0</v>
      </c>
      <c r="F79" s="210">
        <f>VLOOKUP(B79,임금대장!$B$6:$AH$86,33,0)</f>
        <v>289140</v>
      </c>
    </row>
    <row r="80" spans="1:6" ht="28.5" customHeight="1" x14ac:dyDescent="0.6">
      <c r="A80" s="208">
        <f t="shared" si="1"/>
        <v>77</v>
      </c>
      <c r="B80" s="209" t="str">
        <f>VLOOKUP(A80,임금대장!$A$6:$B$135,2,0)</f>
        <v>백준희</v>
      </c>
      <c r="C80" s="160" t="str">
        <f>VLOOKUP(B80,파트!$C$5:$I$95,7,0)</f>
        <v>040805-3185916</v>
      </c>
      <c r="D80" s="160">
        <f>VLOOKUP(B80,파트!$C$5:$F$52,3,0)</f>
        <v>0</v>
      </c>
      <c r="E80" s="209">
        <f>VLOOKUP(B80,파트!$C$5:$F$52,4,0)</f>
        <v>0</v>
      </c>
      <c r="F80" s="210">
        <f>VLOOKUP(B80,임금대장!$B$6:$AH$86,33,0)</f>
        <v>678840</v>
      </c>
    </row>
    <row r="81" spans="1:6" ht="30" customHeight="1" thickBot="1" x14ac:dyDescent="0.65">
      <c r="A81" s="313" t="s">
        <v>82</v>
      </c>
      <c r="B81" s="313"/>
      <c r="C81" s="313"/>
      <c r="D81" s="313"/>
      <c r="E81" s="313"/>
      <c r="F81" s="211">
        <f ca="1">SUM(INDIRECT("f3:f"&amp;ROW()-1))</f>
        <v>160353303.87096775</v>
      </c>
    </row>
    <row r="82" spans="1:6" ht="17.25" thickTop="1" x14ac:dyDescent="0.6">
      <c r="A82" s="212"/>
      <c r="B82" s="213"/>
      <c r="C82" s="213"/>
      <c r="D82" s="213"/>
      <c r="E82" s="213"/>
      <c r="F82" s="214"/>
    </row>
  </sheetData>
  <mergeCells count="1">
    <mergeCell ref="A81:E81"/>
  </mergeCells>
  <phoneticPr fontId="1" type="noConversion"/>
  <pageMargins left="0.7" right="0.7" top="0.75" bottom="0.75" header="0.3" footer="0.3"/>
  <pageSetup paperSize="9" scale="43" orientation="portrait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ED8C-46DA-4CB3-9132-E29B713A2C4D}">
  <sheetPr codeName="Sheet4"/>
  <dimension ref="A1:I53"/>
  <sheetViews>
    <sheetView showGridLines="0" topLeftCell="A2" zoomScaleNormal="100" workbookViewId="0">
      <selection activeCell="C5" sqref="C5"/>
    </sheetView>
  </sheetViews>
  <sheetFormatPr defaultRowHeight="16.899999999999999" x14ac:dyDescent="0.6"/>
  <cols>
    <col min="1" max="1" width="9" style="141"/>
    <col min="2" max="2" width="25.1875" style="148" bestFit="1" customWidth="1"/>
    <col min="3" max="3" width="22.6875" style="148" customWidth="1"/>
    <col min="4" max="4" width="14.6875" style="149" customWidth="1"/>
    <col min="5" max="6" width="14.1875" style="148" customWidth="1"/>
    <col min="7" max="7" width="14.125" style="148" customWidth="1"/>
    <col min="8" max="8" width="11" style="148" bestFit="1" customWidth="1"/>
    <col min="9" max="9" width="7.1875" style="141" bestFit="1" customWidth="1"/>
    <col min="10" max="242" width="9" style="141"/>
    <col min="243" max="243" width="10.6875" style="141" customWidth="1"/>
    <col min="244" max="244" width="9" style="141"/>
    <col min="245" max="245" width="10.875" style="141" customWidth="1"/>
    <col min="246" max="246" width="16" style="141" customWidth="1"/>
    <col min="247" max="247" width="27" style="141" customWidth="1"/>
    <col min="248" max="248" width="14.6875" style="141" customWidth="1"/>
    <col min="249" max="249" width="20.3125" style="141" customWidth="1"/>
    <col min="250" max="250" width="18.1875" style="141" customWidth="1"/>
    <col min="251" max="251" width="14.375" style="141" customWidth="1"/>
    <col min="252" max="252" width="14.125" style="141" customWidth="1"/>
    <col min="253" max="253" width="11.3125" style="141" customWidth="1"/>
    <col min="254" max="498" width="9" style="141"/>
    <col min="499" max="499" width="10.6875" style="141" customWidth="1"/>
    <col min="500" max="500" width="9" style="141"/>
    <col min="501" max="501" width="10.875" style="141" customWidth="1"/>
    <col min="502" max="502" width="16" style="141" customWidth="1"/>
    <col min="503" max="503" width="27" style="141" customWidth="1"/>
    <col min="504" max="504" width="14.6875" style="141" customWidth="1"/>
    <col min="505" max="505" width="20.3125" style="141" customWidth="1"/>
    <col min="506" max="506" width="18.1875" style="141" customWidth="1"/>
    <col min="507" max="507" width="14.375" style="141" customWidth="1"/>
    <col min="508" max="508" width="14.125" style="141" customWidth="1"/>
    <col min="509" max="509" width="11.3125" style="141" customWidth="1"/>
    <col min="510" max="754" width="9" style="141"/>
    <col min="755" max="755" width="10.6875" style="141" customWidth="1"/>
    <col min="756" max="756" width="9" style="141"/>
    <col min="757" max="757" width="10.875" style="141" customWidth="1"/>
    <col min="758" max="758" width="16" style="141" customWidth="1"/>
    <col min="759" max="759" width="27" style="141" customWidth="1"/>
    <col min="760" max="760" width="14.6875" style="141" customWidth="1"/>
    <col min="761" max="761" width="20.3125" style="141" customWidth="1"/>
    <col min="762" max="762" width="18.1875" style="141" customWidth="1"/>
    <col min="763" max="763" width="14.375" style="141" customWidth="1"/>
    <col min="764" max="764" width="14.125" style="141" customWidth="1"/>
    <col min="765" max="765" width="11.3125" style="141" customWidth="1"/>
    <col min="766" max="1010" width="9" style="141"/>
    <col min="1011" max="1011" width="10.6875" style="141" customWidth="1"/>
    <col min="1012" max="1012" width="9" style="141"/>
    <col min="1013" max="1013" width="10.875" style="141" customWidth="1"/>
    <col min="1014" max="1014" width="16" style="141" customWidth="1"/>
    <col min="1015" max="1015" width="27" style="141" customWidth="1"/>
    <col min="1016" max="1016" width="14.6875" style="141" customWidth="1"/>
    <col min="1017" max="1017" width="20.3125" style="141" customWidth="1"/>
    <col min="1018" max="1018" width="18.1875" style="141" customWidth="1"/>
    <col min="1019" max="1019" width="14.375" style="141" customWidth="1"/>
    <col min="1020" max="1020" width="14.125" style="141" customWidth="1"/>
    <col min="1021" max="1021" width="11.3125" style="141" customWidth="1"/>
    <col min="1022" max="1266" width="9" style="141"/>
    <col min="1267" max="1267" width="10.6875" style="141" customWidth="1"/>
    <col min="1268" max="1268" width="9" style="141"/>
    <col min="1269" max="1269" width="10.875" style="141" customWidth="1"/>
    <col min="1270" max="1270" width="16" style="141" customWidth="1"/>
    <col min="1271" max="1271" width="27" style="141" customWidth="1"/>
    <col min="1272" max="1272" width="14.6875" style="141" customWidth="1"/>
    <col min="1273" max="1273" width="20.3125" style="141" customWidth="1"/>
    <col min="1274" max="1274" width="18.1875" style="141" customWidth="1"/>
    <col min="1275" max="1275" width="14.375" style="141" customWidth="1"/>
    <col min="1276" max="1276" width="14.125" style="141" customWidth="1"/>
    <col min="1277" max="1277" width="11.3125" style="141" customWidth="1"/>
    <col min="1278" max="1522" width="9" style="141"/>
    <col min="1523" max="1523" width="10.6875" style="141" customWidth="1"/>
    <col min="1524" max="1524" width="9" style="141"/>
    <col min="1525" max="1525" width="10.875" style="141" customWidth="1"/>
    <col min="1526" max="1526" width="16" style="141" customWidth="1"/>
    <col min="1527" max="1527" width="27" style="141" customWidth="1"/>
    <col min="1528" max="1528" width="14.6875" style="141" customWidth="1"/>
    <col min="1529" max="1529" width="20.3125" style="141" customWidth="1"/>
    <col min="1530" max="1530" width="18.1875" style="141" customWidth="1"/>
    <col min="1531" max="1531" width="14.375" style="141" customWidth="1"/>
    <col min="1532" max="1532" width="14.125" style="141" customWidth="1"/>
    <col min="1533" max="1533" width="11.3125" style="141" customWidth="1"/>
    <col min="1534" max="1778" width="9" style="141"/>
    <col min="1779" max="1779" width="10.6875" style="141" customWidth="1"/>
    <col min="1780" max="1780" width="9" style="141"/>
    <col min="1781" max="1781" width="10.875" style="141" customWidth="1"/>
    <col min="1782" max="1782" width="16" style="141" customWidth="1"/>
    <col min="1783" max="1783" width="27" style="141" customWidth="1"/>
    <col min="1784" max="1784" width="14.6875" style="141" customWidth="1"/>
    <col min="1785" max="1785" width="20.3125" style="141" customWidth="1"/>
    <col min="1786" max="1786" width="18.1875" style="141" customWidth="1"/>
    <col min="1787" max="1787" width="14.375" style="141" customWidth="1"/>
    <col min="1788" max="1788" width="14.125" style="141" customWidth="1"/>
    <col min="1789" max="1789" width="11.3125" style="141" customWidth="1"/>
    <col min="1790" max="2034" width="9" style="141"/>
    <col min="2035" max="2035" width="10.6875" style="141" customWidth="1"/>
    <col min="2036" max="2036" width="9" style="141"/>
    <col min="2037" max="2037" width="10.875" style="141" customWidth="1"/>
    <col min="2038" max="2038" width="16" style="141" customWidth="1"/>
    <col min="2039" max="2039" width="27" style="141" customWidth="1"/>
    <col min="2040" max="2040" width="14.6875" style="141" customWidth="1"/>
    <col min="2041" max="2041" width="20.3125" style="141" customWidth="1"/>
    <col min="2042" max="2042" width="18.1875" style="141" customWidth="1"/>
    <col min="2043" max="2043" width="14.375" style="141" customWidth="1"/>
    <col min="2044" max="2044" width="14.125" style="141" customWidth="1"/>
    <col min="2045" max="2045" width="11.3125" style="141" customWidth="1"/>
    <col min="2046" max="2290" width="9" style="141"/>
    <col min="2291" max="2291" width="10.6875" style="141" customWidth="1"/>
    <col min="2292" max="2292" width="9" style="141"/>
    <col min="2293" max="2293" width="10.875" style="141" customWidth="1"/>
    <col min="2294" max="2294" width="16" style="141" customWidth="1"/>
    <col min="2295" max="2295" width="27" style="141" customWidth="1"/>
    <col min="2296" max="2296" width="14.6875" style="141" customWidth="1"/>
    <col min="2297" max="2297" width="20.3125" style="141" customWidth="1"/>
    <col min="2298" max="2298" width="18.1875" style="141" customWidth="1"/>
    <col min="2299" max="2299" width="14.375" style="141" customWidth="1"/>
    <col min="2300" max="2300" width="14.125" style="141" customWidth="1"/>
    <col min="2301" max="2301" width="11.3125" style="141" customWidth="1"/>
    <col min="2302" max="2546" width="9" style="141"/>
    <col min="2547" max="2547" width="10.6875" style="141" customWidth="1"/>
    <col min="2548" max="2548" width="9" style="141"/>
    <col min="2549" max="2549" width="10.875" style="141" customWidth="1"/>
    <col min="2550" max="2550" width="16" style="141" customWidth="1"/>
    <col min="2551" max="2551" width="27" style="141" customWidth="1"/>
    <col min="2552" max="2552" width="14.6875" style="141" customWidth="1"/>
    <col min="2553" max="2553" width="20.3125" style="141" customWidth="1"/>
    <col min="2554" max="2554" width="18.1875" style="141" customWidth="1"/>
    <col min="2555" max="2555" width="14.375" style="141" customWidth="1"/>
    <col min="2556" max="2556" width="14.125" style="141" customWidth="1"/>
    <col min="2557" max="2557" width="11.3125" style="141" customWidth="1"/>
    <col min="2558" max="2802" width="9" style="141"/>
    <col min="2803" max="2803" width="10.6875" style="141" customWidth="1"/>
    <col min="2804" max="2804" width="9" style="141"/>
    <col min="2805" max="2805" width="10.875" style="141" customWidth="1"/>
    <col min="2806" max="2806" width="16" style="141" customWidth="1"/>
    <col min="2807" max="2807" width="27" style="141" customWidth="1"/>
    <col min="2808" max="2808" width="14.6875" style="141" customWidth="1"/>
    <col min="2809" max="2809" width="20.3125" style="141" customWidth="1"/>
    <col min="2810" max="2810" width="18.1875" style="141" customWidth="1"/>
    <col min="2811" max="2811" width="14.375" style="141" customWidth="1"/>
    <col min="2812" max="2812" width="14.125" style="141" customWidth="1"/>
    <col min="2813" max="2813" width="11.3125" style="141" customWidth="1"/>
    <col min="2814" max="3058" width="9" style="141"/>
    <col min="3059" max="3059" width="10.6875" style="141" customWidth="1"/>
    <col min="3060" max="3060" width="9" style="141"/>
    <col min="3061" max="3061" width="10.875" style="141" customWidth="1"/>
    <col min="3062" max="3062" width="16" style="141" customWidth="1"/>
    <col min="3063" max="3063" width="27" style="141" customWidth="1"/>
    <col min="3064" max="3064" width="14.6875" style="141" customWidth="1"/>
    <col min="3065" max="3065" width="20.3125" style="141" customWidth="1"/>
    <col min="3066" max="3066" width="18.1875" style="141" customWidth="1"/>
    <col min="3067" max="3067" width="14.375" style="141" customWidth="1"/>
    <col min="3068" max="3068" width="14.125" style="141" customWidth="1"/>
    <col min="3069" max="3069" width="11.3125" style="141" customWidth="1"/>
    <col min="3070" max="3314" width="9" style="141"/>
    <col min="3315" max="3315" width="10.6875" style="141" customWidth="1"/>
    <col min="3316" max="3316" width="9" style="141"/>
    <col min="3317" max="3317" width="10.875" style="141" customWidth="1"/>
    <col min="3318" max="3318" width="16" style="141" customWidth="1"/>
    <col min="3319" max="3319" width="27" style="141" customWidth="1"/>
    <col min="3320" max="3320" width="14.6875" style="141" customWidth="1"/>
    <col min="3321" max="3321" width="20.3125" style="141" customWidth="1"/>
    <col min="3322" max="3322" width="18.1875" style="141" customWidth="1"/>
    <col min="3323" max="3323" width="14.375" style="141" customWidth="1"/>
    <col min="3324" max="3324" width="14.125" style="141" customWidth="1"/>
    <col min="3325" max="3325" width="11.3125" style="141" customWidth="1"/>
    <col min="3326" max="3570" width="9" style="141"/>
    <col min="3571" max="3571" width="10.6875" style="141" customWidth="1"/>
    <col min="3572" max="3572" width="9" style="141"/>
    <col min="3573" max="3573" width="10.875" style="141" customWidth="1"/>
    <col min="3574" max="3574" width="16" style="141" customWidth="1"/>
    <col min="3575" max="3575" width="27" style="141" customWidth="1"/>
    <col min="3576" max="3576" width="14.6875" style="141" customWidth="1"/>
    <col min="3577" max="3577" width="20.3125" style="141" customWidth="1"/>
    <col min="3578" max="3578" width="18.1875" style="141" customWidth="1"/>
    <col min="3579" max="3579" width="14.375" style="141" customWidth="1"/>
    <col min="3580" max="3580" width="14.125" style="141" customWidth="1"/>
    <col min="3581" max="3581" width="11.3125" style="141" customWidth="1"/>
    <col min="3582" max="3826" width="9" style="141"/>
    <col min="3827" max="3827" width="10.6875" style="141" customWidth="1"/>
    <col min="3828" max="3828" width="9" style="141"/>
    <col min="3829" max="3829" width="10.875" style="141" customWidth="1"/>
    <col min="3830" max="3830" width="16" style="141" customWidth="1"/>
    <col min="3831" max="3831" width="27" style="141" customWidth="1"/>
    <col min="3832" max="3832" width="14.6875" style="141" customWidth="1"/>
    <col min="3833" max="3833" width="20.3125" style="141" customWidth="1"/>
    <col min="3834" max="3834" width="18.1875" style="141" customWidth="1"/>
    <col min="3835" max="3835" width="14.375" style="141" customWidth="1"/>
    <col min="3836" max="3836" width="14.125" style="141" customWidth="1"/>
    <col min="3837" max="3837" width="11.3125" style="141" customWidth="1"/>
    <col min="3838" max="4082" width="9" style="141"/>
    <col min="4083" max="4083" width="10.6875" style="141" customWidth="1"/>
    <col min="4084" max="4084" width="9" style="141"/>
    <col min="4085" max="4085" width="10.875" style="141" customWidth="1"/>
    <col min="4086" max="4086" width="16" style="141" customWidth="1"/>
    <col min="4087" max="4087" width="27" style="141" customWidth="1"/>
    <col min="4088" max="4088" width="14.6875" style="141" customWidth="1"/>
    <col min="4089" max="4089" width="20.3125" style="141" customWidth="1"/>
    <col min="4090" max="4090" width="18.1875" style="141" customWidth="1"/>
    <col min="4091" max="4091" width="14.375" style="141" customWidth="1"/>
    <col min="4092" max="4092" width="14.125" style="141" customWidth="1"/>
    <col min="4093" max="4093" width="11.3125" style="141" customWidth="1"/>
    <col min="4094" max="4338" width="9" style="141"/>
    <col min="4339" max="4339" width="10.6875" style="141" customWidth="1"/>
    <col min="4340" max="4340" width="9" style="141"/>
    <col min="4341" max="4341" width="10.875" style="141" customWidth="1"/>
    <col min="4342" max="4342" width="16" style="141" customWidth="1"/>
    <col min="4343" max="4343" width="27" style="141" customWidth="1"/>
    <col min="4344" max="4344" width="14.6875" style="141" customWidth="1"/>
    <col min="4345" max="4345" width="20.3125" style="141" customWidth="1"/>
    <col min="4346" max="4346" width="18.1875" style="141" customWidth="1"/>
    <col min="4347" max="4347" width="14.375" style="141" customWidth="1"/>
    <col min="4348" max="4348" width="14.125" style="141" customWidth="1"/>
    <col min="4349" max="4349" width="11.3125" style="141" customWidth="1"/>
    <col min="4350" max="4594" width="9" style="141"/>
    <col min="4595" max="4595" width="10.6875" style="141" customWidth="1"/>
    <col min="4596" max="4596" width="9" style="141"/>
    <col min="4597" max="4597" width="10.875" style="141" customWidth="1"/>
    <col min="4598" max="4598" width="16" style="141" customWidth="1"/>
    <col min="4599" max="4599" width="27" style="141" customWidth="1"/>
    <col min="4600" max="4600" width="14.6875" style="141" customWidth="1"/>
    <col min="4601" max="4601" width="20.3125" style="141" customWidth="1"/>
    <col min="4602" max="4602" width="18.1875" style="141" customWidth="1"/>
    <col min="4603" max="4603" width="14.375" style="141" customWidth="1"/>
    <col min="4604" max="4604" width="14.125" style="141" customWidth="1"/>
    <col min="4605" max="4605" width="11.3125" style="141" customWidth="1"/>
    <col min="4606" max="4850" width="9" style="141"/>
    <col min="4851" max="4851" width="10.6875" style="141" customWidth="1"/>
    <col min="4852" max="4852" width="9" style="141"/>
    <col min="4853" max="4853" width="10.875" style="141" customWidth="1"/>
    <col min="4854" max="4854" width="16" style="141" customWidth="1"/>
    <col min="4855" max="4855" width="27" style="141" customWidth="1"/>
    <col min="4856" max="4856" width="14.6875" style="141" customWidth="1"/>
    <col min="4857" max="4857" width="20.3125" style="141" customWidth="1"/>
    <col min="4858" max="4858" width="18.1875" style="141" customWidth="1"/>
    <col min="4859" max="4859" width="14.375" style="141" customWidth="1"/>
    <col min="4860" max="4860" width="14.125" style="141" customWidth="1"/>
    <col min="4861" max="4861" width="11.3125" style="141" customWidth="1"/>
    <col min="4862" max="5106" width="9" style="141"/>
    <col min="5107" max="5107" width="10.6875" style="141" customWidth="1"/>
    <col min="5108" max="5108" width="9" style="141"/>
    <col min="5109" max="5109" width="10.875" style="141" customWidth="1"/>
    <col min="5110" max="5110" width="16" style="141" customWidth="1"/>
    <col min="5111" max="5111" width="27" style="141" customWidth="1"/>
    <col min="5112" max="5112" width="14.6875" style="141" customWidth="1"/>
    <col min="5113" max="5113" width="20.3125" style="141" customWidth="1"/>
    <col min="5114" max="5114" width="18.1875" style="141" customWidth="1"/>
    <col min="5115" max="5115" width="14.375" style="141" customWidth="1"/>
    <col min="5116" max="5116" width="14.125" style="141" customWidth="1"/>
    <col min="5117" max="5117" width="11.3125" style="141" customWidth="1"/>
    <col min="5118" max="5362" width="9" style="141"/>
    <col min="5363" max="5363" width="10.6875" style="141" customWidth="1"/>
    <col min="5364" max="5364" width="9" style="141"/>
    <col min="5365" max="5365" width="10.875" style="141" customWidth="1"/>
    <col min="5366" max="5366" width="16" style="141" customWidth="1"/>
    <col min="5367" max="5367" width="27" style="141" customWidth="1"/>
    <col min="5368" max="5368" width="14.6875" style="141" customWidth="1"/>
    <col min="5369" max="5369" width="20.3125" style="141" customWidth="1"/>
    <col min="5370" max="5370" width="18.1875" style="141" customWidth="1"/>
    <col min="5371" max="5371" width="14.375" style="141" customWidth="1"/>
    <col min="5372" max="5372" width="14.125" style="141" customWidth="1"/>
    <col min="5373" max="5373" width="11.3125" style="141" customWidth="1"/>
    <col min="5374" max="5618" width="9" style="141"/>
    <col min="5619" max="5619" width="10.6875" style="141" customWidth="1"/>
    <col min="5620" max="5620" width="9" style="141"/>
    <col min="5621" max="5621" width="10.875" style="141" customWidth="1"/>
    <col min="5622" max="5622" width="16" style="141" customWidth="1"/>
    <col min="5623" max="5623" width="27" style="141" customWidth="1"/>
    <col min="5624" max="5624" width="14.6875" style="141" customWidth="1"/>
    <col min="5625" max="5625" width="20.3125" style="141" customWidth="1"/>
    <col min="5626" max="5626" width="18.1875" style="141" customWidth="1"/>
    <col min="5627" max="5627" width="14.375" style="141" customWidth="1"/>
    <col min="5628" max="5628" width="14.125" style="141" customWidth="1"/>
    <col min="5629" max="5629" width="11.3125" style="141" customWidth="1"/>
    <col min="5630" max="5874" width="9" style="141"/>
    <col min="5875" max="5875" width="10.6875" style="141" customWidth="1"/>
    <col min="5876" max="5876" width="9" style="141"/>
    <col min="5877" max="5877" width="10.875" style="141" customWidth="1"/>
    <col min="5878" max="5878" width="16" style="141" customWidth="1"/>
    <col min="5879" max="5879" width="27" style="141" customWidth="1"/>
    <col min="5880" max="5880" width="14.6875" style="141" customWidth="1"/>
    <col min="5881" max="5881" width="20.3125" style="141" customWidth="1"/>
    <col min="5882" max="5882" width="18.1875" style="141" customWidth="1"/>
    <col min="5883" max="5883" width="14.375" style="141" customWidth="1"/>
    <col min="5884" max="5884" width="14.125" style="141" customWidth="1"/>
    <col min="5885" max="5885" width="11.3125" style="141" customWidth="1"/>
    <col min="5886" max="6130" width="9" style="141"/>
    <col min="6131" max="6131" width="10.6875" style="141" customWidth="1"/>
    <col min="6132" max="6132" width="9" style="141"/>
    <col min="6133" max="6133" width="10.875" style="141" customWidth="1"/>
    <col min="6134" max="6134" width="16" style="141" customWidth="1"/>
    <col min="6135" max="6135" width="27" style="141" customWidth="1"/>
    <col min="6136" max="6136" width="14.6875" style="141" customWidth="1"/>
    <col min="6137" max="6137" width="20.3125" style="141" customWidth="1"/>
    <col min="6138" max="6138" width="18.1875" style="141" customWidth="1"/>
    <col min="6139" max="6139" width="14.375" style="141" customWidth="1"/>
    <col min="6140" max="6140" width="14.125" style="141" customWidth="1"/>
    <col min="6141" max="6141" width="11.3125" style="141" customWidth="1"/>
    <col min="6142" max="6386" width="9" style="141"/>
    <col min="6387" max="6387" width="10.6875" style="141" customWidth="1"/>
    <col min="6388" max="6388" width="9" style="141"/>
    <col min="6389" max="6389" width="10.875" style="141" customWidth="1"/>
    <col min="6390" max="6390" width="16" style="141" customWidth="1"/>
    <col min="6391" max="6391" width="27" style="141" customWidth="1"/>
    <col min="6392" max="6392" width="14.6875" style="141" customWidth="1"/>
    <col min="6393" max="6393" width="20.3125" style="141" customWidth="1"/>
    <col min="6394" max="6394" width="18.1875" style="141" customWidth="1"/>
    <col min="6395" max="6395" width="14.375" style="141" customWidth="1"/>
    <col min="6396" max="6396" width="14.125" style="141" customWidth="1"/>
    <col min="6397" max="6397" width="11.3125" style="141" customWidth="1"/>
    <col min="6398" max="6642" width="9" style="141"/>
    <col min="6643" max="6643" width="10.6875" style="141" customWidth="1"/>
    <col min="6644" max="6644" width="9" style="141"/>
    <col min="6645" max="6645" width="10.875" style="141" customWidth="1"/>
    <col min="6646" max="6646" width="16" style="141" customWidth="1"/>
    <col min="6647" max="6647" width="27" style="141" customWidth="1"/>
    <col min="6648" max="6648" width="14.6875" style="141" customWidth="1"/>
    <col min="6649" max="6649" width="20.3125" style="141" customWidth="1"/>
    <col min="6650" max="6650" width="18.1875" style="141" customWidth="1"/>
    <col min="6651" max="6651" width="14.375" style="141" customWidth="1"/>
    <col min="6652" max="6652" width="14.125" style="141" customWidth="1"/>
    <col min="6653" max="6653" width="11.3125" style="141" customWidth="1"/>
    <col min="6654" max="6898" width="9" style="141"/>
    <col min="6899" max="6899" width="10.6875" style="141" customWidth="1"/>
    <col min="6900" max="6900" width="9" style="141"/>
    <col min="6901" max="6901" width="10.875" style="141" customWidth="1"/>
    <col min="6902" max="6902" width="16" style="141" customWidth="1"/>
    <col min="6903" max="6903" width="27" style="141" customWidth="1"/>
    <col min="6904" max="6904" width="14.6875" style="141" customWidth="1"/>
    <col min="6905" max="6905" width="20.3125" style="141" customWidth="1"/>
    <col min="6906" max="6906" width="18.1875" style="141" customWidth="1"/>
    <col min="6907" max="6907" width="14.375" style="141" customWidth="1"/>
    <col min="6908" max="6908" width="14.125" style="141" customWidth="1"/>
    <col min="6909" max="6909" width="11.3125" style="141" customWidth="1"/>
    <col min="6910" max="7154" width="9" style="141"/>
    <col min="7155" max="7155" width="10.6875" style="141" customWidth="1"/>
    <col min="7156" max="7156" width="9" style="141"/>
    <col min="7157" max="7157" width="10.875" style="141" customWidth="1"/>
    <col min="7158" max="7158" width="16" style="141" customWidth="1"/>
    <col min="7159" max="7159" width="27" style="141" customWidth="1"/>
    <col min="7160" max="7160" width="14.6875" style="141" customWidth="1"/>
    <col min="7161" max="7161" width="20.3125" style="141" customWidth="1"/>
    <col min="7162" max="7162" width="18.1875" style="141" customWidth="1"/>
    <col min="7163" max="7163" width="14.375" style="141" customWidth="1"/>
    <col min="7164" max="7164" width="14.125" style="141" customWidth="1"/>
    <col min="7165" max="7165" width="11.3125" style="141" customWidth="1"/>
    <col min="7166" max="7410" width="9" style="141"/>
    <col min="7411" max="7411" width="10.6875" style="141" customWidth="1"/>
    <col min="7412" max="7412" width="9" style="141"/>
    <col min="7413" max="7413" width="10.875" style="141" customWidth="1"/>
    <col min="7414" max="7414" width="16" style="141" customWidth="1"/>
    <col min="7415" max="7415" width="27" style="141" customWidth="1"/>
    <col min="7416" max="7416" width="14.6875" style="141" customWidth="1"/>
    <col min="7417" max="7417" width="20.3125" style="141" customWidth="1"/>
    <col min="7418" max="7418" width="18.1875" style="141" customWidth="1"/>
    <col min="7419" max="7419" width="14.375" style="141" customWidth="1"/>
    <col min="7420" max="7420" width="14.125" style="141" customWidth="1"/>
    <col min="7421" max="7421" width="11.3125" style="141" customWidth="1"/>
    <col min="7422" max="7666" width="9" style="141"/>
    <col min="7667" max="7667" width="10.6875" style="141" customWidth="1"/>
    <col min="7668" max="7668" width="9" style="141"/>
    <col min="7669" max="7669" width="10.875" style="141" customWidth="1"/>
    <col min="7670" max="7670" width="16" style="141" customWidth="1"/>
    <col min="7671" max="7671" width="27" style="141" customWidth="1"/>
    <col min="7672" max="7672" width="14.6875" style="141" customWidth="1"/>
    <col min="7673" max="7673" width="20.3125" style="141" customWidth="1"/>
    <col min="7674" max="7674" width="18.1875" style="141" customWidth="1"/>
    <col min="7675" max="7675" width="14.375" style="141" customWidth="1"/>
    <col min="7676" max="7676" width="14.125" style="141" customWidth="1"/>
    <col min="7677" max="7677" width="11.3125" style="141" customWidth="1"/>
    <col min="7678" max="7922" width="9" style="141"/>
    <col min="7923" max="7923" width="10.6875" style="141" customWidth="1"/>
    <col min="7924" max="7924" width="9" style="141"/>
    <col min="7925" max="7925" width="10.875" style="141" customWidth="1"/>
    <col min="7926" max="7926" width="16" style="141" customWidth="1"/>
    <col min="7927" max="7927" width="27" style="141" customWidth="1"/>
    <col min="7928" max="7928" width="14.6875" style="141" customWidth="1"/>
    <col min="7929" max="7929" width="20.3125" style="141" customWidth="1"/>
    <col min="7930" max="7930" width="18.1875" style="141" customWidth="1"/>
    <col min="7931" max="7931" width="14.375" style="141" customWidth="1"/>
    <col min="7932" max="7932" width="14.125" style="141" customWidth="1"/>
    <col min="7933" max="7933" width="11.3125" style="141" customWidth="1"/>
    <col min="7934" max="8178" width="9" style="141"/>
    <col min="8179" max="8179" width="10.6875" style="141" customWidth="1"/>
    <col min="8180" max="8180" width="9" style="141"/>
    <col min="8181" max="8181" width="10.875" style="141" customWidth="1"/>
    <col min="8182" max="8182" width="16" style="141" customWidth="1"/>
    <col min="8183" max="8183" width="27" style="141" customWidth="1"/>
    <col min="8184" max="8184" width="14.6875" style="141" customWidth="1"/>
    <col min="8185" max="8185" width="20.3125" style="141" customWidth="1"/>
    <col min="8186" max="8186" width="18.1875" style="141" customWidth="1"/>
    <col min="8187" max="8187" width="14.375" style="141" customWidth="1"/>
    <col min="8188" max="8188" width="14.125" style="141" customWidth="1"/>
    <col min="8189" max="8189" width="11.3125" style="141" customWidth="1"/>
    <col min="8190" max="8434" width="9" style="141"/>
    <col min="8435" max="8435" width="10.6875" style="141" customWidth="1"/>
    <col min="8436" max="8436" width="9" style="141"/>
    <col min="8437" max="8437" width="10.875" style="141" customWidth="1"/>
    <col min="8438" max="8438" width="16" style="141" customWidth="1"/>
    <col min="8439" max="8439" width="27" style="141" customWidth="1"/>
    <col min="8440" max="8440" width="14.6875" style="141" customWidth="1"/>
    <col min="8441" max="8441" width="20.3125" style="141" customWidth="1"/>
    <col min="8442" max="8442" width="18.1875" style="141" customWidth="1"/>
    <col min="8443" max="8443" width="14.375" style="141" customWidth="1"/>
    <col min="8444" max="8444" width="14.125" style="141" customWidth="1"/>
    <col min="8445" max="8445" width="11.3125" style="141" customWidth="1"/>
    <col min="8446" max="8690" width="9" style="141"/>
    <col min="8691" max="8691" width="10.6875" style="141" customWidth="1"/>
    <col min="8692" max="8692" width="9" style="141"/>
    <col min="8693" max="8693" width="10.875" style="141" customWidth="1"/>
    <col min="8694" max="8694" width="16" style="141" customWidth="1"/>
    <col min="8695" max="8695" width="27" style="141" customWidth="1"/>
    <col min="8696" max="8696" width="14.6875" style="141" customWidth="1"/>
    <col min="8697" max="8697" width="20.3125" style="141" customWidth="1"/>
    <col min="8698" max="8698" width="18.1875" style="141" customWidth="1"/>
    <col min="8699" max="8699" width="14.375" style="141" customWidth="1"/>
    <col min="8700" max="8700" width="14.125" style="141" customWidth="1"/>
    <col min="8701" max="8701" width="11.3125" style="141" customWidth="1"/>
    <col min="8702" max="8946" width="9" style="141"/>
    <col min="8947" max="8947" width="10.6875" style="141" customWidth="1"/>
    <col min="8948" max="8948" width="9" style="141"/>
    <col min="8949" max="8949" width="10.875" style="141" customWidth="1"/>
    <col min="8950" max="8950" width="16" style="141" customWidth="1"/>
    <col min="8951" max="8951" width="27" style="141" customWidth="1"/>
    <col min="8952" max="8952" width="14.6875" style="141" customWidth="1"/>
    <col min="8953" max="8953" width="20.3125" style="141" customWidth="1"/>
    <col min="8954" max="8954" width="18.1875" style="141" customWidth="1"/>
    <col min="8955" max="8955" width="14.375" style="141" customWidth="1"/>
    <col min="8956" max="8956" width="14.125" style="141" customWidth="1"/>
    <col min="8957" max="8957" width="11.3125" style="141" customWidth="1"/>
    <col min="8958" max="9202" width="9" style="141"/>
    <col min="9203" max="9203" width="10.6875" style="141" customWidth="1"/>
    <col min="9204" max="9204" width="9" style="141"/>
    <col min="9205" max="9205" width="10.875" style="141" customWidth="1"/>
    <col min="9206" max="9206" width="16" style="141" customWidth="1"/>
    <col min="9207" max="9207" width="27" style="141" customWidth="1"/>
    <col min="9208" max="9208" width="14.6875" style="141" customWidth="1"/>
    <col min="9209" max="9209" width="20.3125" style="141" customWidth="1"/>
    <col min="9210" max="9210" width="18.1875" style="141" customWidth="1"/>
    <col min="9211" max="9211" width="14.375" style="141" customWidth="1"/>
    <col min="9212" max="9212" width="14.125" style="141" customWidth="1"/>
    <col min="9213" max="9213" width="11.3125" style="141" customWidth="1"/>
    <col min="9214" max="9458" width="9" style="141"/>
    <col min="9459" max="9459" width="10.6875" style="141" customWidth="1"/>
    <col min="9460" max="9460" width="9" style="141"/>
    <col min="9461" max="9461" width="10.875" style="141" customWidth="1"/>
    <col min="9462" max="9462" width="16" style="141" customWidth="1"/>
    <col min="9463" max="9463" width="27" style="141" customWidth="1"/>
    <col min="9464" max="9464" width="14.6875" style="141" customWidth="1"/>
    <col min="9465" max="9465" width="20.3125" style="141" customWidth="1"/>
    <col min="9466" max="9466" width="18.1875" style="141" customWidth="1"/>
    <col min="9467" max="9467" width="14.375" style="141" customWidth="1"/>
    <col min="9468" max="9468" width="14.125" style="141" customWidth="1"/>
    <col min="9469" max="9469" width="11.3125" style="141" customWidth="1"/>
    <col min="9470" max="9714" width="9" style="141"/>
    <col min="9715" max="9715" width="10.6875" style="141" customWidth="1"/>
    <col min="9716" max="9716" width="9" style="141"/>
    <col min="9717" max="9717" width="10.875" style="141" customWidth="1"/>
    <col min="9718" max="9718" width="16" style="141" customWidth="1"/>
    <col min="9719" max="9719" width="27" style="141" customWidth="1"/>
    <col min="9720" max="9720" width="14.6875" style="141" customWidth="1"/>
    <col min="9721" max="9721" width="20.3125" style="141" customWidth="1"/>
    <col min="9722" max="9722" width="18.1875" style="141" customWidth="1"/>
    <col min="9723" max="9723" width="14.375" style="141" customWidth="1"/>
    <col min="9724" max="9724" width="14.125" style="141" customWidth="1"/>
    <col min="9725" max="9725" width="11.3125" style="141" customWidth="1"/>
    <col min="9726" max="9970" width="9" style="141"/>
    <col min="9971" max="9971" width="10.6875" style="141" customWidth="1"/>
    <col min="9972" max="9972" width="9" style="141"/>
    <col min="9973" max="9973" width="10.875" style="141" customWidth="1"/>
    <col min="9974" max="9974" width="16" style="141" customWidth="1"/>
    <col min="9975" max="9975" width="27" style="141" customWidth="1"/>
    <col min="9976" max="9976" width="14.6875" style="141" customWidth="1"/>
    <col min="9977" max="9977" width="20.3125" style="141" customWidth="1"/>
    <col min="9978" max="9978" width="18.1875" style="141" customWidth="1"/>
    <col min="9979" max="9979" width="14.375" style="141" customWidth="1"/>
    <col min="9980" max="9980" width="14.125" style="141" customWidth="1"/>
    <col min="9981" max="9981" width="11.3125" style="141" customWidth="1"/>
    <col min="9982" max="10226" width="9" style="141"/>
    <col min="10227" max="10227" width="10.6875" style="141" customWidth="1"/>
    <col min="10228" max="10228" width="9" style="141"/>
    <col min="10229" max="10229" width="10.875" style="141" customWidth="1"/>
    <col min="10230" max="10230" width="16" style="141" customWidth="1"/>
    <col min="10231" max="10231" width="27" style="141" customWidth="1"/>
    <col min="10232" max="10232" width="14.6875" style="141" customWidth="1"/>
    <col min="10233" max="10233" width="20.3125" style="141" customWidth="1"/>
    <col min="10234" max="10234" width="18.1875" style="141" customWidth="1"/>
    <col min="10235" max="10235" width="14.375" style="141" customWidth="1"/>
    <col min="10236" max="10236" width="14.125" style="141" customWidth="1"/>
    <col min="10237" max="10237" width="11.3125" style="141" customWidth="1"/>
    <col min="10238" max="10482" width="9" style="141"/>
    <col min="10483" max="10483" width="10.6875" style="141" customWidth="1"/>
    <col min="10484" max="10484" width="9" style="141"/>
    <col min="10485" max="10485" width="10.875" style="141" customWidth="1"/>
    <col min="10486" max="10486" width="16" style="141" customWidth="1"/>
    <col min="10487" max="10487" width="27" style="141" customWidth="1"/>
    <col min="10488" max="10488" width="14.6875" style="141" customWidth="1"/>
    <col min="10489" max="10489" width="20.3125" style="141" customWidth="1"/>
    <col min="10490" max="10490" width="18.1875" style="141" customWidth="1"/>
    <col min="10491" max="10491" width="14.375" style="141" customWidth="1"/>
    <col min="10492" max="10492" width="14.125" style="141" customWidth="1"/>
    <col min="10493" max="10493" width="11.3125" style="141" customWidth="1"/>
    <col min="10494" max="10738" width="9" style="141"/>
    <col min="10739" max="10739" width="10.6875" style="141" customWidth="1"/>
    <col min="10740" max="10740" width="9" style="141"/>
    <col min="10741" max="10741" width="10.875" style="141" customWidth="1"/>
    <col min="10742" max="10742" width="16" style="141" customWidth="1"/>
    <col min="10743" max="10743" width="27" style="141" customWidth="1"/>
    <col min="10744" max="10744" width="14.6875" style="141" customWidth="1"/>
    <col min="10745" max="10745" width="20.3125" style="141" customWidth="1"/>
    <col min="10746" max="10746" width="18.1875" style="141" customWidth="1"/>
    <col min="10747" max="10747" width="14.375" style="141" customWidth="1"/>
    <col min="10748" max="10748" width="14.125" style="141" customWidth="1"/>
    <col min="10749" max="10749" width="11.3125" style="141" customWidth="1"/>
    <col min="10750" max="10994" width="9" style="141"/>
    <col min="10995" max="10995" width="10.6875" style="141" customWidth="1"/>
    <col min="10996" max="10996" width="9" style="141"/>
    <col min="10997" max="10997" width="10.875" style="141" customWidth="1"/>
    <col min="10998" max="10998" width="16" style="141" customWidth="1"/>
    <col min="10999" max="10999" width="27" style="141" customWidth="1"/>
    <col min="11000" max="11000" width="14.6875" style="141" customWidth="1"/>
    <col min="11001" max="11001" width="20.3125" style="141" customWidth="1"/>
    <col min="11002" max="11002" width="18.1875" style="141" customWidth="1"/>
    <col min="11003" max="11003" width="14.375" style="141" customWidth="1"/>
    <col min="11004" max="11004" width="14.125" style="141" customWidth="1"/>
    <col min="11005" max="11005" width="11.3125" style="141" customWidth="1"/>
    <col min="11006" max="11250" width="9" style="141"/>
    <col min="11251" max="11251" width="10.6875" style="141" customWidth="1"/>
    <col min="11252" max="11252" width="9" style="141"/>
    <col min="11253" max="11253" width="10.875" style="141" customWidth="1"/>
    <col min="11254" max="11254" width="16" style="141" customWidth="1"/>
    <col min="11255" max="11255" width="27" style="141" customWidth="1"/>
    <col min="11256" max="11256" width="14.6875" style="141" customWidth="1"/>
    <col min="11257" max="11257" width="20.3125" style="141" customWidth="1"/>
    <col min="11258" max="11258" width="18.1875" style="141" customWidth="1"/>
    <col min="11259" max="11259" width="14.375" style="141" customWidth="1"/>
    <col min="11260" max="11260" width="14.125" style="141" customWidth="1"/>
    <col min="11261" max="11261" width="11.3125" style="141" customWidth="1"/>
    <col min="11262" max="11506" width="9" style="141"/>
    <col min="11507" max="11507" width="10.6875" style="141" customWidth="1"/>
    <col min="11508" max="11508" width="9" style="141"/>
    <col min="11509" max="11509" width="10.875" style="141" customWidth="1"/>
    <col min="11510" max="11510" width="16" style="141" customWidth="1"/>
    <col min="11511" max="11511" width="27" style="141" customWidth="1"/>
    <col min="11512" max="11512" width="14.6875" style="141" customWidth="1"/>
    <col min="11513" max="11513" width="20.3125" style="141" customWidth="1"/>
    <col min="11514" max="11514" width="18.1875" style="141" customWidth="1"/>
    <col min="11515" max="11515" width="14.375" style="141" customWidth="1"/>
    <col min="11516" max="11516" width="14.125" style="141" customWidth="1"/>
    <col min="11517" max="11517" width="11.3125" style="141" customWidth="1"/>
    <col min="11518" max="11762" width="9" style="141"/>
    <col min="11763" max="11763" width="10.6875" style="141" customWidth="1"/>
    <col min="11764" max="11764" width="9" style="141"/>
    <col min="11765" max="11765" width="10.875" style="141" customWidth="1"/>
    <col min="11766" max="11766" width="16" style="141" customWidth="1"/>
    <col min="11767" max="11767" width="27" style="141" customWidth="1"/>
    <col min="11768" max="11768" width="14.6875" style="141" customWidth="1"/>
    <col min="11769" max="11769" width="20.3125" style="141" customWidth="1"/>
    <col min="11770" max="11770" width="18.1875" style="141" customWidth="1"/>
    <col min="11771" max="11771" width="14.375" style="141" customWidth="1"/>
    <col min="11772" max="11772" width="14.125" style="141" customWidth="1"/>
    <col min="11773" max="11773" width="11.3125" style="141" customWidth="1"/>
    <col min="11774" max="12018" width="9" style="141"/>
    <col min="12019" max="12019" width="10.6875" style="141" customWidth="1"/>
    <col min="12020" max="12020" width="9" style="141"/>
    <col min="12021" max="12021" width="10.875" style="141" customWidth="1"/>
    <col min="12022" max="12022" width="16" style="141" customWidth="1"/>
    <col min="12023" max="12023" width="27" style="141" customWidth="1"/>
    <col min="12024" max="12024" width="14.6875" style="141" customWidth="1"/>
    <col min="12025" max="12025" width="20.3125" style="141" customWidth="1"/>
    <col min="12026" max="12026" width="18.1875" style="141" customWidth="1"/>
    <col min="12027" max="12027" width="14.375" style="141" customWidth="1"/>
    <col min="12028" max="12028" width="14.125" style="141" customWidth="1"/>
    <col min="12029" max="12029" width="11.3125" style="141" customWidth="1"/>
    <col min="12030" max="12274" width="9" style="141"/>
    <col min="12275" max="12275" width="10.6875" style="141" customWidth="1"/>
    <col min="12276" max="12276" width="9" style="141"/>
    <col min="12277" max="12277" width="10.875" style="141" customWidth="1"/>
    <col min="12278" max="12278" width="16" style="141" customWidth="1"/>
    <col min="12279" max="12279" width="27" style="141" customWidth="1"/>
    <col min="12280" max="12280" width="14.6875" style="141" customWidth="1"/>
    <col min="12281" max="12281" width="20.3125" style="141" customWidth="1"/>
    <col min="12282" max="12282" width="18.1875" style="141" customWidth="1"/>
    <col min="12283" max="12283" width="14.375" style="141" customWidth="1"/>
    <col min="12284" max="12284" width="14.125" style="141" customWidth="1"/>
    <col min="12285" max="12285" width="11.3125" style="141" customWidth="1"/>
    <col min="12286" max="12530" width="9" style="141"/>
    <col min="12531" max="12531" width="10.6875" style="141" customWidth="1"/>
    <col min="12532" max="12532" width="9" style="141"/>
    <col min="12533" max="12533" width="10.875" style="141" customWidth="1"/>
    <col min="12534" max="12534" width="16" style="141" customWidth="1"/>
    <col min="12535" max="12535" width="27" style="141" customWidth="1"/>
    <col min="12536" max="12536" width="14.6875" style="141" customWidth="1"/>
    <col min="12537" max="12537" width="20.3125" style="141" customWidth="1"/>
    <col min="12538" max="12538" width="18.1875" style="141" customWidth="1"/>
    <col min="12539" max="12539" width="14.375" style="141" customWidth="1"/>
    <col min="12540" max="12540" width="14.125" style="141" customWidth="1"/>
    <col min="12541" max="12541" width="11.3125" style="141" customWidth="1"/>
    <col min="12542" max="12786" width="9" style="141"/>
    <col min="12787" max="12787" width="10.6875" style="141" customWidth="1"/>
    <col min="12788" max="12788" width="9" style="141"/>
    <col min="12789" max="12789" width="10.875" style="141" customWidth="1"/>
    <col min="12790" max="12790" width="16" style="141" customWidth="1"/>
    <col min="12791" max="12791" width="27" style="141" customWidth="1"/>
    <col min="12792" max="12792" width="14.6875" style="141" customWidth="1"/>
    <col min="12793" max="12793" width="20.3125" style="141" customWidth="1"/>
    <col min="12794" max="12794" width="18.1875" style="141" customWidth="1"/>
    <col min="12795" max="12795" width="14.375" style="141" customWidth="1"/>
    <col min="12796" max="12796" width="14.125" style="141" customWidth="1"/>
    <col min="12797" max="12797" width="11.3125" style="141" customWidth="1"/>
    <col min="12798" max="13042" width="9" style="141"/>
    <col min="13043" max="13043" width="10.6875" style="141" customWidth="1"/>
    <col min="13044" max="13044" width="9" style="141"/>
    <col min="13045" max="13045" width="10.875" style="141" customWidth="1"/>
    <col min="13046" max="13046" width="16" style="141" customWidth="1"/>
    <col min="13047" max="13047" width="27" style="141" customWidth="1"/>
    <col min="13048" max="13048" width="14.6875" style="141" customWidth="1"/>
    <col min="13049" max="13049" width="20.3125" style="141" customWidth="1"/>
    <col min="13050" max="13050" width="18.1875" style="141" customWidth="1"/>
    <col min="13051" max="13051" width="14.375" style="141" customWidth="1"/>
    <col min="13052" max="13052" width="14.125" style="141" customWidth="1"/>
    <col min="13053" max="13053" width="11.3125" style="141" customWidth="1"/>
    <col min="13054" max="13298" width="9" style="141"/>
    <col min="13299" max="13299" width="10.6875" style="141" customWidth="1"/>
    <col min="13300" max="13300" width="9" style="141"/>
    <col min="13301" max="13301" width="10.875" style="141" customWidth="1"/>
    <col min="13302" max="13302" width="16" style="141" customWidth="1"/>
    <col min="13303" max="13303" width="27" style="141" customWidth="1"/>
    <col min="13304" max="13304" width="14.6875" style="141" customWidth="1"/>
    <col min="13305" max="13305" width="20.3125" style="141" customWidth="1"/>
    <col min="13306" max="13306" width="18.1875" style="141" customWidth="1"/>
    <col min="13307" max="13307" width="14.375" style="141" customWidth="1"/>
    <col min="13308" max="13308" width="14.125" style="141" customWidth="1"/>
    <col min="13309" max="13309" width="11.3125" style="141" customWidth="1"/>
    <col min="13310" max="13554" width="9" style="141"/>
    <col min="13555" max="13555" width="10.6875" style="141" customWidth="1"/>
    <col min="13556" max="13556" width="9" style="141"/>
    <col min="13557" max="13557" width="10.875" style="141" customWidth="1"/>
    <col min="13558" max="13558" width="16" style="141" customWidth="1"/>
    <col min="13559" max="13559" width="27" style="141" customWidth="1"/>
    <col min="13560" max="13560" width="14.6875" style="141" customWidth="1"/>
    <col min="13561" max="13561" width="20.3125" style="141" customWidth="1"/>
    <col min="13562" max="13562" width="18.1875" style="141" customWidth="1"/>
    <col min="13563" max="13563" width="14.375" style="141" customWidth="1"/>
    <col min="13564" max="13564" width="14.125" style="141" customWidth="1"/>
    <col min="13565" max="13565" width="11.3125" style="141" customWidth="1"/>
    <col min="13566" max="13810" width="9" style="141"/>
    <col min="13811" max="13811" width="10.6875" style="141" customWidth="1"/>
    <col min="13812" max="13812" width="9" style="141"/>
    <col min="13813" max="13813" width="10.875" style="141" customWidth="1"/>
    <col min="13814" max="13814" width="16" style="141" customWidth="1"/>
    <col min="13815" max="13815" width="27" style="141" customWidth="1"/>
    <col min="13816" max="13816" width="14.6875" style="141" customWidth="1"/>
    <col min="13817" max="13817" width="20.3125" style="141" customWidth="1"/>
    <col min="13818" max="13818" width="18.1875" style="141" customWidth="1"/>
    <col min="13819" max="13819" width="14.375" style="141" customWidth="1"/>
    <col min="13820" max="13820" width="14.125" style="141" customWidth="1"/>
    <col min="13821" max="13821" width="11.3125" style="141" customWidth="1"/>
    <col min="13822" max="14066" width="9" style="141"/>
    <col min="14067" max="14067" width="10.6875" style="141" customWidth="1"/>
    <col min="14068" max="14068" width="9" style="141"/>
    <col min="14069" max="14069" width="10.875" style="141" customWidth="1"/>
    <col min="14070" max="14070" width="16" style="141" customWidth="1"/>
    <col min="14071" max="14071" width="27" style="141" customWidth="1"/>
    <col min="14072" max="14072" width="14.6875" style="141" customWidth="1"/>
    <col min="14073" max="14073" width="20.3125" style="141" customWidth="1"/>
    <col min="14074" max="14074" width="18.1875" style="141" customWidth="1"/>
    <col min="14075" max="14075" width="14.375" style="141" customWidth="1"/>
    <col min="14076" max="14076" width="14.125" style="141" customWidth="1"/>
    <col min="14077" max="14077" width="11.3125" style="141" customWidth="1"/>
    <col min="14078" max="14322" width="9" style="141"/>
    <col min="14323" max="14323" width="10.6875" style="141" customWidth="1"/>
    <col min="14324" max="14324" width="9" style="141"/>
    <col min="14325" max="14325" width="10.875" style="141" customWidth="1"/>
    <col min="14326" max="14326" width="16" style="141" customWidth="1"/>
    <col min="14327" max="14327" width="27" style="141" customWidth="1"/>
    <col min="14328" max="14328" width="14.6875" style="141" customWidth="1"/>
    <col min="14329" max="14329" width="20.3125" style="141" customWidth="1"/>
    <col min="14330" max="14330" width="18.1875" style="141" customWidth="1"/>
    <col min="14331" max="14331" width="14.375" style="141" customWidth="1"/>
    <col min="14332" max="14332" width="14.125" style="141" customWidth="1"/>
    <col min="14333" max="14333" width="11.3125" style="141" customWidth="1"/>
    <col min="14334" max="14578" width="9" style="141"/>
    <col min="14579" max="14579" width="10.6875" style="141" customWidth="1"/>
    <col min="14580" max="14580" width="9" style="141"/>
    <col min="14581" max="14581" width="10.875" style="141" customWidth="1"/>
    <col min="14582" max="14582" width="16" style="141" customWidth="1"/>
    <col min="14583" max="14583" width="27" style="141" customWidth="1"/>
    <col min="14584" max="14584" width="14.6875" style="141" customWidth="1"/>
    <col min="14585" max="14585" width="20.3125" style="141" customWidth="1"/>
    <col min="14586" max="14586" width="18.1875" style="141" customWidth="1"/>
    <col min="14587" max="14587" width="14.375" style="141" customWidth="1"/>
    <col min="14588" max="14588" width="14.125" style="141" customWidth="1"/>
    <col min="14589" max="14589" width="11.3125" style="141" customWidth="1"/>
    <col min="14590" max="14834" width="9" style="141"/>
    <col min="14835" max="14835" width="10.6875" style="141" customWidth="1"/>
    <col min="14836" max="14836" width="9" style="141"/>
    <col min="14837" max="14837" width="10.875" style="141" customWidth="1"/>
    <col min="14838" max="14838" width="16" style="141" customWidth="1"/>
    <col min="14839" max="14839" width="27" style="141" customWidth="1"/>
    <col min="14840" max="14840" width="14.6875" style="141" customWidth="1"/>
    <col min="14841" max="14841" width="20.3125" style="141" customWidth="1"/>
    <col min="14842" max="14842" width="18.1875" style="141" customWidth="1"/>
    <col min="14843" max="14843" width="14.375" style="141" customWidth="1"/>
    <col min="14844" max="14844" width="14.125" style="141" customWidth="1"/>
    <col min="14845" max="14845" width="11.3125" style="141" customWidth="1"/>
    <col min="14846" max="15090" width="9" style="141"/>
    <col min="15091" max="15091" width="10.6875" style="141" customWidth="1"/>
    <col min="15092" max="15092" width="9" style="141"/>
    <col min="15093" max="15093" width="10.875" style="141" customWidth="1"/>
    <col min="15094" max="15094" width="16" style="141" customWidth="1"/>
    <col min="15095" max="15095" width="27" style="141" customWidth="1"/>
    <col min="15096" max="15096" width="14.6875" style="141" customWidth="1"/>
    <col min="15097" max="15097" width="20.3125" style="141" customWidth="1"/>
    <col min="15098" max="15098" width="18.1875" style="141" customWidth="1"/>
    <col min="15099" max="15099" width="14.375" style="141" customWidth="1"/>
    <col min="15100" max="15100" width="14.125" style="141" customWidth="1"/>
    <col min="15101" max="15101" width="11.3125" style="141" customWidth="1"/>
    <col min="15102" max="15346" width="9" style="141"/>
    <col min="15347" max="15347" width="10.6875" style="141" customWidth="1"/>
    <col min="15348" max="15348" width="9" style="141"/>
    <col min="15349" max="15349" width="10.875" style="141" customWidth="1"/>
    <col min="15350" max="15350" width="16" style="141" customWidth="1"/>
    <col min="15351" max="15351" width="27" style="141" customWidth="1"/>
    <col min="15352" max="15352" width="14.6875" style="141" customWidth="1"/>
    <col min="15353" max="15353" width="20.3125" style="141" customWidth="1"/>
    <col min="15354" max="15354" width="18.1875" style="141" customWidth="1"/>
    <col min="15355" max="15355" width="14.375" style="141" customWidth="1"/>
    <col min="15356" max="15356" width="14.125" style="141" customWidth="1"/>
    <col min="15357" max="15357" width="11.3125" style="141" customWidth="1"/>
    <col min="15358" max="15602" width="9" style="141"/>
    <col min="15603" max="15603" width="10.6875" style="141" customWidth="1"/>
    <col min="15604" max="15604" width="9" style="141"/>
    <col min="15605" max="15605" width="10.875" style="141" customWidth="1"/>
    <col min="15606" max="15606" width="16" style="141" customWidth="1"/>
    <col min="15607" max="15607" width="27" style="141" customWidth="1"/>
    <col min="15608" max="15608" width="14.6875" style="141" customWidth="1"/>
    <col min="15609" max="15609" width="20.3125" style="141" customWidth="1"/>
    <col min="15610" max="15610" width="18.1875" style="141" customWidth="1"/>
    <col min="15611" max="15611" width="14.375" style="141" customWidth="1"/>
    <col min="15612" max="15612" width="14.125" style="141" customWidth="1"/>
    <col min="15613" max="15613" width="11.3125" style="141" customWidth="1"/>
    <col min="15614" max="15858" width="9" style="141"/>
    <col min="15859" max="15859" width="10.6875" style="141" customWidth="1"/>
    <col min="15860" max="15860" width="9" style="141"/>
    <col min="15861" max="15861" width="10.875" style="141" customWidth="1"/>
    <col min="15862" max="15862" width="16" style="141" customWidth="1"/>
    <col min="15863" max="15863" width="27" style="141" customWidth="1"/>
    <col min="15864" max="15864" width="14.6875" style="141" customWidth="1"/>
    <col min="15865" max="15865" width="20.3125" style="141" customWidth="1"/>
    <col min="15866" max="15866" width="18.1875" style="141" customWidth="1"/>
    <col min="15867" max="15867" width="14.375" style="141" customWidth="1"/>
    <col min="15868" max="15868" width="14.125" style="141" customWidth="1"/>
    <col min="15869" max="15869" width="11.3125" style="141" customWidth="1"/>
    <col min="15870" max="16114" width="9" style="141"/>
    <col min="16115" max="16115" width="10.6875" style="141" customWidth="1"/>
    <col min="16116" max="16116" width="9" style="141"/>
    <col min="16117" max="16117" width="10.875" style="141" customWidth="1"/>
    <col min="16118" max="16118" width="16" style="141" customWidth="1"/>
    <col min="16119" max="16119" width="27" style="141" customWidth="1"/>
    <col min="16120" max="16120" width="14.6875" style="141" customWidth="1"/>
    <col min="16121" max="16121" width="20.3125" style="141" customWidth="1"/>
    <col min="16122" max="16122" width="18.1875" style="141" customWidth="1"/>
    <col min="16123" max="16123" width="14.375" style="141" customWidth="1"/>
    <col min="16124" max="16124" width="14.125" style="141" customWidth="1"/>
    <col min="16125" max="16125" width="11.3125" style="141" customWidth="1"/>
    <col min="16126" max="16372" width="9" style="141"/>
    <col min="16373" max="16374" width="9" style="141" customWidth="1"/>
    <col min="16375" max="16384" width="9" style="141"/>
  </cols>
  <sheetData>
    <row r="1" spans="1:9" ht="38.450000000000003" customHeight="1" x14ac:dyDescent="0.6">
      <c r="A1" s="314" t="s">
        <v>235</v>
      </c>
      <c r="B1" s="314"/>
      <c r="C1" s="314"/>
      <c r="D1" s="314"/>
      <c r="E1" s="314"/>
      <c r="F1" s="314"/>
      <c r="G1" s="314"/>
      <c r="H1" s="314"/>
      <c r="I1" s="140"/>
    </row>
    <row r="2" spans="1:9" ht="19.25" customHeight="1" x14ac:dyDescent="0.6">
      <c r="A2" s="142" t="s">
        <v>55</v>
      </c>
      <c r="B2" s="143" t="s">
        <v>56</v>
      </c>
      <c r="C2" s="143" t="s">
        <v>57</v>
      </c>
      <c r="D2" s="144" t="s">
        <v>58</v>
      </c>
      <c r="E2" s="143" t="s">
        <v>59</v>
      </c>
      <c r="F2" s="143" t="s">
        <v>60</v>
      </c>
      <c r="G2" s="143" t="s">
        <v>61</v>
      </c>
      <c r="H2" s="143" t="s">
        <v>62</v>
      </c>
      <c r="I2" s="142" t="s">
        <v>47</v>
      </c>
    </row>
    <row r="3" spans="1:9" ht="19.25" customHeight="1" x14ac:dyDescent="0.6">
      <c r="A3" s="145">
        <f t="shared" ref="A3:A28" si="0">ROW()-2</f>
        <v>1</v>
      </c>
      <c r="B3" s="156" t="s">
        <v>63</v>
      </c>
      <c r="C3" s="57" t="s">
        <v>64</v>
      </c>
      <c r="D3" s="215">
        <v>125000</v>
      </c>
      <c r="E3" s="146">
        <f t="shared" ref="E3:E28" si="1">ROUNDDOWN(D3*0.9%,-1)</f>
        <v>1120</v>
      </c>
      <c r="F3" s="146"/>
      <c r="G3" s="146">
        <f t="shared" ref="G3:G23" si="2">D3-E3-F3</f>
        <v>123880</v>
      </c>
      <c r="H3" s="146">
        <f t="shared" ref="H3:H23" si="3">ROUND(D3*1.06%,-1)</f>
        <v>1330</v>
      </c>
      <c r="I3" s="147">
        <f t="shared" ref="I3:I23" si="4">IF(D3&lt;130000,1,IF(D3&lt;220000,2,IF(D3&lt;350000,3,IF(D3&lt;450000,4,IF(D3&lt;660000,5,IF(D3&lt;770000,6,7))))))</f>
        <v>1</v>
      </c>
    </row>
    <row r="4" spans="1:9" ht="19.25" customHeight="1" x14ac:dyDescent="0.6">
      <c r="A4" s="145">
        <f t="shared" si="0"/>
        <v>2</v>
      </c>
      <c r="B4" s="156" t="s">
        <v>199</v>
      </c>
      <c r="C4" s="57" t="s">
        <v>218</v>
      </c>
      <c r="D4" s="215">
        <v>250000</v>
      </c>
      <c r="E4" s="146">
        <f t="shared" si="1"/>
        <v>2250</v>
      </c>
      <c r="F4" s="146"/>
      <c r="G4" s="146">
        <f t="shared" si="2"/>
        <v>247750</v>
      </c>
      <c r="H4" s="146">
        <f t="shared" si="3"/>
        <v>2650</v>
      </c>
      <c r="I4" s="147">
        <f t="shared" si="4"/>
        <v>3</v>
      </c>
    </row>
    <row r="5" spans="1:9" ht="19.25" customHeight="1" x14ac:dyDescent="0.6">
      <c r="A5" s="145">
        <f t="shared" si="0"/>
        <v>3</v>
      </c>
      <c r="B5" s="156" t="s">
        <v>200</v>
      </c>
      <c r="C5" s="57" t="s">
        <v>219</v>
      </c>
      <c r="D5" s="215">
        <v>180000</v>
      </c>
      <c r="E5" s="146">
        <f t="shared" si="1"/>
        <v>1620</v>
      </c>
      <c r="F5" s="146"/>
      <c r="G5" s="146">
        <f t="shared" si="2"/>
        <v>178380</v>
      </c>
      <c r="H5" s="146">
        <f t="shared" si="3"/>
        <v>1910</v>
      </c>
      <c r="I5" s="147">
        <f t="shared" si="4"/>
        <v>2</v>
      </c>
    </row>
    <row r="6" spans="1:9" ht="19.25" customHeight="1" x14ac:dyDescent="0.6">
      <c r="A6" s="145">
        <f t="shared" si="0"/>
        <v>4</v>
      </c>
      <c r="B6" s="156" t="s">
        <v>201</v>
      </c>
      <c r="C6" s="57" t="s">
        <v>220</v>
      </c>
      <c r="D6" s="215">
        <v>135000</v>
      </c>
      <c r="E6" s="146">
        <f t="shared" si="1"/>
        <v>1210</v>
      </c>
      <c r="F6" s="146"/>
      <c r="G6" s="146">
        <f t="shared" si="2"/>
        <v>133790</v>
      </c>
      <c r="H6" s="146">
        <f t="shared" si="3"/>
        <v>1430</v>
      </c>
      <c r="I6" s="147">
        <f t="shared" si="4"/>
        <v>2</v>
      </c>
    </row>
    <row r="7" spans="1:9" ht="19.25" customHeight="1" x14ac:dyDescent="0.6">
      <c r="A7" s="145">
        <f t="shared" si="0"/>
        <v>5</v>
      </c>
      <c r="B7" s="156" t="s">
        <v>202</v>
      </c>
      <c r="C7" s="57" t="s">
        <v>221</v>
      </c>
      <c r="D7" s="215">
        <v>125000</v>
      </c>
      <c r="E7" s="146">
        <f t="shared" si="1"/>
        <v>1120</v>
      </c>
      <c r="F7" s="146"/>
      <c r="G7" s="146">
        <f t="shared" si="2"/>
        <v>123880</v>
      </c>
      <c r="H7" s="146">
        <f t="shared" si="3"/>
        <v>1330</v>
      </c>
      <c r="I7" s="147">
        <f t="shared" si="4"/>
        <v>1</v>
      </c>
    </row>
    <row r="8" spans="1:9" ht="19.25" customHeight="1" x14ac:dyDescent="0.6">
      <c r="A8" s="145">
        <f t="shared" si="0"/>
        <v>6</v>
      </c>
      <c r="B8" s="156" t="s">
        <v>203</v>
      </c>
      <c r="C8" s="57" t="s">
        <v>217</v>
      </c>
      <c r="D8" s="215">
        <v>650000</v>
      </c>
      <c r="E8" s="146">
        <f t="shared" si="1"/>
        <v>5850</v>
      </c>
      <c r="F8" s="146"/>
      <c r="G8" s="146">
        <f t="shared" si="2"/>
        <v>644150</v>
      </c>
      <c r="H8" s="146">
        <f t="shared" si="3"/>
        <v>6890</v>
      </c>
      <c r="I8" s="147">
        <f t="shared" si="4"/>
        <v>5</v>
      </c>
    </row>
    <row r="9" spans="1:9" ht="19.25" customHeight="1" x14ac:dyDescent="0.6">
      <c r="A9" s="145">
        <f t="shared" si="0"/>
        <v>7</v>
      </c>
      <c r="B9" s="157" t="s">
        <v>204</v>
      </c>
      <c r="C9" s="57" t="s">
        <v>222</v>
      </c>
      <c r="D9" s="215">
        <v>650000</v>
      </c>
      <c r="E9" s="146">
        <f t="shared" si="1"/>
        <v>5850</v>
      </c>
      <c r="F9" s="146"/>
      <c r="G9" s="146">
        <f t="shared" si="2"/>
        <v>644150</v>
      </c>
      <c r="H9" s="146">
        <f t="shared" si="3"/>
        <v>6890</v>
      </c>
      <c r="I9" s="147">
        <f t="shared" si="4"/>
        <v>5</v>
      </c>
    </row>
    <row r="10" spans="1:9" ht="19.25" customHeight="1" x14ac:dyDescent="0.6">
      <c r="A10" s="145">
        <f t="shared" si="0"/>
        <v>8</v>
      </c>
      <c r="B10" s="157" t="s">
        <v>205</v>
      </c>
      <c r="C10" s="57" t="s">
        <v>223</v>
      </c>
      <c r="D10" s="215">
        <v>60000</v>
      </c>
      <c r="E10" s="146">
        <f t="shared" si="1"/>
        <v>540</v>
      </c>
      <c r="F10" s="146"/>
      <c r="G10" s="146">
        <f t="shared" si="2"/>
        <v>59460</v>
      </c>
      <c r="H10" s="146">
        <f t="shared" si="3"/>
        <v>640</v>
      </c>
      <c r="I10" s="147">
        <f t="shared" si="4"/>
        <v>1</v>
      </c>
    </row>
    <row r="11" spans="1:9" ht="19.25" customHeight="1" x14ac:dyDescent="0.6">
      <c r="A11" s="145">
        <f t="shared" si="0"/>
        <v>9</v>
      </c>
      <c r="B11" s="157" t="s">
        <v>51</v>
      </c>
      <c r="C11" s="57" t="s">
        <v>53</v>
      </c>
      <c r="D11" s="215">
        <v>890000</v>
      </c>
      <c r="E11" s="146">
        <f t="shared" si="1"/>
        <v>8010</v>
      </c>
      <c r="F11" s="146"/>
      <c r="G11" s="146">
        <f t="shared" si="2"/>
        <v>881990</v>
      </c>
      <c r="H11" s="146">
        <f t="shared" si="3"/>
        <v>9430</v>
      </c>
      <c r="I11" s="147">
        <f t="shared" si="4"/>
        <v>7</v>
      </c>
    </row>
    <row r="12" spans="1:9" ht="19.25" customHeight="1" x14ac:dyDescent="0.6">
      <c r="A12" s="145">
        <f t="shared" si="0"/>
        <v>10</v>
      </c>
      <c r="B12" s="157" t="s">
        <v>65</v>
      </c>
      <c r="C12" s="57" t="s">
        <v>66</v>
      </c>
      <c r="D12" s="215">
        <v>625000</v>
      </c>
      <c r="E12" s="146">
        <f t="shared" si="1"/>
        <v>5620</v>
      </c>
      <c r="F12" s="146"/>
      <c r="G12" s="146">
        <f t="shared" si="2"/>
        <v>619380</v>
      </c>
      <c r="H12" s="146">
        <f t="shared" si="3"/>
        <v>6630</v>
      </c>
      <c r="I12" s="147">
        <f t="shared" si="4"/>
        <v>5</v>
      </c>
    </row>
    <row r="13" spans="1:9" ht="19.25" customHeight="1" x14ac:dyDescent="0.6">
      <c r="A13" s="145">
        <f t="shared" si="0"/>
        <v>11</v>
      </c>
      <c r="B13" s="157" t="s">
        <v>67</v>
      </c>
      <c r="C13" s="57" t="s">
        <v>68</v>
      </c>
      <c r="D13" s="215">
        <v>910000</v>
      </c>
      <c r="E13" s="146">
        <f t="shared" si="1"/>
        <v>8190</v>
      </c>
      <c r="F13" s="146"/>
      <c r="G13" s="146">
        <f t="shared" si="2"/>
        <v>901810</v>
      </c>
      <c r="H13" s="146">
        <f t="shared" si="3"/>
        <v>9650</v>
      </c>
      <c r="I13" s="147">
        <f t="shared" si="4"/>
        <v>7</v>
      </c>
    </row>
    <row r="14" spans="1:9" ht="19.25" customHeight="1" x14ac:dyDescent="0.6">
      <c r="A14" s="145">
        <f t="shared" si="0"/>
        <v>12</v>
      </c>
      <c r="B14" s="157" t="s">
        <v>206</v>
      </c>
      <c r="C14" s="57" t="s">
        <v>224</v>
      </c>
      <c r="D14" s="215">
        <v>720000</v>
      </c>
      <c r="E14" s="146">
        <f t="shared" si="1"/>
        <v>6480</v>
      </c>
      <c r="F14" s="146"/>
      <c r="G14" s="146">
        <f t="shared" si="2"/>
        <v>713520</v>
      </c>
      <c r="H14" s="146">
        <f t="shared" si="3"/>
        <v>7630</v>
      </c>
      <c r="I14" s="147">
        <f t="shared" si="4"/>
        <v>6</v>
      </c>
    </row>
    <row r="15" spans="1:9" ht="19.25" customHeight="1" x14ac:dyDescent="0.6">
      <c r="A15" s="145">
        <f t="shared" si="0"/>
        <v>13</v>
      </c>
      <c r="B15" s="157" t="s">
        <v>69</v>
      </c>
      <c r="C15" s="57" t="s">
        <v>70</v>
      </c>
      <c r="D15" s="215">
        <v>180000</v>
      </c>
      <c r="E15" s="146">
        <f t="shared" si="1"/>
        <v>1620</v>
      </c>
      <c r="F15" s="146"/>
      <c r="G15" s="146">
        <f t="shared" si="2"/>
        <v>178380</v>
      </c>
      <c r="H15" s="146">
        <f t="shared" si="3"/>
        <v>1910</v>
      </c>
      <c r="I15" s="147">
        <f t="shared" si="4"/>
        <v>2</v>
      </c>
    </row>
    <row r="16" spans="1:9" ht="19.25" customHeight="1" x14ac:dyDescent="0.6">
      <c r="A16" s="145">
        <f t="shared" si="0"/>
        <v>14</v>
      </c>
      <c r="B16" s="57" t="s">
        <v>207</v>
      </c>
      <c r="C16" s="57" t="s">
        <v>225</v>
      </c>
      <c r="D16" s="215">
        <v>60000</v>
      </c>
      <c r="E16" s="146">
        <f t="shared" si="1"/>
        <v>540</v>
      </c>
      <c r="F16" s="146"/>
      <c r="G16" s="146">
        <f t="shared" si="2"/>
        <v>59460</v>
      </c>
      <c r="H16" s="146">
        <f t="shared" si="3"/>
        <v>640</v>
      </c>
      <c r="I16" s="147">
        <f t="shared" si="4"/>
        <v>1</v>
      </c>
    </row>
    <row r="17" spans="1:9" ht="19.25" customHeight="1" x14ac:dyDescent="0.6">
      <c r="A17" s="145">
        <f t="shared" si="0"/>
        <v>15</v>
      </c>
      <c r="B17" s="57" t="s">
        <v>208</v>
      </c>
      <c r="C17" s="57" t="s">
        <v>226</v>
      </c>
      <c r="D17" s="215">
        <v>180000</v>
      </c>
      <c r="E17" s="146">
        <f t="shared" si="1"/>
        <v>1620</v>
      </c>
      <c r="F17" s="146"/>
      <c r="G17" s="146">
        <f t="shared" si="2"/>
        <v>178380</v>
      </c>
      <c r="H17" s="146">
        <f t="shared" si="3"/>
        <v>1910</v>
      </c>
      <c r="I17" s="147">
        <f t="shared" si="4"/>
        <v>2</v>
      </c>
    </row>
    <row r="18" spans="1:9" ht="19.25" customHeight="1" x14ac:dyDescent="0.6">
      <c r="A18" s="145">
        <f t="shared" si="0"/>
        <v>16</v>
      </c>
      <c r="B18" s="57" t="s">
        <v>209</v>
      </c>
      <c r="C18" s="57" t="s">
        <v>227</v>
      </c>
      <c r="D18" s="215">
        <v>125000</v>
      </c>
      <c r="E18" s="146">
        <f t="shared" si="1"/>
        <v>1120</v>
      </c>
      <c r="F18" s="146"/>
      <c r="G18" s="146">
        <f t="shared" si="2"/>
        <v>123880</v>
      </c>
      <c r="H18" s="146">
        <f t="shared" si="3"/>
        <v>1330</v>
      </c>
      <c r="I18" s="147">
        <f t="shared" si="4"/>
        <v>1</v>
      </c>
    </row>
    <row r="19" spans="1:9" ht="19.25" customHeight="1" x14ac:dyDescent="0.6">
      <c r="A19" s="145">
        <f t="shared" si="0"/>
        <v>17</v>
      </c>
      <c r="B19" s="57" t="s">
        <v>210</v>
      </c>
      <c r="C19" s="57" t="s">
        <v>228</v>
      </c>
      <c r="D19" s="215">
        <v>70000</v>
      </c>
      <c r="E19" s="146">
        <f t="shared" si="1"/>
        <v>630</v>
      </c>
      <c r="F19" s="146"/>
      <c r="G19" s="146">
        <f t="shared" si="2"/>
        <v>69370</v>
      </c>
      <c r="H19" s="146">
        <f t="shared" si="3"/>
        <v>740</v>
      </c>
      <c r="I19" s="147">
        <f t="shared" si="4"/>
        <v>1</v>
      </c>
    </row>
    <row r="20" spans="1:9" ht="19.25" customHeight="1" x14ac:dyDescent="0.6">
      <c r="A20" s="145">
        <f t="shared" si="0"/>
        <v>18</v>
      </c>
      <c r="B20" s="57" t="s">
        <v>211</v>
      </c>
      <c r="C20" s="57" t="s">
        <v>229</v>
      </c>
      <c r="D20" s="215">
        <v>180000</v>
      </c>
      <c r="E20" s="146">
        <f t="shared" si="1"/>
        <v>1620</v>
      </c>
      <c r="F20" s="146"/>
      <c r="G20" s="146">
        <f t="shared" si="2"/>
        <v>178380</v>
      </c>
      <c r="H20" s="146">
        <f t="shared" si="3"/>
        <v>1910</v>
      </c>
      <c r="I20" s="147">
        <f t="shared" si="4"/>
        <v>2</v>
      </c>
    </row>
    <row r="21" spans="1:9" ht="19.25" customHeight="1" x14ac:dyDescent="0.6">
      <c r="A21" s="145">
        <f t="shared" si="0"/>
        <v>19</v>
      </c>
      <c r="B21" s="57" t="s">
        <v>71</v>
      </c>
      <c r="C21" s="57" t="s">
        <v>72</v>
      </c>
      <c r="D21" s="215">
        <v>500000</v>
      </c>
      <c r="E21" s="146">
        <f t="shared" si="1"/>
        <v>4500</v>
      </c>
      <c r="F21" s="146"/>
      <c r="G21" s="146">
        <f t="shared" si="2"/>
        <v>495500</v>
      </c>
      <c r="H21" s="146">
        <f t="shared" si="3"/>
        <v>5300</v>
      </c>
      <c r="I21" s="147">
        <f t="shared" si="4"/>
        <v>5</v>
      </c>
    </row>
    <row r="22" spans="1:9" ht="19.25" customHeight="1" x14ac:dyDescent="0.6">
      <c r="A22" s="145">
        <f t="shared" si="0"/>
        <v>20</v>
      </c>
      <c r="B22" s="57" t="s">
        <v>212</v>
      </c>
      <c r="C22" s="57" t="s">
        <v>230</v>
      </c>
      <c r="D22" s="215">
        <v>270000</v>
      </c>
      <c r="E22" s="146">
        <f t="shared" si="1"/>
        <v>2430</v>
      </c>
      <c r="F22" s="146"/>
      <c r="G22" s="146">
        <f t="shared" si="2"/>
        <v>267570</v>
      </c>
      <c r="H22" s="146">
        <f t="shared" si="3"/>
        <v>2860</v>
      </c>
      <c r="I22" s="147">
        <f t="shared" si="4"/>
        <v>3</v>
      </c>
    </row>
    <row r="23" spans="1:9" ht="19.25" customHeight="1" x14ac:dyDescent="0.6">
      <c r="A23" s="145">
        <f t="shared" si="0"/>
        <v>21</v>
      </c>
      <c r="B23" s="57" t="s">
        <v>213</v>
      </c>
      <c r="C23" s="57" t="s">
        <v>231</v>
      </c>
      <c r="D23" s="215">
        <v>220000</v>
      </c>
      <c r="E23" s="146">
        <f t="shared" si="1"/>
        <v>1980</v>
      </c>
      <c r="F23" s="146"/>
      <c r="G23" s="146">
        <f t="shared" si="2"/>
        <v>218020</v>
      </c>
      <c r="H23" s="146">
        <f t="shared" si="3"/>
        <v>2330</v>
      </c>
      <c r="I23" s="147">
        <f t="shared" si="4"/>
        <v>3</v>
      </c>
    </row>
    <row r="24" spans="1:9" ht="19.25" customHeight="1" x14ac:dyDescent="0.6">
      <c r="A24" s="145">
        <f t="shared" si="0"/>
        <v>22</v>
      </c>
      <c r="B24" s="57" t="s">
        <v>214</v>
      </c>
      <c r="C24" s="57" t="s">
        <v>232</v>
      </c>
      <c r="D24" s="215">
        <v>55000</v>
      </c>
      <c r="E24" s="146">
        <f t="shared" si="1"/>
        <v>490</v>
      </c>
      <c r="F24" s="146"/>
      <c r="G24" s="146">
        <f t="shared" ref="G24:G28" si="5">D24-E24-F24</f>
        <v>54510</v>
      </c>
      <c r="H24" s="146">
        <f t="shared" ref="H24:H28" si="6">ROUND(D24*1.06%,-1)</f>
        <v>580</v>
      </c>
      <c r="I24" s="147">
        <f t="shared" ref="I24:I28" si="7">IF(D24&lt;130000,1,IF(D24&lt;220000,2,IF(D24&lt;350000,3,IF(D24&lt;450000,4,IF(D24&lt;660000,5,IF(D24&lt;770000,6,7))))))</f>
        <v>1</v>
      </c>
    </row>
    <row r="25" spans="1:9" ht="19.25" customHeight="1" x14ac:dyDescent="0.6">
      <c r="A25" s="145">
        <f t="shared" si="0"/>
        <v>23</v>
      </c>
      <c r="B25" s="57" t="s">
        <v>74</v>
      </c>
      <c r="C25" s="57" t="s">
        <v>73</v>
      </c>
      <c r="D25" s="215">
        <v>360000</v>
      </c>
      <c r="E25" s="146">
        <f t="shared" si="1"/>
        <v>3240</v>
      </c>
      <c r="F25" s="146"/>
      <c r="G25" s="146">
        <f t="shared" si="5"/>
        <v>356760</v>
      </c>
      <c r="H25" s="146">
        <f t="shared" si="6"/>
        <v>3820</v>
      </c>
      <c r="I25" s="147">
        <f t="shared" si="7"/>
        <v>4</v>
      </c>
    </row>
    <row r="26" spans="1:9" ht="19.25" customHeight="1" x14ac:dyDescent="0.6">
      <c r="A26" s="145">
        <f t="shared" si="0"/>
        <v>24</v>
      </c>
      <c r="B26" s="57" t="s">
        <v>215</v>
      </c>
      <c r="C26" s="57" t="s">
        <v>233</v>
      </c>
      <c r="D26" s="215">
        <v>135000</v>
      </c>
      <c r="E26" s="146">
        <f t="shared" si="1"/>
        <v>1210</v>
      </c>
      <c r="F26" s="146"/>
      <c r="G26" s="146">
        <f t="shared" si="5"/>
        <v>133790</v>
      </c>
      <c r="H26" s="146">
        <f t="shared" si="6"/>
        <v>1430</v>
      </c>
      <c r="I26" s="147">
        <f t="shared" si="7"/>
        <v>2</v>
      </c>
    </row>
    <row r="27" spans="1:9" ht="19.25" customHeight="1" x14ac:dyDescent="0.6">
      <c r="A27" s="145">
        <f t="shared" si="0"/>
        <v>25</v>
      </c>
      <c r="B27" s="57" t="s">
        <v>216</v>
      </c>
      <c r="C27" s="57" t="s">
        <v>234</v>
      </c>
      <c r="D27" s="215">
        <v>55000</v>
      </c>
      <c r="E27" s="146">
        <f t="shared" si="1"/>
        <v>490</v>
      </c>
      <c r="F27" s="146"/>
      <c r="G27" s="146">
        <f t="shared" si="5"/>
        <v>54510</v>
      </c>
      <c r="H27" s="146">
        <f t="shared" si="6"/>
        <v>580</v>
      </c>
      <c r="I27" s="147">
        <f t="shared" si="7"/>
        <v>1</v>
      </c>
    </row>
    <row r="28" spans="1:9" ht="19.25" customHeight="1" x14ac:dyDescent="0.6">
      <c r="A28" s="145">
        <f t="shared" si="0"/>
        <v>26</v>
      </c>
      <c r="B28" s="57" t="s">
        <v>75</v>
      </c>
      <c r="C28" s="57" t="s">
        <v>76</v>
      </c>
      <c r="D28" s="215">
        <v>1155000</v>
      </c>
      <c r="E28" s="146">
        <f t="shared" si="1"/>
        <v>10390</v>
      </c>
      <c r="F28" s="146"/>
      <c r="G28" s="146">
        <f t="shared" si="5"/>
        <v>1144610</v>
      </c>
      <c r="H28" s="146">
        <f t="shared" si="6"/>
        <v>12240</v>
      </c>
      <c r="I28" s="147">
        <f t="shared" si="7"/>
        <v>7</v>
      </c>
    </row>
    <row r="29" spans="1:9" ht="19.25" hidden="1" customHeight="1" x14ac:dyDescent="0.6">
      <c r="A29" s="145"/>
      <c r="B29" s="57"/>
      <c r="C29" s="57"/>
      <c r="D29" s="146"/>
      <c r="E29" s="146"/>
      <c r="F29" s="146"/>
      <c r="G29" s="146"/>
      <c r="H29" s="146"/>
      <c r="I29" s="147"/>
    </row>
    <row r="30" spans="1:9" ht="19.25" hidden="1" customHeight="1" x14ac:dyDescent="0.6">
      <c r="A30" s="145"/>
      <c r="B30" s="57"/>
      <c r="C30" s="57"/>
      <c r="D30" s="146"/>
      <c r="E30" s="146"/>
      <c r="F30" s="146"/>
      <c r="G30" s="146"/>
      <c r="H30" s="146"/>
      <c r="I30" s="147"/>
    </row>
    <row r="31" spans="1:9" ht="19.25" hidden="1" customHeight="1" x14ac:dyDescent="0.6">
      <c r="A31" s="145"/>
      <c r="B31" s="57"/>
      <c r="C31" s="57"/>
      <c r="D31" s="146"/>
      <c r="E31" s="146"/>
      <c r="F31" s="146"/>
      <c r="G31" s="146"/>
      <c r="H31" s="146"/>
      <c r="I31" s="147"/>
    </row>
    <row r="32" spans="1:9" ht="19.25" hidden="1" customHeight="1" x14ac:dyDescent="0.6">
      <c r="A32" s="145"/>
      <c r="B32" s="57"/>
      <c r="C32" s="57"/>
      <c r="D32" s="146"/>
      <c r="E32" s="146"/>
      <c r="F32" s="146"/>
      <c r="G32" s="146"/>
      <c r="H32" s="146"/>
      <c r="I32" s="147"/>
    </row>
    <row r="33" spans="1:9" ht="19.25" hidden="1" customHeight="1" x14ac:dyDescent="0.6">
      <c r="A33" s="145"/>
      <c r="B33" s="57"/>
      <c r="C33" s="57"/>
      <c r="D33" s="146"/>
      <c r="E33" s="146"/>
      <c r="F33" s="146"/>
      <c r="G33" s="146"/>
      <c r="H33" s="146"/>
      <c r="I33" s="147"/>
    </row>
    <row r="34" spans="1:9" ht="19.25" hidden="1" customHeight="1" x14ac:dyDescent="0.6">
      <c r="A34" s="145"/>
      <c r="B34" s="57"/>
      <c r="C34" s="57"/>
      <c r="D34" s="146"/>
      <c r="E34" s="146"/>
      <c r="F34" s="146"/>
      <c r="G34" s="146"/>
      <c r="H34" s="146"/>
      <c r="I34" s="147"/>
    </row>
    <row r="35" spans="1:9" ht="19.25" hidden="1" customHeight="1" x14ac:dyDescent="0.6">
      <c r="A35" s="145"/>
      <c r="B35" s="57"/>
      <c r="C35" s="57"/>
      <c r="D35" s="146"/>
      <c r="E35" s="146"/>
      <c r="F35" s="146"/>
      <c r="G35" s="146"/>
      <c r="H35" s="146"/>
      <c r="I35" s="147"/>
    </row>
    <row r="36" spans="1:9" ht="19.25" hidden="1" customHeight="1" x14ac:dyDescent="0.6">
      <c r="A36" s="145"/>
      <c r="B36" s="57"/>
      <c r="C36" s="57"/>
      <c r="D36" s="146"/>
      <c r="E36" s="146"/>
      <c r="F36" s="146"/>
      <c r="G36" s="146"/>
      <c r="H36" s="146"/>
      <c r="I36" s="147"/>
    </row>
    <row r="37" spans="1:9" ht="19.25" hidden="1" customHeight="1" x14ac:dyDescent="0.6">
      <c r="A37" s="145"/>
      <c r="B37" s="57"/>
      <c r="C37" s="57"/>
      <c r="D37" s="146"/>
      <c r="E37" s="146"/>
      <c r="F37" s="146"/>
      <c r="G37" s="146"/>
      <c r="H37" s="146"/>
      <c r="I37" s="147"/>
    </row>
    <row r="38" spans="1:9" ht="19.25" hidden="1" customHeight="1" x14ac:dyDescent="0.6">
      <c r="A38" s="145"/>
      <c r="B38" s="57"/>
      <c r="C38" s="57"/>
      <c r="D38" s="146"/>
      <c r="E38" s="146"/>
      <c r="F38" s="146"/>
      <c r="G38" s="146"/>
      <c r="H38" s="146"/>
      <c r="I38" s="147"/>
    </row>
    <row r="39" spans="1:9" ht="19.25" hidden="1" customHeight="1" x14ac:dyDescent="0.6">
      <c r="A39" s="145"/>
      <c r="B39" s="57"/>
      <c r="C39" s="57"/>
      <c r="D39" s="146"/>
      <c r="E39" s="146"/>
      <c r="F39" s="146"/>
      <c r="G39" s="146"/>
      <c r="H39" s="146"/>
      <c r="I39" s="147"/>
    </row>
    <row r="40" spans="1:9" ht="19.25" hidden="1" customHeight="1" x14ac:dyDescent="0.6">
      <c r="A40" s="145"/>
      <c r="B40" s="57"/>
      <c r="C40" s="57"/>
      <c r="D40" s="146"/>
      <c r="E40" s="146"/>
      <c r="F40" s="146"/>
      <c r="G40" s="146"/>
      <c r="H40" s="146"/>
      <c r="I40" s="147"/>
    </row>
    <row r="41" spans="1:9" ht="19.25" hidden="1" customHeight="1" x14ac:dyDescent="0.6">
      <c r="A41" s="145"/>
      <c r="B41" s="57"/>
      <c r="C41" s="57"/>
      <c r="D41" s="146"/>
      <c r="E41" s="146"/>
      <c r="F41" s="146"/>
      <c r="G41" s="146"/>
      <c r="H41" s="146"/>
      <c r="I41" s="147"/>
    </row>
    <row r="42" spans="1:9" ht="19.25" hidden="1" customHeight="1" x14ac:dyDescent="0.6">
      <c r="A42" s="145"/>
      <c r="B42" s="57"/>
      <c r="C42" s="57"/>
      <c r="D42" s="146"/>
      <c r="E42" s="146"/>
      <c r="F42" s="146"/>
      <c r="G42" s="146"/>
      <c r="H42" s="146"/>
      <c r="I42" s="147"/>
    </row>
    <row r="43" spans="1:9" ht="19.25" hidden="1" customHeight="1" x14ac:dyDescent="0.6">
      <c r="A43" s="145"/>
      <c r="B43" s="57"/>
      <c r="C43" s="57"/>
      <c r="D43" s="146"/>
      <c r="E43" s="146"/>
      <c r="F43" s="146"/>
      <c r="G43" s="146"/>
      <c r="H43" s="146"/>
      <c r="I43" s="147"/>
    </row>
    <row r="44" spans="1:9" ht="19.25" hidden="1" customHeight="1" x14ac:dyDescent="0.6">
      <c r="A44" s="145"/>
      <c r="B44" s="57"/>
      <c r="C44" s="57"/>
      <c r="D44" s="146"/>
      <c r="E44" s="146"/>
      <c r="F44" s="146"/>
      <c r="G44" s="146"/>
      <c r="H44" s="146"/>
      <c r="I44" s="147"/>
    </row>
    <row r="45" spans="1:9" ht="19.25" hidden="1" customHeight="1" x14ac:dyDescent="0.6">
      <c r="A45" s="145"/>
      <c r="B45" s="57"/>
      <c r="C45" s="57"/>
      <c r="D45" s="146"/>
      <c r="E45" s="146"/>
      <c r="F45" s="146"/>
      <c r="G45" s="146"/>
      <c r="H45" s="146"/>
      <c r="I45" s="147"/>
    </row>
    <row r="46" spans="1:9" ht="19.25" hidden="1" customHeight="1" x14ac:dyDescent="0.6">
      <c r="A46" s="145"/>
      <c r="B46" s="57"/>
      <c r="C46" s="57"/>
      <c r="D46" s="146"/>
      <c r="E46" s="146"/>
      <c r="F46" s="146"/>
      <c r="G46" s="146"/>
      <c r="H46" s="146"/>
      <c r="I46" s="147"/>
    </row>
    <row r="47" spans="1:9" ht="19.25" hidden="1" customHeight="1" x14ac:dyDescent="0.6">
      <c r="A47" s="145"/>
      <c r="B47" s="57"/>
      <c r="C47" s="57"/>
      <c r="D47" s="146"/>
      <c r="E47" s="146"/>
      <c r="F47" s="146"/>
      <c r="G47" s="146"/>
      <c r="H47" s="146"/>
      <c r="I47" s="147"/>
    </row>
    <row r="48" spans="1:9" ht="19.25" hidden="1" customHeight="1" x14ac:dyDescent="0.6">
      <c r="A48" s="145"/>
      <c r="B48" s="57"/>
      <c r="C48" s="57"/>
      <c r="D48" s="146"/>
      <c r="E48" s="146"/>
      <c r="F48" s="146"/>
      <c r="G48" s="146"/>
      <c r="H48" s="146"/>
      <c r="I48" s="147"/>
    </row>
    <row r="49" spans="1:9" ht="19.25" hidden="1" customHeight="1" x14ac:dyDescent="0.6">
      <c r="A49" s="145"/>
      <c r="B49" s="57"/>
      <c r="C49" s="57"/>
      <c r="D49" s="146"/>
      <c r="E49" s="146"/>
      <c r="F49" s="146"/>
      <c r="G49" s="146"/>
      <c r="H49" s="146"/>
      <c r="I49" s="147"/>
    </row>
    <row r="50" spans="1:9" ht="19.25" hidden="1" customHeight="1" x14ac:dyDescent="0.6">
      <c r="A50" s="145"/>
      <c r="B50" s="57"/>
      <c r="C50" s="57"/>
      <c r="D50" s="146"/>
      <c r="E50" s="146"/>
      <c r="F50" s="146"/>
      <c r="G50" s="146"/>
      <c r="H50" s="146"/>
      <c r="I50" s="147"/>
    </row>
    <row r="51" spans="1:9" ht="19.25" hidden="1" customHeight="1" x14ac:dyDescent="0.6">
      <c r="A51" s="145"/>
      <c r="B51" s="57"/>
      <c r="C51" s="57"/>
      <c r="D51" s="146"/>
      <c r="E51" s="146"/>
      <c r="F51" s="146"/>
      <c r="G51" s="146"/>
      <c r="H51" s="146"/>
      <c r="I51" s="147"/>
    </row>
    <row r="52" spans="1:9" ht="19.25" hidden="1" customHeight="1" x14ac:dyDescent="0.6">
      <c r="A52" s="145"/>
      <c r="B52" s="57"/>
      <c r="C52" s="57"/>
      <c r="D52" s="146"/>
      <c r="E52" s="146"/>
      <c r="F52" s="146"/>
      <c r="G52" s="146"/>
      <c r="H52" s="146"/>
      <c r="I52" s="147"/>
    </row>
    <row r="53" spans="1:9" ht="24.75" customHeight="1" x14ac:dyDescent="0.6">
      <c r="A53" s="315" t="s">
        <v>77</v>
      </c>
      <c r="B53" s="315"/>
      <c r="C53" s="315"/>
      <c r="D53" s="146">
        <f>SUM(D3:D52)</f>
        <v>8865000</v>
      </c>
      <c r="E53" s="146">
        <f>SUM(E3:E52)</f>
        <v>79740</v>
      </c>
      <c r="F53" s="146">
        <f>SUM(F3:F52)</f>
        <v>0</v>
      </c>
      <c r="G53" s="146">
        <f>SUM(G3:G52)</f>
        <v>8785260</v>
      </c>
      <c r="H53" s="146">
        <f>SUM(H3:H52)</f>
        <v>93990</v>
      </c>
      <c r="I53" s="147"/>
    </row>
  </sheetData>
  <mergeCells count="2">
    <mergeCell ref="A1:H1"/>
    <mergeCell ref="A53:C53"/>
  </mergeCells>
  <phoneticPr fontId="1" type="noConversion"/>
  <conditionalFormatting sqref="D3:D52">
    <cfRule type="cellIs" dxfId="6" priority="1" operator="greaterThan">
      <formula>1200000</formula>
    </cfRule>
  </conditionalFormatting>
  <pageMargins left="0.7" right="0.7" top="0.75" bottom="0.75" header="0.3" footer="0.3"/>
  <pageSetup paperSize="9" scale="43" orientation="portrait" horizont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9078-9B0F-473A-A7FF-6FEEAE417959}">
  <sheetPr codeName="Sheet5">
    <pageSetUpPr fitToPage="1"/>
  </sheetPr>
  <dimension ref="A1:WUS60"/>
  <sheetViews>
    <sheetView showGridLines="0" zoomScaleNormal="100" zoomScaleSheetLayoutView="100" workbookViewId="0">
      <pane xSplit="3" ySplit="3" topLeftCell="D7" activePane="bottomRight" state="frozen"/>
      <selection activeCell="M7" sqref="M7"/>
      <selection pane="topRight" activeCell="M7" sqref="M7"/>
      <selection pane="bottomLeft" activeCell="M7" sqref="M7"/>
      <selection pane="bottomRight" activeCell="J8" sqref="J8"/>
    </sheetView>
  </sheetViews>
  <sheetFormatPr defaultColWidth="5.6875" defaultRowHeight="10.15" x14ac:dyDescent="0.6"/>
  <cols>
    <col min="1" max="1" width="7.1875" style="80" customWidth="1"/>
    <col min="2" max="2" width="8.3125" style="80" customWidth="1"/>
    <col min="3" max="3" width="17.6875" style="80" customWidth="1"/>
    <col min="4" max="4" width="12.3125" style="79" customWidth="1"/>
    <col min="5" max="5" width="11.6875" style="79" customWidth="1"/>
    <col min="6" max="7" width="13.875" style="79" customWidth="1"/>
    <col min="8" max="8" width="11.3125" style="79" customWidth="1"/>
    <col min="9" max="9" width="15.3125" style="79" customWidth="1"/>
    <col min="10" max="10" width="13.375" style="79" customWidth="1"/>
    <col min="11" max="227" width="5.6875" style="79" customWidth="1"/>
    <col min="228" max="228" width="4.6875" style="79" customWidth="1"/>
    <col min="229" max="229" width="8.3125" style="79" customWidth="1"/>
    <col min="230" max="231" width="5.6875" style="79" hidden="1" customWidth="1"/>
    <col min="232" max="232" width="4.875" style="79" customWidth="1"/>
    <col min="233" max="233" width="7.875" style="79" customWidth="1"/>
    <col min="234" max="234" width="6.3125" style="79" customWidth="1"/>
    <col min="235" max="235" width="12.3125" style="79" customWidth="1"/>
    <col min="236" max="238" width="11.3125" style="79" customWidth="1"/>
    <col min="239" max="239" width="10.3125" style="79" customWidth="1"/>
    <col min="240" max="240" width="11.3125" style="79" customWidth="1"/>
    <col min="241" max="241" width="5.6875" style="79" hidden="1" customWidth="1"/>
    <col min="242" max="242" width="13.6875" style="79" customWidth="1"/>
    <col min="243" max="243" width="13" style="79" customWidth="1"/>
    <col min="244" max="244" width="14.6875" style="79" customWidth="1"/>
    <col min="245" max="245" width="5.875" style="79" customWidth="1"/>
    <col min="246" max="246" width="4.6875" style="79" customWidth="1"/>
    <col min="247" max="247" width="8.6875" style="79" customWidth="1"/>
    <col min="248" max="248" width="10.3125" style="79" customWidth="1"/>
    <col min="249" max="249" width="9" style="79" customWidth="1"/>
    <col min="250" max="250" width="12.125" style="79" customWidth="1"/>
    <col min="251" max="252" width="10.6875" style="79" customWidth="1"/>
    <col min="253" max="253" width="10.3125" style="79" customWidth="1"/>
    <col min="254" max="254" width="11.6875" style="79" customWidth="1"/>
    <col min="255" max="255" width="13.6875" style="79" customWidth="1"/>
    <col min="256" max="256" width="26.1875" style="79" customWidth="1"/>
    <col min="257" max="257" width="14.6875" style="79" customWidth="1"/>
    <col min="258" max="483" width="5.6875" style="79" customWidth="1"/>
    <col min="484" max="484" width="4.6875" style="79" customWidth="1"/>
    <col min="485" max="485" width="8.3125" style="79" customWidth="1"/>
    <col min="486" max="487" width="5.6875" style="79" hidden="1" customWidth="1"/>
    <col min="488" max="488" width="4.875" style="79" customWidth="1"/>
    <col min="489" max="489" width="7.875" style="79" customWidth="1"/>
    <col min="490" max="490" width="6.3125" style="79" customWidth="1"/>
    <col min="491" max="491" width="12.3125" style="79" customWidth="1"/>
    <col min="492" max="494" width="11.3125" style="79" customWidth="1"/>
    <col min="495" max="495" width="10.3125" style="79" customWidth="1"/>
    <col min="496" max="496" width="11.3125" style="79" customWidth="1"/>
    <col min="497" max="497" width="5.6875" style="79" hidden="1" customWidth="1"/>
    <col min="498" max="498" width="13.6875" style="79" customWidth="1"/>
    <col min="499" max="499" width="13" style="79" customWidth="1"/>
    <col min="500" max="500" width="14.6875" style="79" customWidth="1"/>
    <col min="501" max="501" width="5.875" style="79" customWidth="1"/>
    <col min="502" max="502" width="4.6875" style="79" customWidth="1"/>
    <col min="503" max="503" width="8.6875" style="79" customWidth="1"/>
    <col min="504" max="504" width="10.3125" style="79" customWidth="1"/>
    <col min="505" max="505" width="9" style="79" customWidth="1"/>
    <col min="506" max="506" width="12.125" style="79" customWidth="1"/>
    <col min="507" max="508" width="10.6875" style="79" customWidth="1"/>
    <col min="509" max="509" width="10.3125" style="79" customWidth="1"/>
    <col min="510" max="510" width="11.6875" style="79" customWidth="1"/>
    <col min="511" max="511" width="13.6875" style="79" customWidth="1"/>
    <col min="512" max="512" width="26.1875" style="79" customWidth="1"/>
    <col min="513" max="513" width="14.6875" style="79" customWidth="1"/>
    <col min="514" max="739" width="5.6875" style="79" customWidth="1"/>
    <col min="740" max="740" width="4.6875" style="79" customWidth="1"/>
    <col min="741" max="741" width="8.3125" style="79" customWidth="1"/>
    <col min="742" max="743" width="5.6875" style="79" hidden="1" customWidth="1"/>
    <col min="744" max="744" width="4.875" style="79" customWidth="1"/>
    <col min="745" max="745" width="7.875" style="79" customWidth="1"/>
    <col min="746" max="746" width="6.3125" style="79" customWidth="1"/>
    <col min="747" max="747" width="12.3125" style="79" customWidth="1"/>
    <col min="748" max="750" width="11.3125" style="79" customWidth="1"/>
    <col min="751" max="751" width="10.3125" style="79" customWidth="1"/>
    <col min="752" max="752" width="11.3125" style="79" customWidth="1"/>
    <col min="753" max="753" width="5.6875" style="79" hidden="1" customWidth="1"/>
    <col min="754" max="754" width="13.6875" style="79" customWidth="1"/>
    <col min="755" max="755" width="13" style="79" customWidth="1"/>
    <col min="756" max="756" width="14.6875" style="79" customWidth="1"/>
    <col min="757" max="757" width="5.875" style="79" customWidth="1"/>
    <col min="758" max="758" width="4.6875" style="79" customWidth="1"/>
    <col min="759" max="759" width="8.6875" style="79" customWidth="1"/>
    <col min="760" max="760" width="10.3125" style="79" customWidth="1"/>
    <col min="761" max="761" width="9" style="79" customWidth="1"/>
    <col min="762" max="762" width="12.125" style="79" customWidth="1"/>
    <col min="763" max="764" width="10.6875" style="79" customWidth="1"/>
    <col min="765" max="765" width="10.3125" style="79" customWidth="1"/>
    <col min="766" max="766" width="11.6875" style="79" customWidth="1"/>
    <col min="767" max="767" width="13.6875" style="79" customWidth="1"/>
    <col min="768" max="768" width="26.1875" style="79" customWidth="1"/>
    <col min="769" max="769" width="14.6875" style="79" customWidth="1"/>
    <col min="770" max="995" width="5.6875" style="79" customWidth="1"/>
    <col min="996" max="996" width="4.6875" style="79" customWidth="1"/>
    <col min="997" max="997" width="8.3125" style="79" customWidth="1"/>
    <col min="998" max="999" width="5.6875" style="79" hidden="1" customWidth="1"/>
    <col min="1000" max="1000" width="4.875" style="79" customWidth="1"/>
    <col min="1001" max="1001" width="7.875" style="79" customWidth="1"/>
    <col min="1002" max="1002" width="6.3125" style="79" customWidth="1"/>
    <col min="1003" max="1003" width="12.3125" style="79" customWidth="1"/>
    <col min="1004" max="1006" width="11.3125" style="79" customWidth="1"/>
    <col min="1007" max="1007" width="10.3125" style="79" customWidth="1"/>
    <col min="1008" max="1008" width="11.3125" style="79" customWidth="1"/>
    <col min="1009" max="1009" width="5.6875" style="79" hidden="1" customWidth="1"/>
    <col min="1010" max="1010" width="13.6875" style="79" customWidth="1"/>
    <col min="1011" max="1011" width="13" style="79" customWidth="1"/>
    <col min="1012" max="1012" width="14.6875" style="79" customWidth="1"/>
    <col min="1013" max="1013" width="5.875" style="79" customWidth="1"/>
    <col min="1014" max="1014" width="4.6875" style="79" customWidth="1"/>
    <col min="1015" max="1015" width="8.6875" style="79" customWidth="1"/>
    <col min="1016" max="1016" width="10.3125" style="79" customWidth="1"/>
    <col min="1017" max="1017" width="9" style="79" customWidth="1"/>
    <col min="1018" max="1018" width="12.125" style="79" customWidth="1"/>
    <col min="1019" max="1020" width="10.6875" style="79" customWidth="1"/>
    <col min="1021" max="1021" width="10.3125" style="79" customWidth="1"/>
    <col min="1022" max="1022" width="11.6875" style="79" customWidth="1"/>
    <col min="1023" max="1023" width="13.6875" style="79" customWidth="1"/>
    <col min="1024" max="1024" width="26.1875" style="79" customWidth="1"/>
    <col min="1025" max="1025" width="14.6875" style="79" customWidth="1"/>
    <col min="1026" max="1251" width="5.6875" style="79" customWidth="1"/>
    <col min="1252" max="1252" width="4.6875" style="79" customWidth="1"/>
    <col min="1253" max="1253" width="8.3125" style="79" customWidth="1"/>
    <col min="1254" max="1255" width="5.6875" style="79" hidden="1" customWidth="1"/>
    <col min="1256" max="1256" width="4.875" style="79" customWidth="1"/>
    <col min="1257" max="1257" width="7.875" style="79" customWidth="1"/>
    <col min="1258" max="1258" width="6.3125" style="79" customWidth="1"/>
    <col min="1259" max="1259" width="12.3125" style="79" customWidth="1"/>
    <col min="1260" max="1262" width="11.3125" style="79" customWidth="1"/>
    <col min="1263" max="1263" width="10.3125" style="79" customWidth="1"/>
    <col min="1264" max="1264" width="11.3125" style="79" customWidth="1"/>
    <col min="1265" max="1265" width="5.6875" style="79" hidden="1" customWidth="1"/>
    <col min="1266" max="1266" width="13.6875" style="79" customWidth="1"/>
    <col min="1267" max="1267" width="13" style="79" customWidth="1"/>
    <col min="1268" max="1268" width="14.6875" style="79" customWidth="1"/>
    <col min="1269" max="1269" width="5.875" style="79" customWidth="1"/>
    <col min="1270" max="1270" width="4.6875" style="79" customWidth="1"/>
    <col min="1271" max="1271" width="8.6875" style="79" customWidth="1"/>
    <col min="1272" max="1272" width="10.3125" style="79" customWidth="1"/>
    <col min="1273" max="1273" width="9" style="79" customWidth="1"/>
    <col min="1274" max="1274" width="12.125" style="79" customWidth="1"/>
    <col min="1275" max="1276" width="10.6875" style="79" customWidth="1"/>
    <col min="1277" max="1277" width="10.3125" style="79" customWidth="1"/>
    <col min="1278" max="1278" width="11.6875" style="79" customWidth="1"/>
    <col min="1279" max="1279" width="13.6875" style="79" customWidth="1"/>
    <col min="1280" max="1280" width="26.1875" style="79" customWidth="1"/>
    <col min="1281" max="1281" width="14.6875" style="79" customWidth="1"/>
    <col min="1282" max="1507" width="5.6875" style="79" customWidth="1"/>
    <col min="1508" max="1508" width="4.6875" style="79" customWidth="1"/>
    <col min="1509" max="1509" width="8.3125" style="79" customWidth="1"/>
    <col min="1510" max="1511" width="5.6875" style="79" hidden="1" customWidth="1"/>
    <col min="1512" max="1512" width="4.875" style="79" customWidth="1"/>
    <col min="1513" max="1513" width="7.875" style="79" customWidth="1"/>
    <col min="1514" max="1514" width="6.3125" style="79" customWidth="1"/>
    <col min="1515" max="1515" width="12.3125" style="79" customWidth="1"/>
    <col min="1516" max="1518" width="11.3125" style="79" customWidth="1"/>
    <col min="1519" max="1519" width="10.3125" style="79" customWidth="1"/>
    <col min="1520" max="1520" width="11.3125" style="79" customWidth="1"/>
    <col min="1521" max="1521" width="5.6875" style="79" hidden="1" customWidth="1"/>
    <col min="1522" max="1522" width="13.6875" style="79" customWidth="1"/>
    <col min="1523" max="1523" width="13" style="79" customWidth="1"/>
    <col min="1524" max="1524" width="14.6875" style="79" customWidth="1"/>
    <col min="1525" max="1525" width="5.875" style="79" customWidth="1"/>
    <col min="1526" max="1526" width="4.6875" style="79" customWidth="1"/>
    <col min="1527" max="1527" width="8.6875" style="79" customWidth="1"/>
    <col min="1528" max="1528" width="10.3125" style="79" customWidth="1"/>
    <col min="1529" max="1529" width="9" style="79" customWidth="1"/>
    <col min="1530" max="1530" width="12.125" style="79" customWidth="1"/>
    <col min="1531" max="1532" width="10.6875" style="79" customWidth="1"/>
    <col min="1533" max="1533" width="10.3125" style="79" customWidth="1"/>
    <col min="1534" max="1534" width="11.6875" style="79" customWidth="1"/>
    <col min="1535" max="1535" width="13.6875" style="79" customWidth="1"/>
    <col min="1536" max="1536" width="26.1875" style="79" customWidth="1"/>
    <col min="1537" max="1537" width="14.6875" style="79" customWidth="1"/>
    <col min="1538" max="1763" width="5.6875" style="79" customWidth="1"/>
    <col min="1764" max="1764" width="4.6875" style="79" customWidth="1"/>
    <col min="1765" max="1765" width="8.3125" style="79" customWidth="1"/>
    <col min="1766" max="1767" width="5.6875" style="79" hidden="1" customWidth="1"/>
    <col min="1768" max="1768" width="4.875" style="79" customWidth="1"/>
    <col min="1769" max="1769" width="7.875" style="79" customWidth="1"/>
    <col min="1770" max="1770" width="6.3125" style="79" customWidth="1"/>
    <col min="1771" max="1771" width="12.3125" style="79" customWidth="1"/>
    <col min="1772" max="1774" width="11.3125" style="79" customWidth="1"/>
    <col min="1775" max="1775" width="10.3125" style="79" customWidth="1"/>
    <col min="1776" max="1776" width="11.3125" style="79" customWidth="1"/>
    <col min="1777" max="1777" width="5.6875" style="79" hidden="1" customWidth="1"/>
    <col min="1778" max="1778" width="13.6875" style="79" customWidth="1"/>
    <col min="1779" max="1779" width="13" style="79" customWidth="1"/>
    <col min="1780" max="1780" width="14.6875" style="79" customWidth="1"/>
    <col min="1781" max="1781" width="5.875" style="79" customWidth="1"/>
    <col min="1782" max="1782" width="4.6875" style="79" customWidth="1"/>
    <col min="1783" max="1783" width="8.6875" style="79" customWidth="1"/>
    <col min="1784" max="1784" width="10.3125" style="79" customWidth="1"/>
    <col min="1785" max="1785" width="9" style="79" customWidth="1"/>
    <col min="1786" max="1786" width="12.125" style="79" customWidth="1"/>
    <col min="1787" max="1788" width="10.6875" style="79" customWidth="1"/>
    <col min="1789" max="1789" width="10.3125" style="79" customWidth="1"/>
    <col min="1790" max="1790" width="11.6875" style="79" customWidth="1"/>
    <col min="1791" max="1791" width="13.6875" style="79" customWidth="1"/>
    <col min="1792" max="1792" width="26.1875" style="79" customWidth="1"/>
    <col min="1793" max="1793" width="14.6875" style="79" customWidth="1"/>
    <col min="1794" max="2019" width="5.6875" style="79" customWidth="1"/>
    <col min="2020" max="2020" width="4.6875" style="79" customWidth="1"/>
    <col min="2021" max="2021" width="8.3125" style="79" customWidth="1"/>
    <col min="2022" max="2023" width="5.6875" style="79" hidden="1" customWidth="1"/>
    <col min="2024" max="2024" width="4.875" style="79" customWidth="1"/>
    <col min="2025" max="2025" width="7.875" style="79" customWidth="1"/>
    <col min="2026" max="2026" width="6.3125" style="79" customWidth="1"/>
    <col min="2027" max="2027" width="12.3125" style="79" customWidth="1"/>
    <col min="2028" max="2030" width="11.3125" style="79" customWidth="1"/>
    <col min="2031" max="2031" width="10.3125" style="79" customWidth="1"/>
    <col min="2032" max="2032" width="11.3125" style="79" customWidth="1"/>
    <col min="2033" max="2033" width="5.6875" style="79" hidden="1" customWidth="1"/>
    <col min="2034" max="2034" width="13.6875" style="79" customWidth="1"/>
    <col min="2035" max="2035" width="13" style="79" customWidth="1"/>
    <col min="2036" max="2036" width="14.6875" style="79" customWidth="1"/>
    <col min="2037" max="2037" width="5.875" style="79" customWidth="1"/>
    <col min="2038" max="2038" width="4.6875" style="79" customWidth="1"/>
    <col min="2039" max="2039" width="8.6875" style="79" customWidth="1"/>
    <col min="2040" max="2040" width="10.3125" style="79" customWidth="1"/>
    <col min="2041" max="2041" width="9" style="79" customWidth="1"/>
    <col min="2042" max="2042" width="12.125" style="79" customWidth="1"/>
    <col min="2043" max="2044" width="10.6875" style="79" customWidth="1"/>
    <col min="2045" max="2045" width="10.3125" style="79" customWidth="1"/>
    <col min="2046" max="2046" width="11.6875" style="79" customWidth="1"/>
    <col min="2047" max="2047" width="13.6875" style="79" customWidth="1"/>
    <col min="2048" max="2048" width="26.1875" style="79" customWidth="1"/>
    <col min="2049" max="2049" width="14.6875" style="79" customWidth="1"/>
    <col min="2050" max="2275" width="5.6875" style="79" customWidth="1"/>
    <col min="2276" max="2276" width="4.6875" style="79" customWidth="1"/>
    <col min="2277" max="2277" width="8.3125" style="79" customWidth="1"/>
    <col min="2278" max="2279" width="5.6875" style="79" hidden="1" customWidth="1"/>
    <col min="2280" max="2280" width="4.875" style="79" customWidth="1"/>
    <col min="2281" max="2281" width="7.875" style="79" customWidth="1"/>
    <col min="2282" max="2282" width="6.3125" style="79" customWidth="1"/>
    <col min="2283" max="2283" width="12.3125" style="79" customWidth="1"/>
    <col min="2284" max="2286" width="11.3125" style="79" customWidth="1"/>
    <col min="2287" max="2287" width="10.3125" style="79" customWidth="1"/>
    <col min="2288" max="2288" width="11.3125" style="79" customWidth="1"/>
    <col min="2289" max="2289" width="5.6875" style="79" hidden="1" customWidth="1"/>
    <col min="2290" max="2290" width="13.6875" style="79" customWidth="1"/>
    <col min="2291" max="2291" width="13" style="79" customWidth="1"/>
    <col min="2292" max="2292" width="14.6875" style="79" customWidth="1"/>
    <col min="2293" max="2293" width="5.875" style="79" customWidth="1"/>
    <col min="2294" max="2294" width="4.6875" style="79" customWidth="1"/>
    <col min="2295" max="2295" width="8.6875" style="79" customWidth="1"/>
    <col min="2296" max="2296" width="10.3125" style="79" customWidth="1"/>
    <col min="2297" max="2297" width="9" style="79" customWidth="1"/>
    <col min="2298" max="2298" width="12.125" style="79" customWidth="1"/>
    <col min="2299" max="2300" width="10.6875" style="79" customWidth="1"/>
    <col min="2301" max="2301" width="10.3125" style="79" customWidth="1"/>
    <col min="2302" max="2302" width="11.6875" style="79" customWidth="1"/>
    <col min="2303" max="2303" width="13.6875" style="79" customWidth="1"/>
    <col min="2304" max="2304" width="26.1875" style="79" customWidth="1"/>
    <col min="2305" max="2305" width="14.6875" style="79" customWidth="1"/>
    <col min="2306" max="2531" width="5.6875" style="79" customWidth="1"/>
    <col min="2532" max="2532" width="4.6875" style="79" customWidth="1"/>
    <col min="2533" max="2533" width="8.3125" style="79" customWidth="1"/>
    <col min="2534" max="2535" width="5.6875" style="79" hidden="1" customWidth="1"/>
    <col min="2536" max="2536" width="4.875" style="79" customWidth="1"/>
    <col min="2537" max="2537" width="7.875" style="79" customWidth="1"/>
    <col min="2538" max="2538" width="6.3125" style="79" customWidth="1"/>
    <col min="2539" max="2539" width="12.3125" style="79" customWidth="1"/>
    <col min="2540" max="2542" width="11.3125" style="79" customWidth="1"/>
    <col min="2543" max="2543" width="10.3125" style="79" customWidth="1"/>
    <col min="2544" max="2544" width="11.3125" style="79" customWidth="1"/>
    <col min="2545" max="2545" width="5.6875" style="79" hidden="1" customWidth="1"/>
    <col min="2546" max="2546" width="13.6875" style="79" customWidth="1"/>
    <col min="2547" max="2547" width="13" style="79" customWidth="1"/>
    <col min="2548" max="2548" width="14.6875" style="79" customWidth="1"/>
    <col min="2549" max="2549" width="5.875" style="79" customWidth="1"/>
    <col min="2550" max="2550" width="4.6875" style="79" customWidth="1"/>
    <col min="2551" max="2551" width="8.6875" style="79" customWidth="1"/>
    <col min="2552" max="2552" width="10.3125" style="79" customWidth="1"/>
    <col min="2553" max="2553" width="9" style="79" customWidth="1"/>
    <col min="2554" max="2554" width="12.125" style="79" customWidth="1"/>
    <col min="2555" max="2556" width="10.6875" style="79" customWidth="1"/>
    <col min="2557" max="2557" width="10.3125" style="79" customWidth="1"/>
    <col min="2558" max="2558" width="11.6875" style="79" customWidth="1"/>
    <col min="2559" max="2559" width="13.6875" style="79" customWidth="1"/>
    <col min="2560" max="2560" width="26.1875" style="79" customWidth="1"/>
    <col min="2561" max="2561" width="14.6875" style="79" customWidth="1"/>
    <col min="2562" max="2787" width="5.6875" style="79" customWidth="1"/>
    <col min="2788" max="2788" width="4.6875" style="79" customWidth="1"/>
    <col min="2789" max="2789" width="8.3125" style="79" customWidth="1"/>
    <col min="2790" max="2791" width="5.6875" style="79" hidden="1" customWidth="1"/>
    <col min="2792" max="2792" width="4.875" style="79" customWidth="1"/>
    <col min="2793" max="2793" width="7.875" style="79" customWidth="1"/>
    <col min="2794" max="2794" width="6.3125" style="79" customWidth="1"/>
    <col min="2795" max="2795" width="12.3125" style="79" customWidth="1"/>
    <col min="2796" max="2798" width="11.3125" style="79" customWidth="1"/>
    <col min="2799" max="2799" width="10.3125" style="79" customWidth="1"/>
    <col min="2800" max="2800" width="11.3125" style="79" customWidth="1"/>
    <col min="2801" max="2801" width="5.6875" style="79" hidden="1" customWidth="1"/>
    <col min="2802" max="2802" width="13.6875" style="79" customWidth="1"/>
    <col min="2803" max="2803" width="13" style="79" customWidth="1"/>
    <col min="2804" max="2804" width="14.6875" style="79" customWidth="1"/>
    <col min="2805" max="2805" width="5.875" style="79" customWidth="1"/>
    <col min="2806" max="2806" width="4.6875" style="79" customWidth="1"/>
    <col min="2807" max="2807" width="8.6875" style="79" customWidth="1"/>
    <col min="2808" max="2808" width="10.3125" style="79" customWidth="1"/>
    <col min="2809" max="2809" width="9" style="79" customWidth="1"/>
    <col min="2810" max="2810" width="12.125" style="79" customWidth="1"/>
    <col min="2811" max="2812" width="10.6875" style="79" customWidth="1"/>
    <col min="2813" max="2813" width="10.3125" style="79" customWidth="1"/>
    <col min="2814" max="2814" width="11.6875" style="79" customWidth="1"/>
    <col min="2815" max="2815" width="13.6875" style="79" customWidth="1"/>
    <col min="2816" max="2816" width="26.1875" style="79" customWidth="1"/>
    <col min="2817" max="2817" width="14.6875" style="79" customWidth="1"/>
    <col min="2818" max="3043" width="5.6875" style="79" customWidth="1"/>
    <col min="3044" max="3044" width="4.6875" style="79" customWidth="1"/>
    <col min="3045" max="3045" width="8.3125" style="79" customWidth="1"/>
    <col min="3046" max="3047" width="5.6875" style="79" hidden="1" customWidth="1"/>
    <col min="3048" max="3048" width="4.875" style="79" customWidth="1"/>
    <col min="3049" max="3049" width="7.875" style="79" customWidth="1"/>
    <col min="3050" max="3050" width="6.3125" style="79" customWidth="1"/>
    <col min="3051" max="3051" width="12.3125" style="79" customWidth="1"/>
    <col min="3052" max="3054" width="11.3125" style="79" customWidth="1"/>
    <col min="3055" max="3055" width="10.3125" style="79" customWidth="1"/>
    <col min="3056" max="3056" width="11.3125" style="79" customWidth="1"/>
    <col min="3057" max="3057" width="5.6875" style="79" hidden="1" customWidth="1"/>
    <col min="3058" max="3058" width="13.6875" style="79" customWidth="1"/>
    <col min="3059" max="3059" width="13" style="79" customWidth="1"/>
    <col min="3060" max="3060" width="14.6875" style="79" customWidth="1"/>
    <col min="3061" max="3061" width="5.875" style="79" customWidth="1"/>
    <col min="3062" max="3062" width="4.6875" style="79" customWidth="1"/>
    <col min="3063" max="3063" width="8.6875" style="79" customWidth="1"/>
    <col min="3064" max="3064" width="10.3125" style="79" customWidth="1"/>
    <col min="3065" max="3065" width="9" style="79" customWidth="1"/>
    <col min="3066" max="3066" width="12.125" style="79" customWidth="1"/>
    <col min="3067" max="3068" width="10.6875" style="79" customWidth="1"/>
    <col min="3069" max="3069" width="10.3125" style="79" customWidth="1"/>
    <col min="3070" max="3070" width="11.6875" style="79" customWidth="1"/>
    <col min="3071" max="3071" width="13.6875" style="79" customWidth="1"/>
    <col min="3072" max="3072" width="26.1875" style="79" customWidth="1"/>
    <col min="3073" max="3073" width="14.6875" style="79" customWidth="1"/>
    <col min="3074" max="3299" width="5.6875" style="79" customWidth="1"/>
    <col min="3300" max="3300" width="4.6875" style="79" customWidth="1"/>
    <col min="3301" max="3301" width="8.3125" style="79" customWidth="1"/>
    <col min="3302" max="3303" width="5.6875" style="79" hidden="1" customWidth="1"/>
    <col min="3304" max="3304" width="4.875" style="79" customWidth="1"/>
    <col min="3305" max="3305" width="7.875" style="79" customWidth="1"/>
    <col min="3306" max="3306" width="6.3125" style="79" customWidth="1"/>
    <col min="3307" max="3307" width="12.3125" style="79" customWidth="1"/>
    <col min="3308" max="3310" width="11.3125" style="79" customWidth="1"/>
    <col min="3311" max="3311" width="10.3125" style="79" customWidth="1"/>
    <col min="3312" max="3312" width="11.3125" style="79" customWidth="1"/>
    <col min="3313" max="3313" width="5.6875" style="79" hidden="1" customWidth="1"/>
    <col min="3314" max="3314" width="13.6875" style="79" customWidth="1"/>
    <col min="3315" max="3315" width="13" style="79" customWidth="1"/>
    <col min="3316" max="3316" width="14.6875" style="79" customWidth="1"/>
    <col min="3317" max="3317" width="5.875" style="79" customWidth="1"/>
    <col min="3318" max="3318" width="4.6875" style="79" customWidth="1"/>
    <col min="3319" max="3319" width="8.6875" style="79" customWidth="1"/>
    <col min="3320" max="3320" width="10.3125" style="79" customWidth="1"/>
    <col min="3321" max="3321" width="9" style="79" customWidth="1"/>
    <col min="3322" max="3322" width="12.125" style="79" customWidth="1"/>
    <col min="3323" max="3324" width="10.6875" style="79" customWidth="1"/>
    <col min="3325" max="3325" width="10.3125" style="79" customWidth="1"/>
    <col min="3326" max="3326" width="11.6875" style="79" customWidth="1"/>
    <col min="3327" max="3327" width="13.6875" style="79" customWidth="1"/>
    <col min="3328" max="3328" width="26.1875" style="79" customWidth="1"/>
    <col min="3329" max="3329" width="14.6875" style="79" customWidth="1"/>
    <col min="3330" max="3555" width="5.6875" style="79" customWidth="1"/>
    <col min="3556" max="3556" width="4.6875" style="79" customWidth="1"/>
    <col min="3557" max="3557" width="8.3125" style="79" customWidth="1"/>
    <col min="3558" max="3559" width="5.6875" style="79" hidden="1" customWidth="1"/>
    <col min="3560" max="3560" width="4.875" style="79" customWidth="1"/>
    <col min="3561" max="3561" width="7.875" style="79" customWidth="1"/>
    <col min="3562" max="3562" width="6.3125" style="79" customWidth="1"/>
    <col min="3563" max="3563" width="12.3125" style="79" customWidth="1"/>
    <col min="3564" max="3566" width="11.3125" style="79" customWidth="1"/>
    <col min="3567" max="3567" width="10.3125" style="79" customWidth="1"/>
    <col min="3568" max="3568" width="11.3125" style="79" customWidth="1"/>
    <col min="3569" max="3569" width="5.6875" style="79" hidden="1" customWidth="1"/>
    <col min="3570" max="3570" width="13.6875" style="79" customWidth="1"/>
    <col min="3571" max="3571" width="13" style="79" customWidth="1"/>
    <col min="3572" max="3572" width="14.6875" style="79" customWidth="1"/>
    <col min="3573" max="3573" width="5.875" style="79" customWidth="1"/>
    <col min="3574" max="3574" width="4.6875" style="79" customWidth="1"/>
    <col min="3575" max="3575" width="8.6875" style="79" customWidth="1"/>
    <col min="3576" max="3576" width="10.3125" style="79" customWidth="1"/>
    <col min="3577" max="3577" width="9" style="79" customWidth="1"/>
    <col min="3578" max="3578" width="12.125" style="79" customWidth="1"/>
    <col min="3579" max="3580" width="10.6875" style="79" customWidth="1"/>
    <col min="3581" max="3581" width="10.3125" style="79" customWidth="1"/>
    <col min="3582" max="3582" width="11.6875" style="79" customWidth="1"/>
    <col min="3583" max="3583" width="13.6875" style="79" customWidth="1"/>
    <col min="3584" max="3584" width="26.1875" style="79" customWidth="1"/>
    <col min="3585" max="3585" width="14.6875" style="79" customWidth="1"/>
    <col min="3586" max="3811" width="5.6875" style="79" customWidth="1"/>
    <col min="3812" max="3812" width="4.6875" style="79" customWidth="1"/>
    <col min="3813" max="3813" width="8.3125" style="79" customWidth="1"/>
    <col min="3814" max="3815" width="5.6875" style="79" hidden="1" customWidth="1"/>
    <col min="3816" max="3816" width="4.875" style="79" customWidth="1"/>
    <col min="3817" max="3817" width="7.875" style="79" customWidth="1"/>
    <col min="3818" max="3818" width="6.3125" style="79" customWidth="1"/>
    <col min="3819" max="3819" width="12.3125" style="79" customWidth="1"/>
    <col min="3820" max="3822" width="11.3125" style="79" customWidth="1"/>
    <col min="3823" max="3823" width="10.3125" style="79" customWidth="1"/>
    <col min="3824" max="3824" width="11.3125" style="79" customWidth="1"/>
    <col min="3825" max="3825" width="5.6875" style="79" hidden="1" customWidth="1"/>
    <col min="3826" max="3826" width="13.6875" style="79" customWidth="1"/>
    <col min="3827" max="3827" width="13" style="79" customWidth="1"/>
    <col min="3828" max="3828" width="14.6875" style="79" customWidth="1"/>
    <col min="3829" max="3829" width="5.875" style="79" customWidth="1"/>
    <col min="3830" max="3830" width="4.6875" style="79" customWidth="1"/>
    <col min="3831" max="3831" width="8.6875" style="79" customWidth="1"/>
    <col min="3832" max="3832" width="10.3125" style="79" customWidth="1"/>
    <col min="3833" max="3833" width="9" style="79" customWidth="1"/>
    <col min="3834" max="3834" width="12.125" style="79" customWidth="1"/>
    <col min="3835" max="3836" width="10.6875" style="79" customWidth="1"/>
    <col min="3837" max="3837" width="10.3125" style="79" customWidth="1"/>
    <col min="3838" max="3838" width="11.6875" style="79" customWidth="1"/>
    <col min="3839" max="3839" width="13.6875" style="79" customWidth="1"/>
    <col min="3840" max="3840" width="26.1875" style="79" customWidth="1"/>
    <col min="3841" max="3841" width="14.6875" style="79" customWidth="1"/>
    <col min="3842" max="4067" width="5.6875" style="79" customWidth="1"/>
    <col min="4068" max="4068" width="4.6875" style="79" customWidth="1"/>
    <col min="4069" max="4069" width="8.3125" style="79" customWidth="1"/>
    <col min="4070" max="4071" width="5.6875" style="79" hidden="1" customWidth="1"/>
    <col min="4072" max="4072" width="4.875" style="79" customWidth="1"/>
    <col min="4073" max="4073" width="7.875" style="79" customWidth="1"/>
    <col min="4074" max="4074" width="6.3125" style="79" customWidth="1"/>
    <col min="4075" max="4075" width="12.3125" style="79" customWidth="1"/>
    <col min="4076" max="4078" width="11.3125" style="79" customWidth="1"/>
    <col min="4079" max="4079" width="10.3125" style="79" customWidth="1"/>
    <col min="4080" max="4080" width="11.3125" style="79" customWidth="1"/>
    <col min="4081" max="4081" width="5.6875" style="79" hidden="1" customWidth="1"/>
    <col min="4082" max="4082" width="13.6875" style="79" customWidth="1"/>
    <col min="4083" max="4083" width="13" style="79" customWidth="1"/>
    <col min="4084" max="4084" width="14.6875" style="79" customWidth="1"/>
    <col min="4085" max="4085" width="5.875" style="79" customWidth="1"/>
    <col min="4086" max="4086" width="4.6875" style="79" customWidth="1"/>
    <col min="4087" max="4087" width="8.6875" style="79" customWidth="1"/>
    <col min="4088" max="4088" width="10.3125" style="79" customWidth="1"/>
    <col min="4089" max="4089" width="9" style="79" customWidth="1"/>
    <col min="4090" max="4090" width="12.125" style="79" customWidth="1"/>
    <col min="4091" max="4092" width="10.6875" style="79" customWidth="1"/>
    <col min="4093" max="4093" width="10.3125" style="79" customWidth="1"/>
    <col min="4094" max="4094" width="11.6875" style="79" customWidth="1"/>
    <col min="4095" max="4095" width="13.6875" style="79" customWidth="1"/>
    <col min="4096" max="4096" width="26.1875" style="79" customWidth="1"/>
    <col min="4097" max="4097" width="14.6875" style="79" customWidth="1"/>
    <col min="4098" max="4323" width="5.6875" style="79" customWidth="1"/>
    <col min="4324" max="4324" width="4.6875" style="79" customWidth="1"/>
    <col min="4325" max="4325" width="8.3125" style="79" customWidth="1"/>
    <col min="4326" max="4327" width="5.6875" style="79" hidden="1" customWidth="1"/>
    <col min="4328" max="4328" width="4.875" style="79" customWidth="1"/>
    <col min="4329" max="4329" width="7.875" style="79" customWidth="1"/>
    <col min="4330" max="4330" width="6.3125" style="79" customWidth="1"/>
    <col min="4331" max="4331" width="12.3125" style="79" customWidth="1"/>
    <col min="4332" max="4334" width="11.3125" style="79" customWidth="1"/>
    <col min="4335" max="4335" width="10.3125" style="79" customWidth="1"/>
    <col min="4336" max="4336" width="11.3125" style="79" customWidth="1"/>
    <col min="4337" max="4337" width="5.6875" style="79" hidden="1" customWidth="1"/>
    <col min="4338" max="4338" width="13.6875" style="79" customWidth="1"/>
    <col min="4339" max="4339" width="13" style="79" customWidth="1"/>
    <col min="4340" max="4340" width="14.6875" style="79" customWidth="1"/>
    <col min="4341" max="4341" width="5.875" style="79" customWidth="1"/>
    <col min="4342" max="4342" width="4.6875" style="79" customWidth="1"/>
    <col min="4343" max="4343" width="8.6875" style="79" customWidth="1"/>
    <col min="4344" max="4344" width="10.3125" style="79" customWidth="1"/>
    <col min="4345" max="4345" width="9" style="79" customWidth="1"/>
    <col min="4346" max="4346" width="12.125" style="79" customWidth="1"/>
    <col min="4347" max="4348" width="10.6875" style="79" customWidth="1"/>
    <col min="4349" max="4349" width="10.3125" style="79" customWidth="1"/>
    <col min="4350" max="4350" width="11.6875" style="79" customWidth="1"/>
    <col min="4351" max="4351" width="13.6875" style="79" customWidth="1"/>
    <col min="4352" max="4352" width="26.1875" style="79" customWidth="1"/>
    <col min="4353" max="4353" width="14.6875" style="79" customWidth="1"/>
    <col min="4354" max="4579" width="5.6875" style="79" customWidth="1"/>
    <col min="4580" max="4580" width="4.6875" style="79" customWidth="1"/>
    <col min="4581" max="4581" width="8.3125" style="79" customWidth="1"/>
    <col min="4582" max="4583" width="5.6875" style="79" hidden="1" customWidth="1"/>
    <col min="4584" max="4584" width="4.875" style="79" customWidth="1"/>
    <col min="4585" max="4585" width="7.875" style="79" customWidth="1"/>
    <col min="4586" max="4586" width="6.3125" style="79" customWidth="1"/>
    <col min="4587" max="4587" width="12.3125" style="79" customWidth="1"/>
    <col min="4588" max="4590" width="11.3125" style="79" customWidth="1"/>
    <col min="4591" max="4591" width="10.3125" style="79" customWidth="1"/>
    <col min="4592" max="4592" width="11.3125" style="79" customWidth="1"/>
    <col min="4593" max="4593" width="5.6875" style="79" hidden="1" customWidth="1"/>
    <col min="4594" max="4594" width="13.6875" style="79" customWidth="1"/>
    <col min="4595" max="4595" width="13" style="79" customWidth="1"/>
    <col min="4596" max="4596" width="14.6875" style="79" customWidth="1"/>
    <col min="4597" max="4597" width="5.875" style="79" customWidth="1"/>
    <col min="4598" max="4598" width="4.6875" style="79" customWidth="1"/>
    <col min="4599" max="4599" width="8.6875" style="79" customWidth="1"/>
    <col min="4600" max="4600" width="10.3125" style="79" customWidth="1"/>
    <col min="4601" max="4601" width="9" style="79" customWidth="1"/>
    <col min="4602" max="4602" width="12.125" style="79" customWidth="1"/>
    <col min="4603" max="4604" width="10.6875" style="79" customWidth="1"/>
    <col min="4605" max="4605" width="10.3125" style="79" customWidth="1"/>
    <col min="4606" max="4606" width="11.6875" style="79" customWidth="1"/>
    <col min="4607" max="4607" width="13.6875" style="79" customWidth="1"/>
    <col min="4608" max="4608" width="26.1875" style="79" customWidth="1"/>
    <col min="4609" max="4609" width="14.6875" style="79" customWidth="1"/>
    <col min="4610" max="4835" width="5.6875" style="79" customWidth="1"/>
    <col min="4836" max="4836" width="4.6875" style="79" customWidth="1"/>
    <col min="4837" max="4837" width="8.3125" style="79" customWidth="1"/>
    <col min="4838" max="4839" width="5.6875" style="79" hidden="1" customWidth="1"/>
    <col min="4840" max="4840" width="4.875" style="79" customWidth="1"/>
    <col min="4841" max="4841" width="7.875" style="79" customWidth="1"/>
    <col min="4842" max="4842" width="6.3125" style="79" customWidth="1"/>
    <col min="4843" max="4843" width="12.3125" style="79" customWidth="1"/>
    <col min="4844" max="4846" width="11.3125" style="79" customWidth="1"/>
    <col min="4847" max="4847" width="10.3125" style="79" customWidth="1"/>
    <col min="4848" max="4848" width="11.3125" style="79" customWidth="1"/>
    <col min="4849" max="4849" width="5.6875" style="79" hidden="1" customWidth="1"/>
    <col min="4850" max="4850" width="13.6875" style="79" customWidth="1"/>
    <col min="4851" max="4851" width="13" style="79" customWidth="1"/>
    <col min="4852" max="4852" width="14.6875" style="79" customWidth="1"/>
    <col min="4853" max="4853" width="5.875" style="79" customWidth="1"/>
    <col min="4854" max="4854" width="4.6875" style="79" customWidth="1"/>
    <col min="4855" max="4855" width="8.6875" style="79" customWidth="1"/>
    <col min="4856" max="4856" width="10.3125" style="79" customWidth="1"/>
    <col min="4857" max="4857" width="9" style="79" customWidth="1"/>
    <col min="4858" max="4858" width="12.125" style="79" customWidth="1"/>
    <col min="4859" max="4860" width="10.6875" style="79" customWidth="1"/>
    <col min="4861" max="4861" width="10.3125" style="79" customWidth="1"/>
    <col min="4862" max="4862" width="11.6875" style="79" customWidth="1"/>
    <col min="4863" max="4863" width="13.6875" style="79" customWidth="1"/>
    <col min="4864" max="4864" width="26.1875" style="79" customWidth="1"/>
    <col min="4865" max="4865" width="14.6875" style="79" customWidth="1"/>
    <col min="4866" max="5091" width="5.6875" style="79" customWidth="1"/>
    <col min="5092" max="5092" width="4.6875" style="79" customWidth="1"/>
    <col min="5093" max="5093" width="8.3125" style="79" customWidth="1"/>
    <col min="5094" max="5095" width="5.6875" style="79" hidden="1" customWidth="1"/>
    <col min="5096" max="5096" width="4.875" style="79" customWidth="1"/>
    <col min="5097" max="5097" width="7.875" style="79" customWidth="1"/>
    <col min="5098" max="5098" width="6.3125" style="79" customWidth="1"/>
    <col min="5099" max="5099" width="12.3125" style="79" customWidth="1"/>
    <col min="5100" max="5102" width="11.3125" style="79" customWidth="1"/>
    <col min="5103" max="5103" width="10.3125" style="79" customWidth="1"/>
    <col min="5104" max="5104" width="11.3125" style="79" customWidth="1"/>
    <col min="5105" max="5105" width="5.6875" style="79" hidden="1" customWidth="1"/>
    <col min="5106" max="5106" width="13.6875" style="79" customWidth="1"/>
    <col min="5107" max="5107" width="13" style="79" customWidth="1"/>
    <col min="5108" max="5108" width="14.6875" style="79" customWidth="1"/>
    <col min="5109" max="5109" width="5.875" style="79" customWidth="1"/>
    <col min="5110" max="5110" width="4.6875" style="79" customWidth="1"/>
    <col min="5111" max="5111" width="8.6875" style="79" customWidth="1"/>
    <col min="5112" max="5112" width="10.3125" style="79" customWidth="1"/>
    <col min="5113" max="5113" width="9" style="79" customWidth="1"/>
    <col min="5114" max="5114" width="12.125" style="79" customWidth="1"/>
    <col min="5115" max="5116" width="10.6875" style="79" customWidth="1"/>
    <col min="5117" max="5117" width="10.3125" style="79" customWidth="1"/>
    <col min="5118" max="5118" width="11.6875" style="79" customWidth="1"/>
    <col min="5119" max="5119" width="13.6875" style="79" customWidth="1"/>
    <col min="5120" max="5120" width="26.1875" style="79" customWidth="1"/>
    <col min="5121" max="5121" width="14.6875" style="79" customWidth="1"/>
    <col min="5122" max="5347" width="5.6875" style="79" customWidth="1"/>
    <col min="5348" max="5348" width="4.6875" style="79" customWidth="1"/>
    <col min="5349" max="5349" width="8.3125" style="79" customWidth="1"/>
    <col min="5350" max="5351" width="5.6875" style="79" hidden="1" customWidth="1"/>
    <col min="5352" max="5352" width="4.875" style="79" customWidth="1"/>
    <col min="5353" max="5353" width="7.875" style="79" customWidth="1"/>
    <col min="5354" max="5354" width="6.3125" style="79" customWidth="1"/>
    <col min="5355" max="5355" width="12.3125" style="79" customWidth="1"/>
    <col min="5356" max="5358" width="11.3125" style="79" customWidth="1"/>
    <col min="5359" max="5359" width="10.3125" style="79" customWidth="1"/>
    <col min="5360" max="5360" width="11.3125" style="79" customWidth="1"/>
    <col min="5361" max="5361" width="5.6875" style="79" hidden="1" customWidth="1"/>
    <col min="5362" max="5362" width="13.6875" style="79" customWidth="1"/>
    <col min="5363" max="5363" width="13" style="79" customWidth="1"/>
    <col min="5364" max="5364" width="14.6875" style="79" customWidth="1"/>
    <col min="5365" max="5365" width="5.875" style="79" customWidth="1"/>
    <col min="5366" max="5366" width="4.6875" style="79" customWidth="1"/>
    <col min="5367" max="5367" width="8.6875" style="79" customWidth="1"/>
    <col min="5368" max="5368" width="10.3125" style="79" customWidth="1"/>
    <col min="5369" max="5369" width="9" style="79" customWidth="1"/>
    <col min="5370" max="5370" width="12.125" style="79" customWidth="1"/>
    <col min="5371" max="5372" width="10.6875" style="79" customWidth="1"/>
    <col min="5373" max="5373" width="10.3125" style="79" customWidth="1"/>
    <col min="5374" max="5374" width="11.6875" style="79" customWidth="1"/>
    <col min="5375" max="5375" width="13.6875" style="79" customWidth="1"/>
    <col min="5376" max="5376" width="26.1875" style="79" customWidth="1"/>
    <col min="5377" max="5377" width="14.6875" style="79" customWidth="1"/>
    <col min="5378" max="5603" width="5.6875" style="79" customWidth="1"/>
    <col min="5604" max="5604" width="4.6875" style="79" customWidth="1"/>
    <col min="5605" max="5605" width="8.3125" style="79" customWidth="1"/>
    <col min="5606" max="5607" width="5.6875" style="79" hidden="1" customWidth="1"/>
    <col min="5608" max="5608" width="4.875" style="79" customWidth="1"/>
    <col min="5609" max="5609" width="7.875" style="79" customWidth="1"/>
    <col min="5610" max="5610" width="6.3125" style="79" customWidth="1"/>
    <col min="5611" max="5611" width="12.3125" style="79" customWidth="1"/>
    <col min="5612" max="5614" width="11.3125" style="79" customWidth="1"/>
    <col min="5615" max="5615" width="10.3125" style="79" customWidth="1"/>
    <col min="5616" max="5616" width="11.3125" style="79" customWidth="1"/>
    <col min="5617" max="5617" width="5.6875" style="79" hidden="1" customWidth="1"/>
    <col min="5618" max="5618" width="13.6875" style="79" customWidth="1"/>
    <col min="5619" max="5619" width="13" style="79" customWidth="1"/>
    <col min="5620" max="5620" width="14.6875" style="79" customWidth="1"/>
    <col min="5621" max="5621" width="5.875" style="79" customWidth="1"/>
    <col min="5622" max="5622" width="4.6875" style="79" customWidth="1"/>
    <col min="5623" max="5623" width="8.6875" style="79" customWidth="1"/>
    <col min="5624" max="5624" width="10.3125" style="79" customWidth="1"/>
    <col min="5625" max="5625" width="9" style="79" customWidth="1"/>
    <col min="5626" max="5626" width="12.125" style="79" customWidth="1"/>
    <col min="5627" max="5628" width="10.6875" style="79" customWidth="1"/>
    <col min="5629" max="5629" width="10.3125" style="79" customWidth="1"/>
    <col min="5630" max="5630" width="11.6875" style="79" customWidth="1"/>
    <col min="5631" max="5631" width="13.6875" style="79" customWidth="1"/>
    <col min="5632" max="5632" width="26.1875" style="79" customWidth="1"/>
    <col min="5633" max="5633" width="14.6875" style="79" customWidth="1"/>
    <col min="5634" max="5859" width="5.6875" style="79" customWidth="1"/>
    <col min="5860" max="5860" width="4.6875" style="79" customWidth="1"/>
    <col min="5861" max="5861" width="8.3125" style="79" customWidth="1"/>
    <col min="5862" max="5863" width="5.6875" style="79" hidden="1" customWidth="1"/>
    <col min="5864" max="5864" width="4.875" style="79" customWidth="1"/>
    <col min="5865" max="5865" width="7.875" style="79" customWidth="1"/>
    <col min="5866" max="5866" width="6.3125" style="79" customWidth="1"/>
    <col min="5867" max="5867" width="12.3125" style="79" customWidth="1"/>
    <col min="5868" max="5870" width="11.3125" style="79" customWidth="1"/>
    <col min="5871" max="5871" width="10.3125" style="79" customWidth="1"/>
    <col min="5872" max="5872" width="11.3125" style="79" customWidth="1"/>
    <col min="5873" max="5873" width="5.6875" style="79" hidden="1" customWidth="1"/>
    <col min="5874" max="5874" width="13.6875" style="79" customWidth="1"/>
    <col min="5875" max="5875" width="13" style="79" customWidth="1"/>
    <col min="5876" max="5876" width="14.6875" style="79" customWidth="1"/>
    <col min="5877" max="5877" width="5.875" style="79" customWidth="1"/>
    <col min="5878" max="5878" width="4.6875" style="79" customWidth="1"/>
    <col min="5879" max="5879" width="8.6875" style="79" customWidth="1"/>
    <col min="5880" max="5880" width="10.3125" style="79" customWidth="1"/>
    <col min="5881" max="5881" width="9" style="79" customWidth="1"/>
    <col min="5882" max="5882" width="12.125" style="79" customWidth="1"/>
    <col min="5883" max="5884" width="10.6875" style="79" customWidth="1"/>
    <col min="5885" max="5885" width="10.3125" style="79" customWidth="1"/>
    <col min="5886" max="5886" width="11.6875" style="79" customWidth="1"/>
    <col min="5887" max="5887" width="13.6875" style="79" customWidth="1"/>
    <col min="5888" max="5888" width="26.1875" style="79" customWidth="1"/>
    <col min="5889" max="5889" width="14.6875" style="79" customWidth="1"/>
    <col min="5890" max="6115" width="5.6875" style="79" customWidth="1"/>
    <col min="6116" max="6116" width="4.6875" style="79" customWidth="1"/>
    <col min="6117" max="6117" width="8.3125" style="79" customWidth="1"/>
    <col min="6118" max="6119" width="5.6875" style="79" hidden="1" customWidth="1"/>
    <col min="6120" max="6120" width="4.875" style="79" customWidth="1"/>
    <col min="6121" max="6121" width="7.875" style="79" customWidth="1"/>
    <col min="6122" max="6122" width="6.3125" style="79" customWidth="1"/>
    <col min="6123" max="6123" width="12.3125" style="79" customWidth="1"/>
    <col min="6124" max="6126" width="11.3125" style="79" customWidth="1"/>
    <col min="6127" max="6127" width="10.3125" style="79" customWidth="1"/>
    <col min="6128" max="6128" width="11.3125" style="79" customWidth="1"/>
    <col min="6129" max="6129" width="5.6875" style="79" hidden="1" customWidth="1"/>
    <col min="6130" max="6130" width="13.6875" style="79" customWidth="1"/>
    <col min="6131" max="6131" width="13" style="79" customWidth="1"/>
    <col min="6132" max="6132" width="14.6875" style="79" customWidth="1"/>
    <col min="6133" max="6133" width="5.875" style="79" customWidth="1"/>
    <col min="6134" max="6134" width="4.6875" style="79" customWidth="1"/>
    <col min="6135" max="6135" width="8.6875" style="79" customWidth="1"/>
    <col min="6136" max="6136" width="10.3125" style="79" customWidth="1"/>
    <col min="6137" max="6137" width="9" style="79" customWidth="1"/>
    <col min="6138" max="6138" width="12.125" style="79" customWidth="1"/>
    <col min="6139" max="6140" width="10.6875" style="79" customWidth="1"/>
    <col min="6141" max="6141" width="10.3125" style="79" customWidth="1"/>
    <col min="6142" max="6142" width="11.6875" style="79" customWidth="1"/>
    <col min="6143" max="6143" width="13.6875" style="79" customWidth="1"/>
    <col min="6144" max="6144" width="26.1875" style="79" customWidth="1"/>
    <col min="6145" max="6145" width="14.6875" style="79" customWidth="1"/>
    <col min="6146" max="6371" width="5.6875" style="79" customWidth="1"/>
    <col min="6372" max="6372" width="4.6875" style="79" customWidth="1"/>
    <col min="6373" max="6373" width="8.3125" style="79" customWidth="1"/>
    <col min="6374" max="6375" width="5.6875" style="79" hidden="1" customWidth="1"/>
    <col min="6376" max="6376" width="4.875" style="79" customWidth="1"/>
    <col min="6377" max="6377" width="7.875" style="79" customWidth="1"/>
    <col min="6378" max="6378" width="6.3125" style="79" customWidth="1"/>
    <col min="6379" max="6379" width="12.3125" style="79" customWidth="1"/>
    <col min="6380" max="6382" width="11.3125" style="79" customWidth="1"/>
    <col min="6383" max="6383" width="10.3125" style="79" customWidth="1"/>
    <col min="6384" max="6384" width="11.3125" style="79" customWidth="1"/>
    <col min="6385" max="6385" width="5.6875" style="79" hidden="1" customWidth="1"/>
    <col min="6386" max="6386" width="13.6875" style="79" customWidth="1"/>
    <col min="6387" max="6387" width="13" style="79" customWidth="1"/>
    <col min="6388" max="6388" width="14.6875" style="79" customWidth="1"/>
    <col min="6389" max="6389" width="5.875" style="79" customWidth="1"/>
    <col min="6390" max="6390" width="4.6875" style="79" customWidth="1"/>
    <col min="6391" max="6391" width="8.6875" style="79" customWidth="1"/>
    <col min="6392" max="6392" width="10.3125" style="79" customWidth="1"/>
    <col min="6393" max="6393" width="9" style="79" customWidth="1"/>
    <col min="6394" max="6394" width="12.125" style="79" customWidth="1"/>
    <col min="6395" max="6396" width="10.6875" style="79" customWidth="1"/>
    <col min="6397" max="6397" width="10.3125" style="79" customWidth="1"/>
    <col min="6398" max="6398" width="11.6875" style="79" customWidth="1"/>
    <col min="6399" max="6399" width="13.6875" style="79" customWidth="1"/>
    <col min="6400" max="6400" width="26.1875" style="79" customWidth="1"/>
    <col min="6401" max="6401" width="14.6875" style="79" customWidth="1"/>
    <col min="6402" max="6627" width="5.6875" style="79" customWidth="1"/>
    <col min="6628" max="6628" width="4.6875" style="79" customWidth="1"/>
    <col min="6629" max="6629" width="8.3125" style="79" customWidth="1"/>
    <col min="6630" max="6631" width="5.6875" style="79" hidden="1" customWidth="1"/>
    <col min="6632" max="6632" width="4.875" style="79" customWidth="1"/>
    <col min="6633" max="6633" width="7.875" style="79" customWidth="1"/>
    <col min="6634" max="6634" width="6.3125" style="79" customWidth="1"/>
    <col min="6635" max="6635" width="12.3125" style="79" customWidth="1"/>
    <col min="6636" max="6638" width="11.3125" style="79" customWidth="1"/>
    <col min="6639" max="6639" width="10.3125" style="79" customWidth="1"/>
    <col min="6640" max="6640" width="11.3125" style="79" customWidth="1"/>
    <col min="6641" max="6641" width="5.6875" style="79" hidden="1" customWidth="1"/>
    <col min="6642" max="6642" width="13.6875" style="79" customWidth="1"/>
    <col min="6643" max="6643" width="13" style="79" customWidth="1"/>
    <col min="6644" max="6644" width="14.6875" style="79" customWidth="1"/>
    <col min="6645" max="6645" width="5.875" style="79" customWidth="1"/>
    <col min="6646" max="6646" width="4.6875" style="79" customWidth="1"/>
    <col min="6647" max="6647" width="8.6875" style="79" customWidth="1"/>
    <col min="6648" max="6648" width="10.3125" style="79" customWidth="1"/>
    <col min="6649" max="6649" width="9" style="79" customWidth="1"/>
    <col min="6650" max="6650" width="12.125" style="79" customWidth="1"/>
    <col min="6651" max="6652" width="10.6875" style="79" customWidth="1"/>
    <col min="6653" max="6653" width="10.3125" style="79" customWidth="1"/>
    <col min="6654" max="6654" width="11.6875" style="79" customWidth="1"/>
    <col min="6655" max="6655" width="13.6875" style="79" customWidth="1"/>
    <col min="6656" max="6656" width="26.1875" style="79" customWidth="1"/>
    <col min="6657" max="6657" width="14.6875" style="79" customWidth="1"/>
    <col min="6658" max="6883" width="5.6875" style="79" customWidth="1"/>
    <col min="6884" max="6884" width="4.6875" style="79" customWidth="1"/>
    <col min="6885" max="6885" width="8.3125" style="79" customWidth="1"/>
    <col min="6886" max="6887" width="5.6875" style="79" hidden="1" customWidth="1"/>
    <col min="6888" max="6888" width="4.875" style="79" customWidth="1"/>
    <col min="6889" max="6889" width="7.875" style="79" customWidth="1"/>
    <col min="6890" max="6890" width="6.3125" style="79" customWidth="1"/>
    <col min="6891" max="6891" width="12.3125" style="79" customWidth="1"/>
    <col min="6892" max="6894" width="11.3125" style="79" customWidth="1"/>
    <col min="6895" max="6895" width="10.3125" style="79" customWidth="1"/>
    <col min="6896" max="6896" width="11.3125" style="79" customWidth="1"/>
    <col min="6897" max="6897" width="5.6875" style="79" hidden="1" customWidth="1"/>
    <col min="6898" max="6898" width="13.6875" style="79" customWidth="1"/>
    <col min="6899" max="6899" width="13" style="79" customWidth="1"/>
    <col min="6900" max="6900" width="14.6875" style="79" customWidth="1"/>
    <col min="6901" max="6901" width="5.875" style="79" customWidth="1"/>
    <col min="6902" max="6902" width="4.6875" style="79" customWidth="1"/>
    <col min="6903" max="6903" width="8.6875" style="79" customWidth="1"/>
    <col min="6904" max="6904" width="10.3125" style="79" customWidth="1"/>
    <col min="6905" max="6905" width="9" style="79" customWidth="1"/>
    <col min="6906" max="6906" width="12.125" style="79" customWidth="1"/>
    <col min="6907" max="6908" width="10.6875" style="79" customWidth="1"/>
    <col min="6909" max="6909" width="10.3125" style="79" customWidth="1"/>
    <col min="6910" max="6910" width="11.6875" style="79" customWidth="1"/>
    <col min="6911" max="6911" width="13.6875" style="79" customWidth="1"/>
    <col min="6912" max="6912" width="26.1875" style="79" customWidth="1"/>
    <col min="6913" max="6913" width="14.6875" style="79" customWidth="1"/>
    <col min="6914" max="7139" width="5.6875" style="79" customWidth="1"/>
    <col min="7140" max="7140" width="4.6875" style="79" customWidth="1"/>
    <col min="7141" max="7141" width="8.3125" style="79" customWidth="1"/>
    <col min="7142" max="7143" width="5.6875" style="79" hidden="1" customWidth="1"/>
    <col min="7144" max="7144" width="4.875" style="79" customWidth="1"/>
    <col min="7145" max="7145" width="7.875" style="79" customWidth="1"/>
    <col min="7146" max="7146" width="6.3125" style="79" customWidth="1"/>
    <col min="7147" max="7147" width="12.3125" style="79" customWidth="1"/>
    <col min="7148" max="7150" width="11.3125" style="79" customWidth="1"/>
    <col min="7151" max="7151" width="10.3125" style="79" customWidth="1"/>
    <col min="7152" max="7152" width="11.3125" style="79" customWidth="1"/>
    <col min="7153" max="7153" width="5.6875" style="79" hidden="1" customWidth="1"/>
    <col min="7154" max="7154" width="13.6875" style="79" customWidth="1"/>
    <col min="7155" max="7155" width="13" style="79" customWidth="1"/>
    <col min="7156" max="7156" width="14.6875" style="79" customWidth="1"/>
    <col min="7157" max="7157" width="5.875" style="79" customWidth="1"/>
    <col min="7158" max="7158" width="4.6875" style="79" customWidth="1"/>
    <col min="7159" max="7159" width="8.6875" style="79" customWidth="1"/>
    <col min="7160" max="7160" width="10.3125" style="79" customWidth="1"/>
    <col min="7161" max="7161" width="9" style="79" customWidth="1"/>
    <col min="7162" max="7162" width="12.125" style="79" customWidth="1"/>
    <col min="7163" max="7164" width="10.6875" style="79" customWidth="1"/>
    <col min="7165" max="7165" width="10.3125" style="79" customWidth="1"/>
    <col min="7166" max="7166" width="11.6875" style="79" customWidth="1"/>
    <col min="7167" max="7167" width="13.6875" style="79" customWidth="1"/>
    <col min="7168" max="7168" width="26.1875" style="79" customWidth="1"/>
    <col min="7169" max="7169" width="14.6875" style="79" customWidth="1"/>
    <col min="7170" max="7395" width="5.6875" style="79" customWidth="1"/>
    <col min="7396" max="7396" width="4.6875" style="79" customWidth="1"/>
    <col min="7397" max="7397" width="8.3125" style="79" customWidth="1"/>
    <col min="7398" max="7399" width="5.6875" style="79" hidden="1" customWidth="1"/>
    <col min="7400" max="7400" width="4.875" style="79" customWidth="1"/>
    <col min="7401" max="7401" width="7.875" style="79" customWidth="1"/>
    <col min="7402" max="7402" width="6.3125" style="79" customWidth="1"/>
    <col min="7403" max="7403" width="12.3125" style="79" customWidth="1"/>
    <col min="7404" max="7406" width="11.3125" style="79" customWidth="1"/>
    <col min="7407" max="7407" width="10.3125" style="79" customWidth="1"/>
    <col min="7408" max="7408" width="11.3125" style="79" customWidth="1"/>
    <col min="7409" max="7409" width="5.6875" style="79" hidden="1" customWidth="1"/>
    <col min="7410" max="7410" width="13.6875" style="79" customWidth="1"/>
    <col min="7411" max="7411" width="13" style="79" customWidth="1"/>
    <col min="7412" max="7412" width="14.6875" style="79" customWidth="1"/>
    <col min="7413" max="7413" width="5.875" style="79" customWidth="1"/>
    <col min="7414" max="7414" width="4.6875" style="79" customWidth="1"/>
    <col min="7415" max="7415" width="8.6875" style="79" customWidth="1"/>
    <col min="7416" max="7416" width="10.3125" style="79" customWidth="1"/>
    <col min="7417" max="7417" width="9" style="79" customWidth="1"/>
    <col min="7418" max="7418" width="12.125" style="79" customWidth="1"/>
    <col min="7419" max="7420" width="10.6875" style="79" customWidth="1"/>
    <col min="7421" max="7421" width="10.3125" style="79" customWidth="1"/>
    <col min="7422" max="7422" width="11.6875" style="79" customWidth="1"/>
    <col min="7423" max="7423" width="13.6875" style="79" customWidth="1"/>
    <col min="7424" max="7424" width="26.1875" style="79" customWidth="1"/>
    <col min="7425" max="7425" width="14.6875" style="79" customWidth="1"/>
    <col min="7426" max="7651" width="5.6875" style="79" customWidth="1"/>
    <col min="7652" max="7652" width="4.6875" style="79" customWidth="1"/>
    <col min="7653" max="7653" width="8.3125" style="79" customWidth="1"/>
    <col min="7654" max="7655" width="5.6875" style="79" hidden="1" customWidth="1"/>
    <col min="7656" max="7656" width="4.875" style="79" customWidth="1"/>
    <col min="7657" max="7657" width="7.875" style="79" customWidth="1"/>
    <col min="7658" max="7658" width="6.3125" style="79" customWidth="1"/>
    <col min="7659" max="7659" width="12.3125" style="79" customWidth="1"/>
    <col min="7660" max="7662" width="11.3125" style="79" customWidth="1"/>
    <col min="7663" max="7663" width="10.3125" style="79" customWidth="1"/>
    <col min="7664" max="7664" width="11.3125" style="79" customWidth="1"/>
    <col min="7665" max="7665" width="5.6875" style="79" hidden="1" customWidth="1"/>
    <col min="7666" max="7666" width="13.6875" style="79" customWidth="1"/>
    <col min="7667" max="7667" width="13" style="79" customWidth="1"/>
    <col min="7668" max="7668" width="14.6875" style="79" customWidth="1"/>
    <col min="7669" max="7669" width="5.875" style="79" customWidth="1"/>
    <col min="7670" max="7670" width="4.6875" style="79" customWidth="1"/>
    <col min="7671" max="7671" width="8.6875" style="79" customWidth="1"/>
    <col min="7672" max="7672" width="10.3125" style="79" customWidth="1"/>
    <col min="7673" max="7673" width="9" style="79" customWidth="1"/>
    <col min="7674" max="7674" width="12.125" style="79" customWidth="1"/>
    <col min="7675" max="7676" width="10.6875" style="79" customWidth="1"/>
    <col min="7677" max="7677" width="10.3125" style="79" customWidth="1"/>
    <col min="7678" max="7678" width="11.6875" style="79" customWidth="1"/>
    <col min="7679" max="7679" width="13.6875" style="79" customWidth="1"/>
    <col min="7680" max="7680" width="26.1875" style="79" customWidth="1"/>
    <col min="7681" max="7681" width="14.6875" style="79" customWidth="1"/>
    <col min="7682" max="7907" width="5.6875" style="79" customWidth="1"/>
    <col min="7908" max="7908" width="4.6875" style="79" customWidth="1"/>
    <col min="7909" max="7909" width="8.3125" style="79" customWidth="1"/>
    <col min="7910" max="7911" width="5.6875" style="79" hidden="1" customWidth="1"/>
    <col min="7912" max="7912" width="4.875" style="79" customWidth="1"/>
    <col min="7913" max="7913" width="7.875" style="79" customWidth="1"/>
    <col min="7914" max="7914" width="6.3125" style="79" customWidth="1"/>
    <col min="7915" max="7915" width="12.3125" style="79" customWidth="1"/>
    <col min="7916" max="7918" width="11.3125" style="79" customWidth="1"/>
    <col min="7919" max="7919" width="10.3125" style="79" customWidth="1"/>
    <col min="7920" max="7920" width="11.3125" style="79" customWidth="1"/>
    <col min="7921" max="7921" width="5.6875" style="79" hidden="1" customWidth="1"/>
    <col min="7922" max="7922" width="13.6875" style="79" customWidth="1"/>
    <col min="7923" max="7923" width="13" style="79" customWidth="1"/>
    <col min="7924" max="7924" width="14.6875" style="79" customWidth="1"/>
    <col min="7925" max="7925" width="5.875" style="79" customWidth="1"/>
    <col min="7926" max="7926" width="4.6875" style="79" customWidth="1"/>
    <col min="7927" max="7927" width="8.6875" style="79" customWidth="1"/>
    <col min="7928" max="7928" width="10.3125" style="79" customWidth="1"/>
    <col min="7929" max="7929" width="9" style="79" customWidth="1"/>
    <col min="7930" max="7930" width="12.125" style="79" customWidth="1"/>
    <col min="7931" max="7932" width="10.6875" style="79" customWidth="1"/>
    <col min="7933" max="7933" width="10.3125" style="79" customWidth="1"/>
    <col min="7934" max="7934" width="11.6875" style="79" customWidth="1"/>
    <col min="7935" max="7935" width="13.6875" style="79" customWidth="1"/>
    <col min="7936" max="7936" width="26.1875" style="79" customWidth="1"/>
    <col min="7937" max="7937" width="14.6875" style="79" customWidth="1"/>
    <col min="7938" max="8163" width="5.6875" style="79" customWidth="1"/>
    <col min="8164" max="8164" width="4.6875" style="79" customWidth="1"/>
    <col min="8165" max="8165" width="8.3125" style="79" customWidth="1"/>
    <col min="8166" max="8167" width="5.6875" style="79" hidden="1" customWidth="1"/>
    <col min="8168" max="8168" width="4.875" style="79" customWidth="1"/>
    <col min="8169" max="8169" width="7.875" style="79" customWidth="1"/>
    <col min="8170" max="8170" width="6.3125" style="79" customWidth="1"/>
    <col min="8171" max="8171" width="12.3125" style="79" customWidth="1"/>
    <col min="8172" max="8174" width="11.3125" style="79" customWidth="1"/>
    <col min="8175" max="8175" width="10.3125" style="79" customWidth="1"/>
    <col min="8176" max="8176" width="11.3125" style="79" customWidth="1"/>
    <col min="8177" max="8177" width="5.6875" style="79" hidden="1" customWidth="1"/>
    <col min="8178" max="8178" width="13.6875" style="79" customWidth="1"/>
    <col min="8179" max="8179" width="13" style="79" customWidth="1"/>
    <col min="8180" max="8180" width="14.6875" style="79" customWidth="1"/>
    <col min="8181" max="8181" width="5.875" style="79" customWidth="1"/>
    <col min="8182" max="8182" width="4.6875" style="79" customWidth="1"/>
    <col min="8183" max="8183" width="8.6875" style="79" customWidth="1"/>
    <col min="8184" max="8184" width="10.3125" style="79" customWidth="1"/>
    <col min="8185" max="8185" width="9" style="79" customWidth="1"/>
    <col min="8186" max="8186" width="12.125" style="79" customWidth="1"/>
    <col min="8187" max="8188" width="10.6875" style="79" customWidth="1"/>
    <col min="8189" max="8189" width="10.3125" style="79" customWidth="1"/>
    <col min="8190" max="8190" width="11.6875" style="79" customWidth="1"/>
    <col min="8191" max="8191" width="13.6875" style="79" customWidth="1"/>
    <col min="8192" max="8192" width="26.1875" style="79" customWidth="1"/>
    <col min="8193" max="8193" width="14.6875" style="79" customWidth="1"/>
    <col min="8194" max="8419" width="5.6875" style="79" customWidth="1"/>
    <col min="8420" max="8420" width="4.6875" style="79" customWidth="1"/>
    <col min="8421" max="8421" width="8.3125" style="79" customWidth="1"/>
    <col min="8422" max="8423" width="5.6875" style="79" hidden="1" customWidth="1"/>
    <col min="8424" max="8424" width="4.875" style="79" customWidth="1"/>
    <col min="8425" max="8425" width="7.875" style="79" customWidth="1"/>
    <col min="8426" max="8426" width="6.3125" style="79" customWidth="1"/>
    <col min="8427" max="8427" width="12.3125" style="79" customWidth="1"/>
    <col min="8428" max="8430" width="11.3125" style="79" customWidth="1"/>
    <col min="8431" max="8431" width="10.3125" style="79" customWidth="1"/>
    <col min="8432" max="8432" width="11.3125" style="79" customWidth="1"/>
    <col min="8433" max="8433" width="5.6875" style="79" hidden="1" customWidth="1"/>
    <col min="8434" max="8434" width="13.6875" style="79" customWidth="1"/>
    <col min="8435" max="8435" width="13" style="79" customWidth="1"/>
    <col min="8436" max="8436" width="14.6875" style="79" customWidth="1"/>
    <col min="8437" max="8437" width="5.875" style="79" customWidth="1"/>
    <col min="8438" max="8438" width="4.6875" style="79" customWidth="1"/>
    <col min="8439" max="8439" width="8.6875" style="79" customWidth="1"/>
    <col min="8440" max="8440" width="10.3125" style="79" customWidth="1"/>
    <col min="8441" max="8441" width="9" style="79" customWidth="1"/>
    <col min="8442" max="8442" width="12.125" style="79" customWidth="1"/>
    <col min="8443" max="8444" width="10.6875" style="79" customWidth="1"/>
    <col min="8445" max="8445" width="10.3125" style="79" customWidth="1"/>
    <col min="8446" max="8446" width="11.6875" style="79" customWidth="1"/>
    <col min="8447" max="8447" width="13.6875" style="79" customWidth="1"/>
    <col min="8448" max="8448" width="26.1875" style="79" customWidth="1"/>
    <col min="8449" max="8449" width="14.6875" style="79" customWidth="1"/>
    <col min="8450" max="8675" width="5.6875" style="79" customWidth="1"/>
    <col min="8676" max="8676" width="4.6875" style="79" customWidth="1"/>
    <col min="8677" max="8677" width="8.3125" style="79" customWidth="1"/>
    <col min="8678" max="8679" width="5.6875" style="79" hidden="1" customWidth="1"/>
    <col min="8680" max="8680" width="4.875" style="79" customWidth="1"/>
    <col min="8681" max="8681" width="7.875" style="79" customWidth="1"/>
    <col min="8682" max="8682" width="6.3125" style="79" customWidth="1"/>
    <col min="8683" max="8683" width="12.3125" style="79" customWidth="1"/>
    <col min="8684" max="8686" width="11.3125" style="79" customWidth="1"/>
    <col min="8687" max="8687" width="10.3125" style="79" customWidth="1"/>
    <col min="8688" max="8688" width="11.3125" style="79" customWidth="1"/>
    <col min="8689" max="8689" width="5.6875" style="79" hidden="1" customWidth="1"/>
    <col min="8690" max="8690" width="13.6875" style="79" customWidth="1"/>
    <col min="8691" max="8691" width="13" style="79" customWidth="1"/>
    <col min="8692" max="8692" width="14.6875" style="79" customWidth="1"/>
    <col min="8693" max="8693" width="5.875" style="79" customWidth="1"/>
    <col min="8694" max="8694" width="4.6875" style="79" customWidth="1"/>
    <col min="8695" max="8695" width="8.6875" style="79" customWidth="1"/>
    <col min="8696" max="8696" width="10.3125" style="79" customWidth="1"/>
    <col min="8697" max="8697" width="9" style="79" customWidth="1"/>
    <col min="8698" max="8698" width="12.125" style="79" customWidth="1"/>
    <col min="8699" max="8700" width="10.6875" style="79" customWidth="1"/>
    <col min="8701" max="8701" width="10.3125" style="79" customWidth="1"/>
    <col min="8702" max="8702" width="11.6875" style="79" customWidth="1"/>
    <col min="8703" max="8703" width="13.6875" style="79" customWidth="1"/>
    <col min="8704" max="8704" width="26.1875" style="79" customWidth="1"/>
    <col min="8705" max="8705" width="14.6875" style="79" customWidth="1"/>
    <col min="8706" max="8931" width="5.6875" style="79" customWidth="1"/>
    <col min="8932" max="8932" width="4.6875" style="79" customWidth="1"/>
    <col min="8933" max="8933" width="8.3125" style="79" customWidth="1"/>
    <col min="8934" max="8935" width="5.6875" style="79" hidden="1" customWidth="1"/>
    <col min="8936" max="8936" width="4.875" style="79" customWidth="1"/>
    <col min="8937" max="8937" width="7.875" style="79" customWidth="1"/>
    <col min="8938" max="8938" width="6.3125" style="79" customWidth="1"/>
    <col min="8939" max="8939" width="12.3125" style="79" customWidth="1"/>
    <col min="8940" max="8942" width="11.3125" style="79" customWidth="1"/>
    <col min="8943" max="8943" width="10.3125" style="79" customWidth="1"/>
    <col min="8944" max="8944" width="11.3125" style="79" customWidth="1"/>
    <col min="8945" max="8945" width="5.6875" style="79" hidden="1" customWidth="1"/>
    <col min="8946" max="8946" width="13.6875" style="79" customWidth="1"/>
    <col min="8947" max="8947" width="13" style="79" customWidth="1"/>
    <col min="8948" max="8948" width="14.6875" style="79" customWidth="1"/>
    <col min="8949" max="8949" width="5.875" style="79" customWidth="1"/>
    <col min="8950" max="8950" width="4.6875" style="79" customWidth="1"/>
    <col min="8951" max="8951" width="8.6875" style="79" customWidth="1"/>
    <col min="8952" max="8952" width="10.3125" style="79" customWidth="1"/>
    <col min="8953" max="8953" width="9" style="79" customWidth="1"/>
    <col min="8954" max="8954" width="12.125" style="79" customWidth="1"/>
    <col min="8955" max="8956" width="10.6875" style="79" customWidth="1"/>
    <col min="8957" max="8957" width="10.3125" style="79" customWidth="1"/>
    <col min="8958" max="8958" width="11.6875" style="79" customWidth="1"/>
    <col min="8959" max="8959" width="13.6875" style="79" customWidth="1"/>
    <col min="8960" max="8960" width="26.1875" style="79" customWidth="1"/>
    <col min="8961" max="8961" width="14.6875" style="79" customWidth="1"/>
    <col min="8962" max="9187" width="5.6875" style="79" customWidth="1"/>
    <col min="9188" max="9188" width="4.6875" style="79" customWidth="1"/>
    <col min="9189" max="9189" width="8.3125" style="79" customWidth="1"/>
    <col min="9190" max="9191" width="5.6875" style="79" hidden="1" customWidth="1"/>
    <col min="9192" max="9192" width="4.875" style="79" customWidth="1"/>
    <col min="9193" max="9193" width="7.875" style="79" customWidth="1"/>
    <col min="9194" max="9194" width="6.3125" style="79" customWidth="1"/>
    <col min="9195" max="9195" width="12.3125" style="79" customWidth="1"/>
    <col min="9196" max="9198" width="11.3125" style="79" customWidth="1"/>
    <col min="9199" max="9199" width="10.3125" style="79" customWidth="1"/>
    <col min="9200" max="9200" width="11.3125" style="79" customWidth="1"/>
    <col min="9201" max="9201" width="5.6875" style="79" hidden="1" customWidth="1"/>
    <col min="9202" max="9202" width="13.6875" style="79" customWidth="1"/>
    <col min="9203" max="9203" width="13" style="79" customWidth="1"/>
    <col min="9204" max="9204" width="14.6875" style="79" customWidth="1"/>
    <col min="9205" max="9205" width="5.875" style="79" customWidth="1"/>
    <col min="9206" max="9206" width="4.6875" style="79" customWidth="1"/>
    <col min="9207" max="9207" width="8.6875" style="79" customWidth="1"/>
    <col min="9208" max="9208" width="10.3125" style="79" customWidth="1"/>
    <col min="9209" max="9209" width="9" style="79" customWidth="1"/>
    <col min="9210" max="9210" width="12.125" style="79" customWidth="1"/>
    <col min="9211" max="9212" width="10.6875" style="79" customWidth="1"/>
    <col min="9213" max="9213" width="10.3125" style="79" customWidth="1"/>
    <col min="9214" max="9214" width="11.6875" style="79" customWidth="1"/>
    <col min="9215" max="9215" width="13.6875" style="79" customWidth="1"/>
    <col min="9216" max="9216" width="26.1875" style="79" customWidth="1"/>
    <col min="9217" max="9217" width="14.6875" style="79" customWidth="1"/>
    <col min="9218" max="9443" width="5.6875" style="79" customWidth="1"/>
    <col min="9444" max="9444" width="4.6875" style="79" customWidth="1"/>
    <col min="9445" max="9445" width="8.3125" style="79" customWidth="1"/>
    <col min="9446" max="9447" width="5.6875" style="79" hidden="1" customWidth="1"/>
    <col min="9448" max="9448" width="4.875" style="79" customWidth="1"/>
    <col min="9449" max="9449" width="7.875" style="79" customWidth="1"/>
    <col min="9450" max="9450" width="6.3125" style="79" customWidth="1"/>
    <col min="9451" max="9451" width="12.3125" style="79" customWidth="1"/>
    <col min="9452" max="9454" width="11.3125" style="79" customWidth="1"/>
    <col min="9455" max="9455" width="10.3125" style="79" customWidth="1"/>
    <col min="9456" max="9456" width="11.3125" style="79" customWidth="1"/>
    <col min="9457" max="9457" width="5.6875" style="79" hidden="1" customWidth="1"/>
    <col min="9458" max="9458" width="13.6875" style="79" customWidth="1"/>
    <col min="9459" max="9459" width="13" style="79" customWidth="1"/>
    <col min="9460" max="9460" width="14.6875" style="79" customWidth="1"/>
    <col min="9461" max="9461" width="5.875" style="79" customWidth="1"/>
    <col min="9462" max="9462" width="4.6875" style="79" customWidth="1"/>
    <col min="9463" max="9463" width="8.6875" style="79" customWidth="1"/>
    <col min="9464" max="9464" width="10.3125" style="79" customWidth="1"/>
    <col min="9465" max="9465" width="9" style="79" customWidth="1"/>
    <col min="9466" max="9466" width="12.125" style="79" customWidth="1"/>
    <col min="9467" max="9468" width="10.6875" style="79" customWidth="1"/>
    <col min="9469" max="9469" width="10.3125" style="79" customWidth="1"/>
    <col min="9470" max="9470" width="11.6875" style="79" customWidth="1"/>
    <col min="9471" max="9471" width="13.6875" style="79" customWidth="1"/>
    <col min="9472" max="9472" width="26.1875" style="79" customWidth="1"/>
    <col min="9473" max="9473" width="14.6875" style="79" customWidth="1"/>
    <col min="9474" max="9699" width="5.6875" style="79" customWidth="1"/>
    <col min="9700" max="9700" width="4.6875" style="79" customWidth="1"/>
    <col min="9701" max="9701" width="8.3125" style="79" customWidth="1"/>
    <col min="9702" max="9703" width="5.6875" style="79" hidden="1" customWidth="1"/>
    <col min="9704" max="9704" width="4.875" style="79" customWidth="1"/>
    <col min="9705" max="9705" width="7.875" style="79" customWidth="1"/>
    <col min="9706" max="9706" width="6.3125" style="79" customWidth="1"/>
    <col min="9707" max="9707" width="12.3125" style="79" customWidth="1"/>
    <col min="9708" max="9710" width="11.3125" style="79" customWidth="1"/>
    <col min="9711" max="9711" width="10.3125" style="79" customWidth="1"/>
    <col min="9712" max="9712" width="11.3125" style="79" customWidth="1"/>
    <col min="9713" max="9713" width="5.6875" style="79" hidden="1" customWidth="1"/>
    <col min="9714" max="9714" width="13.6875" style="79" customWidth="1"/>
    <col min="9715" max="9715" width="13" style="79" customWidth="1"/>
    <col min="9716" max="9716" width="14.6875" style="79" customWidth="1"/>
    <col min="9717" max="9717" width="5.875" style="79" customWidth="1"/>
    <col min="9718" max="9718" width="4.6875" style="79" customWidth="1"/>
    <col min="9719" max="9719" width="8.6875" style="79" customWidth="1"/>
    <col min="9720" max="9720" width="10.3125" style="79" customWidth="1"/>
    <col min="9721" max="9721" width="9" style="79" customWidth="1"/>
    <col min="9722" max="9722" width="12.125" style="79" customWidth="1"/>
    <col min="9723" max="9724" width="10.6875" style="79" customWidth="1"/>
    <col min="9725" max="9725" width="10.3125" style="79" customWidth="1"/>
    <col min="9726" max="9726" width="11.6875" style="79" customWidth="1"/>
    <col min="9727" max="9727" width="13.6875" style="79" customWidth="1"/>
    <col min="9728" max="9728" width="26.1875" style="79" customWidth="1"/>
    <col min="9729" max="9729" width="14.6875" style="79" customWidth="1"/>
    <col min="9730" max="9955" width="5.6875" style="79" customWidth="1"/>
    <col min="9956" max="9956" width="4.6875" style="79" customWidth="1"/>
    <col min="9957" max="9957" width="8.3125" style="79" customWidth="1"/>
    <col min="9958" max="9959" width="5.6875" style="79" hidden="1" customWidth="1"/>
    <col min="9960" max="9960" width="4.875" style="79" customWidth="1"/>
    <col min="9961" max="9961" width="7.875" style="79" customWidth="1"/>
    <col min="9962" max="9962" width="6.3125" style="79" customWidth="1"/>
    <col min="9963" max="9963" width="12.3125" style="79" customWidth="1"/>
    <col min="9964" max="9966" width="11.3125" style="79" customWidth="1"/>
    <col min="9967" max="9967" width="10.3125" style="79" customWidth="1"/>
    <col min="9968" max="9968" width="11.3125" style="79" customWidth="1"/>
    <col min="9969" max="9969" width="5.6875" style="79" hidden="1" customWidth="1"/>
    <col min="9970" max="9970" width="13.6875" style="79" customWidth="1"/>
    <col min="9971" max="9971" width="13" style="79" customWidth="1"/>
    <col min="9972" max="9972" width="14.6875" style="79" customWidth="1"/>
    <col min="9973" max="9973" width="5.875" style="79" customWidth="1"/>
    <col min="9974" max="9974" width="4.6875" style="79" customWidth="1"/>
    <col min="9975" max="9975" width="8.6875" style="79" customWidth="1"/>
    <col min="9976" max="9976" width="10.3125" style="79" customWidth="1"/>
    <col min="9977" max="9977" width="9" style="79" customWidth="1"/>
    <col min="9978" max="9978" width="12.125" style="79" customWidth="1"/>
    <col min="9979" max="9980" width="10.6875" style="79" customWidth="1"/>
    <col min="9981" max="9981" width="10.3125" style="79" customWidth="1"/>
    <col min="9982" max="9982" width="11.6875" style="79" customWidth="1"/>
    <col min="9983" max="9983" width="13.6875" style="79" customWidth="1"/>
    <col min="9984" max="9984" width="26.1875" style="79" customWidth="1"/>
    <col min="9985" max="9985" width="14.6875" style="79" customWidth="1"/>
    <col min="9986" max="10211" width="5.6875" style="79" customWidth="1"/>
    <col min="10212" max="10212" width="4.6875" style="79" customWidth="1"/>
    <col min="10213" max="10213" width="8.3125" style="79" customWidth="1"/>
    <col min="10214" max="10215" width="5.6875" style="79" hidden="1" customWidth="1"/>
    <col min="10216" max="10216" width="4.875" style="79" customWidth="1"/>
    <col min="10217" max="10217" width="7.875" style="79" customWidth="1"/>
    <col min="10218" max="10218" width="6.3125" style="79" customWidth="1"/>
    <col min="10219" max="10219" width="12.3125" style="79" customWidth="1"/>
    <col min="10220" max="10222" width="11.3125" style="79" customWidth="1"/>
    <col min="10223" max="10223" width="10.3125" style="79" customWidth="1"/>
    <col min="10224" max="10224" width="11.3125" style="79" customWidth="1"/>
    <col min="10225" max="10225" width="5.6875" style="79" hidden="1" customWidth="1"/>
    <col min="10226" max="10226" width="13.6875" style="79" customWidth="1"/>
    <col min="10227" max="10227" width="13" style="79" customWidth="1"/>
    <col min="10228" max="10228" width="14.6875" style="79" customWidth="1"/>
    <col min="10229" max="10229" width="5.875" style="79" customWidth="1"/>
    <col min="10230" max="10230" width="4.6875" style="79" customWidth="1"/>
    <col min="10231" max="10231" width="8.6875" style="79" customWidth="1"/>
    <col min="10232" max="10232" width="10.3125" style="79" customWidth="1"/>
    <col min="10233" max="10233" width="9" style="79" customWidth="1"/>
    <col min="10234" max="10234" width="12.125" style="79" customWidth="1"/>
    <col min="10235" max="10236" width="10.6875" style="79" customWidth="1"/>
    <col min="10237" max="10237" width="10.3125" style="79" customWidth="1"/>
    <col min="10238" max="10238" width="11.6875" style="79" customWidth="1"/>
    <col min="10239" max="10239" width="13.6875" style="79" customWidth="1"/>
    <col min="10240" max="10240" width="26.1875" style="79" customWidth="1"/>
    <col min="10241" max="10241" width="14.6875" style="79" customWidth="1"/>
    <col min="10242" max="10467" width="5.6875" style="79" customWidth="1"/>
    <col min="10468" max="10468" width="4.6875" style="79" customWidth="1"/>
    <col min="10469" max="10469" width="8.3125" style="79" customWidth="1"/>
    <col min="10470" max="10471" width="5.6875" style="79" hidden="1" customWidth="1"/>
    <col min="10472" max="10472" width="4.875" style="79" customWidth="1"/>
    <col min="10473" max="10473" width="7.875" style="79" customWidth="1"/>
    <col min="10474" max="10474" width="6.3125" style="79" customWidth="1"/>
    <col min="10475" max="10475" width="12.3125" style="79" customWidth="1"/>
    <col min="10476" max="10478" width="11.3125" style="79" customWidth="1"/>
    <col min="10479" max="10479" width="10.3125" style="79" customWidth="1"/>
    <col min="10480" max="10480" width="11.3125" style="79" customWidth="1"/>
    <col min="10481" max="10481" width="5.6875" style="79" hidden="1" customWidth="1"/>
    <col min="10482" max="10482" width="13.6875" style="79" customWidth="1"/>
    <col min="10483" max="10483" width="13" style="79" customWidth="1"/>
    <col min="10484" max="10484" width="14.6875" style="79" customWidth="1"/>
    <col min="10485" max="10485" width="5.875" style="79" customWidth="1"/>
    <col min="10486" max="10486" width="4.6875" style="79" customWidth="1"/>
    <col min="10487" max="10487" width="8.6875" style="79" customWidth="1"/>
    <col min="10488" max="10488" width="10.3125" style="79" customWidth="1"/>
    <col min="10489" max="10489" width="9" style="79" customWidth="1"/>
    <col min="10490" max="10490" width="12.125" style="79" customWidth="1"/>
    <col min="10491" max="10492" width="10.6875" style="79" customWidth="1"/>
    <col min="10493" max="10493" width="10.3125" style="79" customWidth="1"/>
    <col min="10494" max="10494" width="11.6875" style="79" customWidth="1"/>
    <col min="10495" max="10495" width="13.6875" style="79" customWidth="1"/>
    <col min="10496" max="10496" width="26.1875" style="79" customWidth="1"/>
    <col min="10497" max="10497" width="14.6875" style="79" customWidth="1"/>
    <col min="10498" max="10723" width="5.6875" style="79" customWidth="1"/>
    <col min="10724" max="10724" width="4.6875" style="79" customWidth="1"/>
    <col min="10725" max="10725" width="8.3125" style="79" customWidth="1"/>
    <col min="10726" max="10727" width="5.6875" style="79" hidden="1" customWidth="1"/>
    <col min="10728" max="10728" width="4.875" style="79" customWidth="1"/>
    <col min="10729" max="10729" width="7.875" style="79" customWidth="1"/>
    <col min="10730" max="10730" width="6.3125" style="79" customWidth="1"/>
    <col min="10731" max="10731" width="12.3125" style="79" customWidth="1"/>
    <col min="10732" max="10734" width="11.3125" style="79" customWidth="1"/>
    <col min="10735" max="10735" width="10.3125" style="79" customWidth="1"/>
    <col min="10736" max="10736" width="11.3125" style="79" customWidth="1"/>
    <col min="10737" max="10737" width="5.6875" style="79" hidden="1" customWidth="1"/>
    <col min="10738" max="10738" width="13.6875" style="79" customWidth="1"/>
    <col min="10739" max="10739" width="13" style="79" customWidth="1"/>
    <col min="10740" max="10740" width="14.6875" style="79" customWidth="1"/>
    <col min="10741" max="10741" width="5.875" style="79" customWidth="1"/>
    <col min="10742" max="10742" width="4.6875" style="79" customWidth="1"/>
    <col min="10743" max="10743" width="8.6875" style="79" customWidth="1"/>
    <col min="10744" max="10744" width="10.3125" style="79" customWidth="1"/>
    <col min="10745" max="10745" width="9" style="79" customWidth="1"/>
    <col min="10746" max="10746" width="12.125" style="79" customWidth="1"/>
    <col min="10747" max="10748" width="10.6875" style="79" customWidth="1"/>
    <col min="10749" max="10749" width="10.3125" style="79" customWidth="1"/>
    <col min="10750" max="10750" width="11.6875" style="79" customWidth="1"/>
    <col min="10751" max="10751" width="13.6875" style="79" customWidth="1"/>
    <col min="10752" max="10752" width="26.1875" style="79" customWidth="1"/>
    <col min="10753" max="10753" width="14.6875" style="79" customWidth="1"/>
    <col min="10754" max="10979" width="5.6875" style="79" customWidth="1"/>
    <col min="10980" max="10980" width="4.6875" style="79" customWidth="1"/>
    <col min="10981" max="10981" width="8.3125" style="79" customWidth="1"/>
    <col min="10982" max="10983" width="5.6875" style="79" hidden="1" customWidth="1"/>
    <col min="10984" max="10984" width="4.875" style="79" customWidth="1"/>
    <col min="10985" max="10985" width="7.875" style="79" customWidth="1"/>
    <col min="10986" max="10986" width="6.3125" style="79" customWidth="1"/>
    <col min="10987" max="10987" width="12.3125" style="79" customWidth="1"/>
    <col min="10988" max="10990" width="11.3125" style="79" customWidth="1"/>
    <col min="10991" max="10991" width="10.3125" style="79" customWidth="1"/>
    <col min="10992" max="10992" width="11.3125" style="79" customWidth="1"/>
    <col min="10993" max="10993" width="5.6875" style="79" hidden="1" customWidth="1"/>
    <col min="10994" max="10994" width="13.6875" style="79" customWidth="1"/>
    <col min="10995" max="10995" width="13" style="79" customWidth="1"/>
    <col min="10996" max="10996" width="14.6875" style="79" customWidth="1"/>
    <col min="10997" max="10997" width="5.875" style="79" customWidth="1"/>
    <col min="10998" max="10998" width="4.6875" style="79" customWidth="1"/>
    <col min="10999" max="10999" width="8.6875" style="79" customWidth="1"/>
    <col min="11000" max="11000" width="10.3125" style="79" customWidth="1"/>
    <col min="11001" max="11001" width="9" style="79" customWidth="1"/>
    <col min="11002" max="11002" width="12.125" style="79" customWidth="1"/>
    <col min="11003" max="11004" width="10.6875" style="79" customWidth="1"/>
    <col min="11005" max="11005" width="10.3125" style="79" customWidth="1"/>
    <col min="11006" max="11006" width="11.6875" style="79" customWidth="1"/>
    <col min="11007" max="11007" width="13.6875" style="79" customWidth="1"/>
    <col min="11008" max="11008" width="26.1875" style="79" customWidth="1"/>
    <col min="11009" max="11009" width="14.6875" style="79" customWidth="1"/>
    <col min="11010" max="11235" width="5.6875" style="79" customWidth="1"/>
    <col min="11236" max="11236" width="4.6875" style="79" customWidth="1"/>
    <col min="11237" max="11237" width="8.3125" style="79" customWidth="1"/>
    <col min="11238" max="11239" width="5.6875" style="79" hidden="1" customWidth="1"/>
    <col min="11240" max="11240" width="4.875" style="79" customWidth="1"/>
    <col min="11241" max="11241" width="7.875" style="79" customWidth="1"/>
    <col min="11242" max="11242" width="6.3125" style="79" customWidth="1"/>
    <col min="11243" max="11243" width="12.3125" style="79" customWidth="1"/>
    <col min="11244" max="11246" width="11.3125" style="79" customWidth="1"/>
    <col min="11247" max="11247" width="10.3125" style="79" customWidth="1"/>
    <col min="11248" max="11248" width="11.3125" style="79" customWidth="1"/>
    <col min="11249" max="11249" width="5.6875" style="79" hidden="1" customWidth="1"/>
    <col min="11250" max="11250" width="13.6875" style="79" customWidth="1"/>
    <col min="11251" max="11251" width="13" style="79" customWidth="1"/>
    <col min="11252" max="11252" width="14.6875" style="79" customWidth="1"/>
    <col min="11253" max="11253" width="5.875" style="79" customWidth="1"/>
    <col min="11254" max="11254" width="4.6875" style="79" customWidth="1"/>
    <col min="11255" max="11255" width="8.6875" style="79" customWidth="1"/>
    <col min="11256" max="11256" width="10.3125" style="79" customWidth="1"/>
    <col min="11257" max="11257" width="9" style="79" customWidth="1"/>
    <col min="11258" max="11258" width="12.125" style="79" customWidth="1"/>
    <col min="11259" max="11260" width="10.6875" style="79" customWidth="1"/>
    <col min="11261" max="11261" width="10.3125" style="79" customWidth="1"/>
    <col min="11262" max="11262" width="11.6875" style="79" customWidth="1"/>
    <col min="11263" max="11263" width="13.6875" style="79" customWidth="1"/>
    <col min="11264" max="11264" width="26.1875" style="79" customWidth="1"/>
    <col min="11265" max="11265" width="14.6875" style="79" customWidth="1"/>
    <col min="11266" max="11491" width="5.6875" style="79" customWidth="1"/>
    <col min="11492" max="11492" width="4.6875" style="79" customWidth="1"/>
    <col min="11493" max="11493" width="8.3125" style="79" customWidth="1"/>
    <col min="11494" max="11495" width="5.6875" style="79" hidden="1" customWidth="1"/>
    <col min="11496" max="11496" width="4.875" style="79" customWidth="1"/>
    <col min="11497" max="11497" width="7.875" style="79" customWidth="1"/>
    <col min="11498" max="11498" width="6.3125" style="79" customWidth="1"/>
    <col min="11499" max="11499" width="12.3125" style="79" customWidth="1"/>
    <col min="11500" max="11502" width="11.3125" style="79" customWidth="1"/>
    <col min="11503" max="11503" width="10.3125" style="79" customWidth="1"/>
    <col min="11504" max="11504" width="11.3125" style="79" customWidth="1"/>
    <col min="11505" max="11505" width="5.6875" style="79" hidden="1" customWidth="1"/>
    <col min="11506" max="11506" width="13.6875" style="79" customWidth="1"/>
    <col min="11507" max="11507" width="13" style="79" customWidth="1"/>
    <col min="11508" max="11508" width="14.6875" style="79" customWidth="1"/>
    <col min="11509" max="11509" width="5.875" style="79" customWidth="1"/>
    <col min="11510" max="11510" width="4.6875" style="79" customWidth="1"/>
    <col min="11511" max="11511" width="8.6875" style="79" customWidth="1"/>
    <col min="11512" max="11512" width="10.3125" style="79" customWidth="1"/>
    <col min="11513" max="11513" width="9" style="79" customWidth="1"/>
    <col min="11514" max="11514" width="12.125" style="79" customWidth="1"/>
    <col min="11515" max="11516" width="10.6875" style="79" customWidth="1"/>
    <col min="11517" max="11517" width="10.3125" style="79" customWidth="1"/>
    <col min="11518" max="11518" width="11.6875" style="79" customWidth="1"/>
    <col min="11519" max="11519" width="13.6875" style="79" customWidth="1"/>
    <col min="11520" max="11520" width="26.1875" style="79" customWidth="1"/>
    <col min="11521" max="11521" width="14.6875" style="79" customWidth="1"/>
    <col min="11522" max="11747" width="5.6875" style="79" customWidth="1"/>
    <col min="11748" max="11748" width="4.6875" style="79" customWidth="1"/>
    <col min="11749" max="11749" width="8.3125" style="79" customWidth="1"/>
    <col min="11750" max="11751" width="5.6875" style="79" hidden="1" customWidth="1"/>
    <col min="11752" max="11752" width="4.875" style="79" customWidth="1"/>
    <col min="11753" max="11753" width="7.875" style="79" customWidth="1"/>
    <col min="11754" max="11754" width="6.3125" style="79" customWidth="1"/>
    <col min="11755" max="11755" width="12.3125" style="79" customWidth="1"/>
    <col min="11756" max="11758" width="11.3125" style="79" customWidth="1"/>
    <col min="11759" max="11759" width="10.3125" style="79" customWidth="1"/>
    <col min="11760" max="11760" width="11.3125" style="79" customWidth="1"/>
    <col min="11761" max="11761" width="5.6875" style="79" hidden="1" customWidth="1"/>
    <col min="11762" max="11762" width="13.6875" style="79" customWidth="1"/>
    <col min="11763" max="11763" width="13" style="79" customWidth="1"/>
    <col min="11764" max="11764" width="14.6875" style="79" customWidth="1"/>
    <col min="11765" max="11765" width="5.875" style="79" customWidth="1"/>
    <col min="11766" max="11766" width="4.6875" style="79" customWidth="1"/>
    <col min="11767" max="11767" width="8.6875" style="79" customWidth="1"/>
    <col min="11768" max="11768" width="10.3125" style="79" customWidth="1"/>
    <col min="11769" max="11769" width="9" style="79" customWidth="1"/>
    <col min="11770" max="11770" width="12.125" style="79" customWidth="1"/>
    <col min="11771" max="11772" width="10.6875" style="79" customWidth="1"/>
    <col min="11773" max="11773" width="10.3125" style="79" customWidth="1"/>
    <col min="11774" max="11774" width="11.6875" style="79" customWidth="1"/>
    <col min="11775" max="11775" width="13.6875" style="79" customWidth="1"/>
    <col min="11776" max="11776" width="26.1875" style="79" customWidth="1"/>
    <col min="11777" max="11777" width="14.6875" style="79" customWidth="1"/>
    <col min="11778" max="12003" width="5.6875" style="79" customWidth="1"/>
    <col min="12004" max="12004" width="4.6875" style="79" customWidth="1"/>
    <col min="12005" max="12005" width="8.3125" style="79" customWidth="1"/>
    <col min="12006" max="12007" width="5.6875" style="79" hidden="1" customWidth="1"/>
    <col min="12008" max="12008" width="4.875" style="79" customWidth="1"/>
    <col min="12009" max="12009" width="7.875" style="79" customWidth="1"/>
    <col min="12010" max="12010" width="6.3125" style="79" customWidth="1"/>
    <col min="12011" max="12011" width="12.3125" style="79" customWidth="1"/>
    <col min="12012" max="12014" width="11.3125" style="79" customWidth="1"/>
    <col min="12015" max="12015" width="10.3125" style="79" customWidth="1"/>
    <col min="12016" max="12016" width="11.3125" style="79" customWidth="1"/>
    <col min="12017" max="12017" width="5.6875" style="79" hidden="1" customWidth="1"/>
    <col min="12018" max="12018" width="13.6875" style="79" customWidth="1"/>
    <col min="12019" max="12019" width="13" style="79" customWidth="1"/>
    <col min="12020" max="12020" width="14.6875" style="79" customWidth="1"/>
    <col min="12021" max="12021" width="5.875" style="79" customWidth="1"/>
    <col min="12022" max="12022" width="4.6875" style="79" customWidth="1"/>
    <col min="12023" max="12023" width="8.6875" style="79" customWidth="1"/>
    <col min="12024" max="12024" width="10.3125" style="79" customWidth="1"/>
    <col min="12025" max="12025" width="9" style="79" customWidth="1"/>
    <col min="12026" max="12026" width="12.125" style="79" customWidth="1"/>
    <col min="12027" max="12028" width="10.6875" style="79" customWidth="1"/>
    <col min="12029" max="12029" width="10.3125" style="79" customWidth="1"/>
    <col min="12030" max="12030" width="11.6875" style="79" customWidth="1"/>
    <col min="12031" max="12031" width="13.6875" style="79" customWidth="1"/>
    <col min="12032" max="12032" width="26.1875" style="79" customWidth="1"/>
    <col min="12033" max="12033" width="14.6875" style="79" customWidth="1"/>
    <col min="12034" max="12259" width="5.6875" style="79" customWidth="1"/>
    <col min="12260" max="12260" width="4.6875" style="79" customWidth="1"/>
    <col min="12261" max="12261" width="8.3125" style="79" customWidth="1"/>
    <col min="12262" max="12263" width="5.6875" style="79" hidden="1" customWidth="1"/>
    <col min="12264" max="12264" width="4.875" style="79" customWidth="1"/>
    <col min="12265" max="12265" width="7.875" style="79" customWidth="1"/>
    <col min="12266" max="12266" width="6.3125" style="79" customWidth="1"/>
    <col min="12267" max="12267" width="12.3125" style="79" customWidth="1"/>
    <col min="12268" max="12270" width="11.3125" style="79" customWidth="1"/>
    <col min="12271" max="12271" width="10.3125" style="79" customWidth="1"/>
    <col min="12272" max="12272" width="11.3125" style="79" customWidth="1"/>
    <col min="12273" max="12273" width="5.6875" style="79" hidden="1" customWidth="1"/>
    <col min="12274" max="12274" width="13.6875" style="79" customWidth="1"/>
    <col min="12275" max="12275" width="13" style="79" customWidth="1"/>
    <col min="12276" max="12276" width="14.6875" style="79" customWidth="1"/>
    <col min="12277" max="12277" width="5.875" style="79" customWidth="1"/>
    <col min="12278" max="12278" width="4.6875" style="79" customWidth="1"/>
    <col min="12279" max="12279" width="8.6875" style="79" customWidth="1"/>
    <col min="12280" max="12280" width="10.3125" style="79" customWidth="1"/>
    <col min="12281" max="12281" width="9" style="79" customWidth="1"/>
    <col min="12282" max="12282" width="12.125" style="79" customWidth="1"/>
    <col min="12283" max="12284" width="10.6875" style="79" customWidth="1"/>
    <col min="12285" max="12285" width="10.3125" style="79" customWidth="1"/>
    <col min="12286" max="12286" width="11.6875" style="79" customWidth="1"/>
    <col min="12287" max="12287" width="13.6875" style="79" customWidth="1"/>
    <col min="12288" max="12288" width="26.1875" style="79" customWidth="1"/>
    <col min="12289" max="12289" width="14.6875" style="79" customWidth="1"/>
    <col min="12290" max="12515" width="5.6875" style="79" customWidth="1"/>
    <col min="12516" max="12516" width="4.6875" style="79" customWidth="1"/>
    <col min="12517" max="12517" width="8.3125" style="79" customWidth="1"/>
    <col min="12518" max="12519" width="5.6875" style="79" hidden="1" customWidth="1"/>
    <col min="12520" max="12520" width="4.875" style="79" customWidth="1"/>
    <col min="12521" max="12521" width="7.875" style="79" customWidth="1"/>
    <col min="12522" max="12522" width="6.3125" style="79" customWidth="1"/>
    <col min="12523" max="12523" width="12.3125" style="79" customWidth="1"/>
    <col min="12524" max="12526" width="11.3125" style="79" customWidth="1"/>
    <col min="12527" max="12527" width="10.3125" style="79" customWidth="1"/>
    <col min="12528" max="12528" width="11.3125" style="79" customWidth="1"/>
    <col min="12529" max="12529" width="5.6875" style="79" hidden="1" customWidth="1"/>
    <col min="12530" max="12530" width="13.6875" style="79" customWidth="1"/>
    <col min="12531" max="12531" width="13" style="79" customWidth="1"/>
    <col min="12532" max="12532" width="14.6875" style="79" customWidth="1"/>
    <col min="12533" max="12533" width="5.875" style="79" customWidth="1"/>
    <col min="12534" max="12534" width="4.6875" style="79" customWidth="1"/>
    <col min="12535" max="12535" width="8.6875" style="79" customWidth="1"/>
    <col min="12536" max="12536" width="10.3125" style="79" customWidth="1"/>
    <col min="12537" max="12537" width="9" style="79" customWidth="1"/>
    <col min="12538" max="12538" width="12.125" style="79" customWidth="1"/>
    <col min="12539" max="12540" width="10.6875" style="79" customWidth="1"/>
    <col min="12541" max="12541" width="10.3125" style="79" customWidth="1"/>
    <col min="12542" max="12542" width="11.6875" style="79" customWidth="1"/>
    <col min="12543" max="12543" width="13.6875" style="79" customWidth="1"/>
    <col min="12544" max="12544" width="26.1875" style="79" customWidth="1"/>
    <col min="12545" max="12545" width="14.6875" style="79" customWidth="1"/>
    <col min="12546" max="12771" width="5.6875" style="79" customWidth="1"/>
    <col min="12772" max="12772" width="4.6875" style="79" customWidth="1"/>
    <col min="12773" max="12773" width="8.3125" style="79" customWidth="1"/>
    <col min="12774" max="12775" width="5.6875" style="79" hidden="1" customWidth="1"/>
    <col min="12776" max="12776" width="4.875" style="79" customWidth="1"/>
    <col min="12777" max="12777" width="7.875" style="79" customWidth="1"/>
    <col min="12778" max="12778" width="6.3125" style="79" customWidth="1"/>
    <col min="12779" max="12779" width="12.3125" style="79" customWidth="1"/>
    <col min="12780" max="12782" width="11.3125" style="79" customWidth="1"/>
    <col min="12783" max="12783" width="10.3125" style="79" customWidth="1"/>
    <col min="12784" max="12784" width="11.3125" style="79" customWidth="1"/>
    <col min="12785" max="12785" width="5.6875" style="79" hidden="1" customWidth="1"/>
    <col min="12786" max="12786" width="13.6875" style="79" customWidth="1"/>
    <col min="12787" max="12787" width="13" style="79" customWidth="1"/>
    <col min="12788" max="12788" width="14.6875" style="79" customWidth="1"/>
    <col min="12789" max="12789" width="5.875" style="79" customWidth="1"/>
    <col min="12790" max="12790" width="4.6875" style="79" customWidth="1"/>
    <col min="12791" max="12791" width="8.6875" style="79" customWidth="1"/>
    <col min="12792" max="12792" width="10.3125" style="79" customWidth="1"/>
    <col min="12793" max="12793" width="9" style="79" customWidth="1"/>
    <col min="12794" max="12794" width="12.125" style="79" customWidth="1"/>
    <col min="12795" max="12796" width="10.6875" style="79" customWidth="1"/>
    <col min="12797" max="12797" width="10.3125" style="79" customWidth="1"/>
    <col min="12798" max="12798" width="11.6875" style="79" customWidth="1"/>
    <col min="12799" max="12799" width="13.6875" style="79" customWidth="1"/>
    <col min="12800" max="12800" width="26.1875" style="79" customWidth="1"/>
    <col min="12801" max="12801" width="14.6875" style="79" customWidth="1"/>
    <col min="12802" max="13027" width="5.6875" style="79" customWidth="1"/>
    <col min="13028" max="13028" width="4.6875" style="79" customWidth="1"/>
    <col min="13029" max="13029" width="8.3125" style="79" customWidth="1"/>
    <col min="13030" max="13031" width="5.6875" style="79" hidden="1" customWidth="1"/>
    <col min="13032" max="13032" width="4.875" style="79" customWidth="1"/>
    <col min="13033" max="13033" width="7.875" style="79" customWidth="1"/>
    <col min="13034" max="13034" width="6.3125" style="79" customWidth="1"/>
    <col min="13035" max="13035" width="12.3125" style="79" customWidth="1"/>
    <col min="13036" max="13038" width="11.3125" style="79" customWidth="1"/>
    <col min="13039" max="13039" width="10.3125" style="79" customWidth="1"/>
    <col min="13040" max="13040" width="11.3125" style="79" customWidth="1"/>
    <col min="13041" max="13041" width="5.6875" style="79" hidden="1" customWidth="1"/>
    <col min="13042" max="13042" width="13.6875" style="79" customWidth="1"/>
    <col min="13043" max="13043" width="13" style="79" customWidth="1"/>
    <col min="13044" max="13044" width="14.6875" style="79" customWidth="1"/>
    <col min="13045" max="13045" width="5.875" style="79" customWidth="1"/>
    <col min="13046" max="13046" width="4.6875" style="79" customWidth="1"/>
    <col min="13047" max="13047" width="8.6875" style="79" customWidth="1"/>
    <col min="13048" max="13048" width="10.3125" style="79" customWidth="1"/>
    <col min="13049" max="13049" width="9" style="79" customWidth="1"/>
    <col min="13050" max="13050" width="12.125" style="79" customWidth="1"/>
    <col min="13051" max="13052" width="10.6875" style="79" customWidth="1"/>
    <col min="13053" max="13053" width="10.3125" style="79" customWidth="1"/>
    <col min="13054" max="13054" width="11.6875" style="79" customWidth="1"/>
    <col min="13055" max="13055" width="13.6875" style="79" customWidth="1"/>
    <col min="13056" max="13056" width="26.1875" style="79" customWidth="1"/>
    <col min="13057" max="13057" width="14.6875" style="79" customWidth="1"/>
    <col min="13058" max="13283" width="5.6875" style="79" customWidth="1"/>
    <col min="13284" max="13284" width="4.6875" style="79" customWidth="1"/>
    <col min="13285" max="13285" width="8.3125" style="79" customWidth="1"/>
    <col min="13286" max="13287" width="5.6875" style="79" hidden="1" customWidth="1"/>
    <col min="13288" max="13288" width="4.875" style="79" customWidth="1"/>
    <col min="13289" max="13289" width="7.875" style="79" customWidth="1"/>
    <col min="13290" max="13290" width="6.3125" style="79" customWidth="1"/>
    <col min="13291" max="13291" width="12.3125" style="79" customWidth="1"/>
    <col min="13292" max="13294" width="11.3125" style="79" customWidth="1"/>
    <col min="13295" max="13295" width="10.3125" style="79" customWidth="1"/>
    <col min="13296" max="13296" width="11.3125" style="79" customWidth="1"/>
    <col min="13297" max="13297" width="5.6875" style="79" hidden="1" customWidth="1"/>
    <col min="13298" max="13298" width="13.6875" style="79" customWidth="1"/>
    <col min="13299" max="13299" width="13" style="79" customWidth="1"/>
    <col min="13300" max="13300" width="14.6875" style="79" customWidth="1"/>
    <col min="13301" max="13301" width="5.875" style="79" customWidth="1"/>
    <col min="13302" max="13302" width="4.6875" style="79" customWidth="1"/>
    <col min="13303" max="13303" width="8.6875" style="79" customWidth="1"/>
    <col min="13304" max="13304" width="10.3125" style="79" customWidth="1"/>
    <col min="13305" max="13305" width="9" style="79" customWidth="1"/>
    <col min="13306" max="13306" width="12.125" style="79" customWidth="1"/>
    <col min="13307" max="13308" width="10.6875" style="79" customWidth="1"/>
    <col min="13309" max="13309" width="10.3125" style="79" customWidth="1"/>
    <col min="13310" max="13310" width="11.6875" style="79" customWidth="1"/>
    <col min="13311" max="13311" width="13.6875" style="79" customWidth="1"/>
    <col min="13312" max="13312" width="26.1875" style="79" customWidth="1"/>
    <col min="13313" max="13313" width="14.6875" style="79" customWidth="1"/>
    <col min="13314" max="13539" width="5.6875" style="79" customWidth="1"/>
    <col min="13540" max="13540" width="4.6875" style="79" customWidth="1"/>
    <col min="13541" max="13541" width="8.3125" style="79" customWidth="1"/>
    <col min="13542" max="13543" width="5.6875" style="79" hidden="1" customWidth="1"/>
    <col min="13544" max="13544" width="4.875" style="79" customWidth="1"/>
    <col min="13545" max="13545" width="7.875" style="79" customWidth="1"/>
    <col min="13546" max="13546" width="6.3125" style="79" customWidth="1"/>
    <col min="13547" max="13547" width="12.3125" style="79" customWidth="1"/>
    <col min="13548" max="13550" width="11.3125" style="79" customWidth="1"/>
    <col min="13551" max="13551" width="10.3125" style="79" customWidth="1"/>
    <col min="13552" max="13552" width="11.3125" style="79" customWidth="1"/>
    <col min="13553" max="13553" width="5.6875" style="79" hidden="1" customWidth="1"/>
    <col min="13554" max="13554" width="13.6875" style="79" customWidth="1"/>
    <col min="13555" max="13555" width="13" style="79" customWidth="1"/>
    <col min="13556" max="13556" width="14.6875" style="79" customWidth="1"/>
    <col min="13557" max="13557" width="5.875" style="79" customWidth="1"/>
    <col min="13558" max="13558" width="4.6875" style="79" customWidth="1"/>
    <col min="13559" max="13559" width="8.6875" style="79" customWidth="1"/>
    <col min="13560" max="13560" width="10.3125" style="79" customWidth="1"/>
    <col min="13561" max="13561" width="9" style="79" customWidth="1"/>
    <col min="13562" max="13562" width="12.125" style="79" customWidth="1"/>
    <col min="13563" max="13564" width="10.6875" style="79" customWidth="1"/>
    <col min="13565" max="13565" width="10.3125" style="79" customWidth="1"/>
    <col min="13566" max="13566" width="11.6875" style="79" customWidth="1"/>
    <col min="13567" max="13567" width="13.6875" style="79" customWidth="1"/>
    <col min="13568" max="13568" width="26.1875" style="79" customWidth="1"/>
    <col min="13569" max="13569" width="14.6875" style="79" customWidth="1"/>
    <col min="13570" max="13795" width="5.6875" style="79" customWidth="1"/>
    <col min="13796" max="13796" width="4.6875" style="79" customWidth="1"/>
    <col min="13797" max="13797" width="8.3125" style="79" customWidth="1"/>
    <col min="13798" max="13799" width="5.6875" style="79" hidden="1" customWidth="1"/>
    <col min="13800" max="13800" width="4.875" style="79" customWidth="1"/>
    <col min="13801" max="13801" width="7.875" style="79" customWidth="1"/>
    <col min="13802" max="13802" width="6.3125" style="79" customWidth="1"/>
    <col min="13803" max="13803" width="12.3125" style="79" customWidth="1"/>
    <col min="13804" max="13806" width="11.3125" style="79" customWidth="1"/>
    <col min="13807" max="13807" width="10.3125" style="79" customWidth="1"/>
    <col min="13808" max="13808" width="11.3125" style="79" customWidth="1"/>
    <col min="13809" max="13809" width="5.6875" style="79" hidden="1" customWidth="1"/>
    <col min="13810" max="13810" width="13.6875" style="79" customWidth="1"/>
    <col min="13811" max="13811" width="13" style="79" customWidth="1"/>
    <col min="13812" max="13812" width="14.6875" style="79" customWidth="1"/>
    <col min="13813" max="13813" width="5.875" style="79" customWidth="1"/>
    <col min="13814" max="13814" width="4.6875" style="79" customWidth="1"/>
    <col min="13815" max="13815" width="8.6875" style="79" customWidth="1"/>
    <col min="13816" max="13816" width="10.3125" style="79" customWidth="1"/>
    <col min="13817" max="13817" width="9" style="79" customWidth="1"/>
    <col min="13818" max="13818" width="12.125" style="79" customWidth="1"/>
    <col min="13819" max="13820" width="10.6875" style="79" customWidth="1"/>
    <col min="13821" max="13821" width="10.3125" style="79" customWidth="1"/>
    <col min="13822" max="13822" width="11.6875" style="79" customWidth="1"/>
    <col min="13823" max="13823" width="13.6875" style="79" customWidth="1"/>
    <col min="13824" max="13824" width="26.1875" style="79" customWidth="1"/>
    <col min="13825" max="13825" width="14.6875" style="79" customWidth="1"/>
    <col min="13826" max="14051" width="5.6875" style="79" customWidth="1"/>
    <col min="14052" max="14052" width="4.6875" style="79" customWidth="1"/>
    <col min="14053" max="14053" width="8.3125" style="79" customWidth="1"/>
    <col min="14054" max="14055" width="5.6875" style="79" hidden="1" customWidth="1"/>
    <col min="14056" max="14056" width="4.875" style="79" customWidth="1"/>
    <col min="14057" max="14057" width="7.875" style="79" customWidth="1"/>
    <col min="14058" max="14058" width="6.3125" style="79" customWidth="1"/>
    <col min="14059" max="14059" width="12.3125" style="79" customWidth="1"/>
    <col min="14060" max="14062" width="11.3125" style="79" customWidth="1"/>
    <col min="14063" max="14063" width="10.3125" style="79" customWidth="1"/>
    <col min="14064" max="14064" width="11.3125" style="79" customWidth="1"/>
    <col min="14065" max="14065" width="5.6875" style="79" hidden="1" customWidth="1"/>
    <col min="14066" max="14066" width="13.6875" style="79" customWidth="1"/>
    <col min="14067" max="14067" width="13" style="79" customWidth="1"/>
    <col min="14068" max="14068" width="14.6875" style="79" customWidth="1"/>
    <col min="14069" max="14069" width="5.875" style="79" customWidth="1"/>
    <col min="14070" max="14070" width="4.6875" style="79" customWidth="1"/>
    <col min="14071" max="14071" width="8.6875" style="79" customWidth="1"/>
    <col min="14072" max="14072" width="10.3125" style="79" customWidth="1"/>
    <col min="14073" max="14073" width="9" style="79" customWidth="1"/>
    <col min="14074" max="14074" width="12.125" style="79" customWidth="1"/>
    <col min="14075" max="14076" width="10.6875" style="79" customWidth="1"/>
    <col min="14077" max="14077" width="10.3125" style="79" customWidth="1"/>
    <col min="14078" max="14078" width="11.6875" style="79" customWidth="1"/>
    <col min="14079" max="14079" width="13.6875" style="79" customWidth="1"/>
    <col min="14080" max="14080" width="26.1875" style="79" customWidth="1"/>
    <col min="14081" max="14081" width="14.6875" style="79" customWidth="1"/>
    <col min="14082" max="14307" width="5.6875" style="79" customWidth="1"/>
    <col min="14308" max="14308" width="4.6875" style="79" customWidth="1"/>
    <col min="14309" max="14309" width="8.3125" style="79" customWidth="1"/>
    <col min="14310" max="14311" width="5.6875" style="79" hidden="1" customWidth="1"/>
    <col min="14312" max="14312" width="4.875" style="79" customWidth="1"/>
    <col min="14313" max="14313" width="7.875" style="79" customWidth="1"/>
    <col min="14314" max="14314" width="6.3125" style="79" customWidth="1"/>
    <col min="14315" max="14315" width="12.3125" style="79" customWidth="1"/>
    <col min="14316" max="14318" width="11.3125" style="79" customWidth="1"/>
    <col min="14319" max="14319" width="10.3125" style="79" customWidth="1"/>
    <col min="14320" max="14320" width="11.3125" style="79" customWidth="1"/>
    <col min="14321" max="14321" width="5.6875" style="79" hidden="1" customWidth="1"/>
    <col min="14322" max="14322" width="13.6875" style="79" customWidth="1"/>
    <col min="14323" max="14323" width="13" style="79" customWidth="1"/>
    <col min="14324" max="14324" width="14.6875" style="79" customWidth="1"/>
    <col min="14325" max="14325" width="5.875" style="79" customWidth="1"/>
    <col min="14326" max="14326" width="4.6875" style="79" customWidth="1"/>
    <col min="14327" max="14327" width="8.6875" style="79" customWidth="1"/>
    <col min="14328" max="14328" width="10.3125" style="79" customWidth="1"/>
    <col min="14329" max="14329" width="9" style="79" customWidth="1"/>
    <col min="14330" max="14330" width="12.125" style="79" customWidth="1"/>
    <col min="14331" max="14332" width="10.6875" style="79" customWidth="1"/>
    <col min="14333" max="14333" width="10.3125" style="79" customWidth="1"/>
    <col min="14334" max="14334" width="11.6875" style="79" customWidth="1"/>
    <col min="14335" max="14335" width="13.6875" style="79" customWidth="1"/>
    <col min="14336" max="14336" width="26.1875" style="79" customWidth="1"/>
    <col min="14337" max="14337" width="14.6875" style="79" customWidth="1"/>
    <col min="14338" max="14563" width="5.6875" style="79" customWidth="1"/>
    <col min="14564" max="14564" width="4.6875" style="79" customWidth="1"/>
    <col min="14565" max="14565" width="8.3125" style="79" customWidth="1"/>
    <col min="14566" max="14567" width="5.6875" style="79" hidden="1" customWidth="1"/>
    <col min="14568" max="14568" width="4.875" style="79" customWidth="1"/>
    <col min="14569" max="14569" width="7.875" style="79" customWidth="1"/>
    <col min="14570" max="14570" width="6.3125" style="79" customWidth="1"/>
    <col min="14571" max="14571" width="12.3125" style="79" customWidth="1"/>
    <col min="14572" max="14574" width="11.3125" style="79" customWidth="1"/>
    <col min="14575" max="14575" width="10.3125" style="79" customWidth="1"/>
    <col min="14576" max="14576" width="11.3125" style="79" customWidth="1"/>
    <col min="14577" max="14577" width="5.6875" style="79" hidden="1" customWidth="1"/>
    <col min="14578" max="14578" width="13.6875" style="79" customWidth="1"/>
    <col min="14579" max="14579" width="13" style="79" customWidth="1"/>
    <col min="14580" max="14580" width="14.6875" style="79" customWidth="1"/>
    <col min="14581" max="14581" width="5.875" style="79" customWidth="1"/>
    <col min="14582" max="14582" width="4.6875" style="79" customWidth="1"/>
    <col min="14583" max="14583" width="8.6875" style="79" customWidth="1"/>
    <col min="14584" max="14584" width="10.3125" style="79" customWidth="1"/>
    <col min="14585" max="14585" width="9" style="79" customWidth="1"/>
    <col min="14586" max="14586" width="12.125" style="79" customWidth="1"/>
    <col min="14587" max="14588" width="10.6875" style="79" customWidth="1"/>
    <col min="14589" max="14589" width="10.3125" style="79" customWidth="1"/>
    <col min="14590" max="14590" width="11.6875" style="79" customWidth="1"/>
    <col min="14591" max="14591" width="13.6875" style="79" customWidth="1"/>
    <col min="14592" max="14592" width="26.1875" style="79" customWidth="1"/>
    <col min="14593" max="14593" width="14.6875" style="79" customWidth="1"/>
    <col min="14594" max="14819" width="5.6875" style="79" customWidth="1"/>
    <col min="14820" max="14820" width="4.6875" style="79" customWidth="1"/>
    <col min="14821" max="14821" width="8.3125" style="79" customWidth="1"/>
    <col min="14822" max="14823" width="5.6875" style="79" hidden="1" customWidth="1"/>
    <col min="14824" max="14824" width="4.875" style="79" customWidth="1"/>
    <col min="14825" max="14825" width="7.875" style="79" customWidth="1"/>
    <col min="14826" max="14826" width="6.3125" style="79" customWidth="1"/>
    <col min="14827" max="14827" width="12.3125" style="79" customWidth="1"/>
    <col min="14828" max="14830" width="11.3125" style="79" customWidth="1"/>
    <col min="14831" max="14831" width="10.3125" style="79" customWidth="1"/>
    <col min="14832" max="14832" width="11.3125" style="79" customWidth="1"/>
    <col min="14833" max="14833" width="5.6875" style="79" hidden="1" customWidth="1"/>
    <col min="14834" max="14834" width="13.6875" style="79" customWidth="1"/>
    <col min="14835" max="14835" width="13" style="79" customWidth="1"/>
    <col min="14836" max="14836" width="14.6875" style="79" customWidth="1"/>
    <col min="14837" max="14837" width="5.875" style="79" customWidth="1"/>
    <col min="14838" max="14838" width="4.6875" style="79" customWidth="1"/>
    <col min="14839" max="14839" width="8.6875" style="79" customWidth="1"/>
    <col min="14840" max="14840" width="10.3125" style="79" customWidth="1"/>
    <col min="14841" max="14841" width="9" style="79" customWidth="1"/>
    <col min="14842" max="14842" width="12.125" style="79" customWidth="1"/>
    <col min="14843" max="14844" width="10.6875" style="79" customWidth="1"/>
    <col min="14845" max="14845" width="10.3125" style="79" customWidth="1"/>
    <col min="14846" max="14846" width="11.6875" style="79" customWidth="1"/>
    <col min="14847" max="14847" width="13.6875" style="79" customWidth="1"/>
    <col min="14848" max="14848" width="26.1875" style="79" customWidth="1"/>
    <col min="14849" max="14849" width="14.6875" style="79" customWidth="1"/>
    <col min="14850" max="15075" width="5.6875" style="79" customWidth="1"/>
    <col min="15076" max="15076" width="4.6875" style="79" customWidth="1"/>
    <col min="15077" max="15077" width="8.3125" style="79" customWidth="1"/>
    <col min="15078" max="15079" width="5.6875" style="79" hidden="1" customWidth="1"/>
    <col min="15080" max="15080" width="4.875" style="79" customWidth="1"/>
    <col min="15081" max="15081" width="7.875" style="79" customWidth="1"/>
    <col min="15082" max="15082" width="6.3125" style="79" customWidth="1"/>
    <col min="15083" max="15083" width="12.3125" style="79" customWidth="1"/>
    <col min="15084" max="15086" width="11.3125" style="79" customWidth="1"/>
    <col min="15087" max="15087" width="10.3125" style="79" customWidth="1"/>
    <col min="15088" max="15088" width="11.3125" style="79" customWidth="1"/>
    <col min="15089" max="15089" width="5.6875" style="79" hidden="1" customWidth="1"/>
    <col min="15090" max="15090" width="13.6875" style="79" customWidth="1"/>
    <col min="15091" max="15091" width="13" style="79" customWidth="1"/>
    <col min="15092" max="15092" width="14.6875" style="79" customWidth="1"/>
    <col min="15093" max="15093" width="5.875" style="79" customWidth="1"/>
    <col min="15094" max="15094" width="4.6875" style="79" customWidth="1"/>
    <col min="15095" max="15095" width="8.6875" style="79" customWidth="1"/>
    <col min="15096" max="15096" width="10.3125" style="79" customWidth="1"/>
    <col min="15097" max="15097" width="9" style="79" customWidth="1"/>
    <col min="15098" max="15098" width="12.125" style="79" customWidth="1"/>
    <col min="15099" max="15100" width="10.6875" style="79" customWidth="1"/>
    <col min="15101" max="15101" width="10.3125" style="79" customWidth="1"/>
    <col min="15102" max="15102" width="11.6875" style="79" customWidth="1"/>
    <col min="15103" max="15103" width="13.6875" style="79" customWidth="1"/>
    <col min="15104" max="15104" width="26.1875" style="79" customWidth="1"/>
    <col min="15105" max="15105" width="14.6875" style="79" customWidth="1"/>
    <col min="15106" max="15331" width="5.6875" style="79" customWidth="1"/>
    <col min="15332" max="15332" width="4.6875" style="79" customWidth="1"/>
    <col min="15333" max="15333" width="8.3125" style="79" customWidth="1"/>
    <col min="15334" max="15335" width="5.6875" style="79" hidden="1" customWidth="1"/>
    <col min="15336" max="15336" width="4.875" style="79" customWidth="1"/>
    <col min="15337" max="15337" width="7.875" style="79" customWidth="1"/>
    <col min="15338" max="15338" width="6.3125" style="79" customWidth="1"/>
    <col min="15339" max="15339" width="12.3125" style="79" customWidth="1"/>
    <col min="15340" max="15342" width="11.3125" style="79" customWidth="1"/>
    <col min="15343" max="15343" width="10.3125" style="79" customWidth="1"/>
    <col min="15344" max="15344" width="11.3125" style="79" customWidth="1"/>
    <col min="15345" max="15345" width="5.6875" style="79" hidden="1" customWidth="1"/>
    <col min="15346" max="15346" width="13.6875" style="79" customWidth="1"/>
    <col min="15347" max="15347" width="13" style="79" customWidth="1"/>
    <col min="15348" max="15348" width="14.6875" style="79" customWidth="1"/>
    <col min="15349" max="15349" width="5.875" style="79" customWidth="1"/>
    <col min="15350" max="15350" width="4.6875" style="79" customWidth="1"/>
    <col min="15351" max="15351" width="8.6875" style="79" customWidth="1"/>
    <col min="15352" max="15352" width="10.3125" style="79" customWidth="1"/>
    <col min="15353" max="15353" width="9" style="79" customWidth="1"/>
    <col min="15354" max="15354" width="12.125" style="79" customWidth="1"/>
    <col min="15355" max="15356" width="10.6875" style="79" customWidth="1"/>
    <col min="15357" max="15357" width="10.3125" style="79" customWidth="1"/>
    <col min="15358" max="15358" width="11.6875" style="79" customWidth="1"/>
    <col min="15359" max="15359" width="13.6875" style="79" customWidth="1"/>
    <col min="15360" max="15360" width="26.1875" style="79" customWidth="1"/>
    <col min="15361" max="15361" width="14.6875" style="79" customWidth="1"/>
    <col min="15362" max="15587" width="5.6875" style="79" customWidth="1"/>
    <col min="15588" max="15588" width="4.6875" style="79" customWidth="1"/>
    <col min="15589" max="15589" width="8.3125" style="79" customWidth="1"/>
    <col min="15590" max="15591" width="5.6875" style="79" hidden="1" customWidth="1"/>
    <col min="15592" max="15592" width="4.875" style="79" customWidth="1"/>
    <col min="15593" max="15593" width="7.875" style="79" customWidth="1"/>
    <col min="15594" max="15594" width="6.3125" style="79" customWidth="1"/>
    <col min="15595" max="15595" width="12.3125" style="79" customWidth="1"/>
    <col min="15596" max="15598" width="11.3125" style="79" customWidth="1"/>
    <col min="15599" max="15599" width="10.3125" style="79" customWidth="1"/>
    <col min="15600" max="15600" width="11.3125" style="79" customWidth="1"/>
    <col min="15601" max="15601" width="5.6875" style="79" hidden="1" customWidth="1"/>
    <col min="15602" max="15602" width="13.6875" style="79" customWidth="1"/>
    <col min="15603" max="15603" width="13" style="79" customWidth="1"/>
    <col min="15604" max="15604" width="14.6875" style="79" customWidth="1"/>
    <col min="15605" max="15605" width="5.875" style="79" customWidth="1"/>
    <col min="15606" max="15606" width="4.6875" style="79" customWidth="1"/>
    <col min="15607" max="15607" width="8.6875" style="79" customWidth="1"/>
    <col min="15608" max="15608" width="10.3125" style="79" customWidth="1"/>
    <col min="15609" max="15609" width="9" style="79" customWidth="1"/>
    <col min="15610" max="15610" width="12.125" style="79" customWidth="1"/>
    <col min="15611" max="15612" width="10.6875" style="79" customWidth="1"/>
    <col min="15613" max="15613" width="10.3125" style="79" customWidth="1"/>
    <col min="15614" max="15614" width="11.6875" style="79" customWidth="1"/>
    <col min="15615" max="15615" width="13.6875" style="79" customWidth="1"/>
    <col min="15616" max="15616" width="26.1875" style="79" customWidth="1"/>
    <col min="15617" max="15617" width="14.6875" style="79" customWidth="1"/>
    <col min="15618" max="15843" width="5.6875" style="79" customWidth="1"/>
    <col min="15844" max="15844" width="4.6875" style="79" customWidth="1"/>
    <col min="15845" max="15845" width="8.3125" style="79" customWidth="1"/>
    <col min="15846" max="15847" width="5.6875" style="79" hidden="1" customWidth="1"/>
    <col min="15848" max="15848" width="4.875" style="79" customWidth="1"/>
    <col min="15849" max="15849" width="7.875" style="79" customWidth="1"/>
    <col min="15850" max="15850" width="6.3125" style="79" customWidth="1"/>
    <col min="15851" max="15851" width="12.3125" style="79" customWidth="1"/>
    <col min="15852" max="15854" width="11.3125" style="79" customWidth="1"/>
    <col min="15855" max="15855" width="10.3125" style="79" customWidth="1"/>
    <col min="15856" max="15856" width="11.3125" style="79" customWidth="1"/>
    <col min="15857" max="15857" width="5.6875" style="79" hidden="1" customWidth="1"/>
    <col min="15858" max="15858" width="13.6875" style="79" customWidth="1"/>
    <col min="15859" max="15859" width="13" style="79" customWidth="1"/>
    <col min="15860" max="15860" width="14.6875" style="79" customWidth="1"/>
    <col min="15861" max="15861" width="5.875" style="79" customWidth="1"/>
    <col min="15862" max="15862" width="4.6875" style="79" customWidth="1"/>
    <col min="15863" max="15863" width="8.6875" style="79" customWidth="1"/>
    <col min="15864" max="15864" width="10.3125" style="79" customWidth="1"/>
    <col min="15865" max="15865" width="9" style="79" customWidth="1"/>
    <col min="15866" max="15866" width="12.125" style="79" customWidth="1"/>
    <col min="15867" max="15868" width="10.6875" style="79" customWidth="1"/>
    <col min="15869" max="15869" width="10.3125" style="79" customWidth="1"/>
    <col min="15870" max="15870" width="11.6875" style="79" customWidth="1"/>
    <col min="15871" max="15871" width="13.6875" style="79" customWidth="1"/>
    <col min="15872" max="15872" width="26.1875" style="79" customWidth="1"/>
    <col min="15873" max="15873" width="14.6875" style="79" customWidth="1"/>
    <col min="15874" max="16099" width="5.6875" style="79" customWidth="1"/>
    <col min="16100" max="16100" width="4.6875" style="79" customWidth="1"/>
    <col min="16101" max="16101" width="8.3125" style="79" customWidth="1"/>
    <col min="16102" max="16103" width="5.6875" style="79" hidden="1" customWidth="1"/>
    <col min="16104" max="16104" width="4.875" style="79" customWidth="1"/>
    <col min="16105" max="16105" width="7.875" style="79" customWidth="1"/>
    <col min="16106" max="16106" width="6.3125" style="79" customWidth="1"/>
    <col min="16107" max="16107" width="12.3125" style="79" customWidth="1"/>
    <col min="16108" max="16110" width="11.3125" style="79" customWidth="1"/>
    <col min="16111" max="16111" width="10.3125" style="79" customWidth="1"/>
    <col min="16112" max="16112" width="11.3125" style="79" customWidth="1"/>
    <col min="16113" max="16113" width="5.6875" style="79" hidden="1" customWidth="1"/>
    <col min="16114" max="16114" width="13.6875" style="79" customWidth="1"/>
    <col min="16115" max="16115" width="13" style="79" customWidth="1"/>
    <col min="16116" max="16116" width="14.6875" style="79" customWidth="1"/>
    <col min="16117" max="16117" width="5.875" style="79" customWidth="1"/>
    <col min="16118" max="16118" width="4.6875" style="79" customWidth="1"/>
    <col min="16119" max="16119" width="8.6875" style="79" customWidth="1"/>
    <col min="16120" max="16120" width="10.3125" style="79" customWidth="1"/>
    <col min="16121" max="16121" width="9" style="79" customWidth="1"/>
    <col min="16122" max="16122" width="12.125" style="79" customWidth="1"/>
    <col min="16123" max="16124" width="10.6875" style="79" customWidth="1"/>
    <col min="16125" max="16125" width="10.3125" style="79" customWidth="1"/>
    <col min="16126" max="16126" width="11.6875" style="79" customWidth="1"/>
    <col min="16127" max="16127" width="13.6875" style="79" customWidth="1"/>
    <col min="16128" max="16128" width="26.1875" style="79" customWidth="1"/>
    <col min="16129" max="16129" width="14.6875" style="79" customWidth="1"/>
    <col min="16130" max="16371" width="5.6875" style="79" customWidth="1"/>
    <col min="16372" max="16384" width="5.6875" style="79"/>
  </cols>
  <sheetData>
    <row r="1" spans="1:9" ht="25.5" x14ac:dyDescent="0.6">
      <c r="A1" s="316" t="s">
        <v>303</v>
      </c>
      <c r="B1" s="316"/>
      <c r="C1" s="316"/>
      <c r="D1" s="316"/>
      <c r="E1" s="316"/>
      <c r="F1" s="316"/>
      <c r="G1" s="316"/>
      <c r="H1" s="316"/>
      <c r="I1" s="316"/>
    </row>
    <row r="2" spans="1:9" s="84" customFormat="1" ht="14.1" customHeight="1" x14ac:dyDescent="0.6">
      <c r="A2" s="90" t="s">
        <v>0</v>
      </c>
      <c r="B2" s="91"/>
      <c r="C2" s="91"/>
      <c r="E2" s="89"/>
    </row>
    <row r="3" spans="1:9" s="84" customFormat="1" ht="14.25" customHeight="1" x14ac:dyDescent="0.6">
      <c r="A3" s="317" t="s">
        <v>40</v>
      </c>
      <c r="B3" s="319" t="s">
        <v>41</v>
      </c>
      <c r="C3" s="321" t="s">
        <v>42</v>
      </c>
      <c r="D3" s="323" t="s">
        <v>43</v>
      </c>
      <c r="E3" s="325" t="s">
        <v>44</v>
      </c>
      <c r="F3" s="326"/>
      <c r="G3" s="326"/>
      <c r="H3" s="327" t="s">
        <v>45</v>
      </c>
      <c r="I3" s="329" t="s">
        <v>46</v>
      </c>
    </row>
    <row r="4" spans="1:9" s="84" customFormat="1" ht="27.2" customHeight="1" x14ac:dyDescent="0.6">
      <c r="A4" s="318"/>
      <c r="B4" s="320"/>
      <c r="C4" s="322"/>
      <c r="D4" s="324"/>
      <c r="E4" s="88" t="s">
        <v>48</v>
      </c>
      <c r="F4" s="88" t="s">
        <v>49</v>
      </c>
      <c r="G4" s="128" t="s">
        <v>50</v>
      </c>
      <c r="H4" s="328"/>
      <c r="I4" s="330"/>
    </row>
    <row r="5" spans="1:9" s="84" customFormat="1" ht="28.25" customHeight="1" x14ac:dyDescent="0.6">
      <c r="A5" s="220">
        <f t="shared" ref="A5:A26" si="0">ROW()-4</f>
        <v>1</v>
      </c>
      <c r="B5" s="221" t="s">
        <v>236</v>
      </c>
      <c r="C5" s="220" t="s">
        <v>237</v>
      </c>
      <c r="D5" s="222">
        <v>1662000</v>
      </c>
      <c r="E5" s="87">
        <f>ROUNDDOWN(D5*3%,-1)</f>
        <v>49860</v>
      </c>
      <c r="F5" s="87">
        <f t="shared" ref="F5:F26" si="1">ROUNDDOWN(E5*10%,-1)</f>
        <v>4980</v>
      </c>
      <c r="G5" s="87"/>
      <c r="H5" s="86">
        <f t="shared" ref="H5:H26" si="2">SUM(E5:G5)</f>
        <v>54840</v>
      </c>
      <c r="I5" s="85">
        <f>D5-H5</f>
        <v>1607160</v>
      </c>
    </row>
    <row r="6" spans="1:9" s="84" customFormat="1" ht="28.25" customHeight="1" x14ac:dyDescent="0.6">
      <c r="A6" s="220">
        <f t="shared" si="0"/>
        <v>2</v>
      </c>
      <c r="B6" s="221" t="s">
        <v>269</v>
      </c>
      <c r="C6" s="220" t="s">
        <v>271</v>
      </c>
      <c r="D6" s="222">
        <v>1506000</v>
      </c>
      <c r="E6" s="87">
        <f t="shared" ref="E6:E26" si="3">ROUNDDOWN(D6*3%,-1)</f>
        <v>45180</v>
      </c>
      <c r="F6" s="87">
        <f t="shared" si="1"/>
        <v>4510</v>
      </c>
      <c r="G6" s="87"/>
      <c r="H6" s="86">
        <f t="shared" si="2"/>
        <v>49690</v>
      </c>
      <c r="I6" s="85">
        <f t="shared" ref="I6:I26" si="4">D6-H6</f>
        <v>1456310</v>
      </c>
    </row>
    <row r="7" spans="1:9" s="84" customFormat="1" ht="28.25" customHeight="1" x14ac:dyDescent="0.6">
      <c r="A7" s="220">
        <f t="shared" si="0"/>
        <v>3</v>
      </c>
      <c r="B7" s="221" t="s">
        <v>284</v>
      </c>
      <c r="C7" s="220" t="s">
        <v>287</v>
      </c>
      <c r="D7" s="222">
        <v>1638000</v>
      </c>
      <c r="E7" s="87">
        <f t="shared" si="3"/>
        <v>49140</v>
      </c>
      <c r="F7" s="87">
        <f t="shared" si="1"/>
        <v>4910</v>
      </c>
      <c r="G7" s="87"/>
      <c r="H7" s="86">
        <f t="shared" si="2"/>
        <v>54050</v>
      </c>
      <c r="I7" s="85">
        <f t="shared" si="4"/>
        <v>1583950</v>
      </c>
    </row>
    <row r="8" spans="1:9" s="84" customFormat="1" ht="28.25" customHeight="1" x14ac:dyDescent="0.6">
      <c r="A8" s="220">
        <f t="shared" si="0"/>
        <v>4</v>
      </c>
      <c r="B8" s="221" t="s">
        <v>291</v>
      </c>
      <c r="C8" s="220" t="s">
        <v>294</v>
      </c>
      <c r="D8" s="222">
        <v>1692000</v>
      </c>
      <c r="E8" s="87">
        <f t="shared" si="3"/>
        <v>50760</v>
      </c>
      <c r="F8" s="87">
        <f t="shared" si="1"/>
        <v>5070</v>
      </c>
      <c r="G8" s="87"/>
      <c r="H8" s="86">
        <f t="shared" si="2"/>
        <v>55830</v>
      </c>
      <c r="I8" s="85">
        <f t="shared" si="4"/>
        <v>1636170</v>
      </c>
    </row>
    <row r="9" spans="1:9" s="84" customFormat="1" ht="28.25" customHeight="1" x14ac:dyDescent="0.6">
      <c r="A9" s="220">
        <f t="shared" si="0"/>
        <v>5</v>
      </c>
      <c r="B9" s="221" t="s">
        <v>283</v>
      </c>
      <c r="C9" s="220" t="s">
        <v>292</v>
      </c>
      <c r="D9" s="222">
        <v>1518000</v>
      </c>
      <c r="E9" s="87">
        <f t="shared" si="3"/>
        <v>45540</v>
      </c>
      <c r="F9" s="87">
        <f t="shared" si="1"/>
        <v>4550</v>
      </c>
      <c r="G9" s="87"/>
      <c r="H9" s="86">
        <f t="shared" si="2"/>
        <v>50090</v>
      </c>
      <c r="I9" s="85">
        <f t="shared" si="4"/>
        <v>1467910</v>
      </c>
    </row>
    <row r="10" spans="1:9" s="84" customFormat="1" ht="28.25" customHeight="1" x14ac:dyDescent="0.6">
      <c r="A10" s="220">
        <f t="shared" si="0"/>
        <v>6</v>
      </c>
      <c r="B10" s="221" t="s">
        <v>250</v>
      </c>
      <c r="C10" s="220" t="s">
        <v>251</v>
      </c>
      <c r="D10" s="222">
        <v>1902000</v>
      </c>
      <c r="E10" s="87">
        <f t="shared" si="3"/>
        <v>57060</v>
      </c>
      <c r="F10" s="87">
        <f t="shared" si="1"/>
        <v>5700</v>
      </c>
      <c r="G10" s="87"/>
      <c r="H10" s="86">
        <f t="shared" si="2"/>
        <v>62760</v>
      </c>
      <c r="I10" s="85">
        <f t="shared" si="4"/>
        <v>1839240</v>
      </c>
    </row>
    <row r="11" spans="1:9" s="84" customFormat="1" ht="28.25" customHeight="1" x14ac:dyDescent="0.6">
      <c r="A11" s="220">
        <f t="shared" si="0"/>
        <v>7</v>
      </c>
      <c r="B11" s="221" t="s">
        <v>253</v>
      </c>
      <c r="C11" s="220" t="s">
        <v>254</v>
      </c>
      <c r="D11" s="222">
        <v>2082000</v>
      </c>
      <c r="E11" s="87">
        <f t="shared" si="3"/>
        <v>62460</v>
      </c>
      <c r="F11" s="87">
        <f t="shared" si="1"/>
        <v>6240</v>
      </c>
      <c r="G11" s="87"/>
      <c r="H11" s="86">
        <f t="shared" si="2"/>
        <v>68700</v>
      </c>
      <c r="I11" s="85">
        <f t="shared" si="4"/>
        <v>2013300</v>
      </c>
    </row>
    <row r="12" spans="1:9" s="84" customFormat="1" ht="28.25" customHeight="1" x14ac:dyDescent="0.6">
      <c r="A12" s="220">
        <f t="shared" si="0"/>
        <v>8</v>
      </c>
      <c r="B12" s="221" t="s">
        <v>290</v>
      </c>
      <c r="C12" s="220" t="s">
        <v>293</v>
      </c>
      <c r="D12" s="222">
        <v>1344000</v>
      </c>
      <c r="E12" s="87">
        <f t="shared" si="3"/>
        <v>40320</v>
      </c>
      <c r="F12" s="87">
        <f t="shared" si="1"/>
        <v>4030</v>
      </c>
      <c r="G12" s="87"/>
      <c r="H12" s="86">
        <f t="shared" si="2"/>
        <v>44350</v>
      </c>
      <c r="I12" s="85">
        <f t="shared" si="4"/>
        <v>1299650</v>
      </c>
    </row>
    <row r="13" spans="1:9" s="84" customFormat="1" ht="28.25" customHeight="1" x14ac:dyDescent="0.6">
      <c r="A13" s="220">
        <f t="shared" si="0"/>
        <v>9</v>
      </c>
      <c r="B13" s="221" t="s">
        <v>286</v>
      </c>
      <c r="C13" s="220" t="s">
        <v>289</v>
      </c>
      <c r="D13" s="222">
        <v>1206000</v>
      </c>
      <c r="E13" s="87">
        <f t="shared" si="3"/>
        <v>36180</v>
      </c>
      <c r="F13" s="87">
        <f t="shared" si="1"/>
        <v>3610</v>
      </c>
      <c r="G13" s="87"/>
      <c r="H13" s="86">
        <f t="shared" si="2"/>
        <v>39790</v>
      </c>
      <c r="I13" s="85">
        <f t="shared" si="4"/>
        <v>1166210</v>
      </c>
    </row>
    <row r="14" spans="1:9" s="84" customFormat="1" ht="28.25" customHeight="1" x14ac:dyDescent="0.6">
      <c r="A14" s="220">
        <f t="shared" si="0"/>
        <v>10</v>
      </c>
      <c r="B14" s="221" t="s">
        <v>295</v>
      </c>
      <c r="C14" s="220" t="s">
        <v>297</v>
      </c>
      <c r="D14" s="222">
        <v>1482000</v>
      </c>
      <c r="E14" s="87">
        <f t="shared" si="3"/>
        <v>44460</v>
      </c>
      <c r="F14" s="87">
        <f t="shared" si="1"/>
        <v>4440</v>
      </c>
      <c r="G14" s="87"/>
      <c r="H14" s="86">
        <f t="shared" si="2"/>
        <v>48900</v>
      </c>
      <c r="I14" s="85">
        <f t="shared" si="4"/>
        <v>1433100</v>
      </c>
    </row>
    <row r="15" spans="1:9" s="84" customFormat="1" ht="28.25" customHeight="1" x14ac:dyDescent="0.6">
      <c r="A15" s="220">
        <f t="shared" si="0"/>
        <v>11</v>
      </c>
      <c r="B15" s="221" t="s">
        <v>263</v>
      </c>
      <c r="C15" s="220" t="s">
        <v>264</v>
      </c>
      <c r="D15" s="222">
        <v>1644000</v>
      </c>
      <c r="E15" s="87">
        <f t="shared" si="3"/>
        <v>49320</v>
      </c>
      <c r="F15" s="87">
        <f t="shared" si="1"/>
        <v>4930</v>
      </c>
      <c r="G15" s="87"/>
      <c r="H15" s="86">
        <f t="shared" si="2"/>
        <v>54250</v>
      </c>
      <c r="I15" s="85">
        <f t="shared" si="4"/>
        <v>1589750</v>
      </c>
    </row>
    <row r="16" spans="1:9" s="84" customFormat="1" ht="28.25" customHeight="1" x14ac:dyDescent="0.6">
      <c r="A16" s="220">
        <f t="shared" si="0"/>
        <v>12</v>
      </c>
      <c r="B16" s="221" t="s">
        <v>265</v>
      </c>
      <c r="C16" s="220" t="s">
        <v>267</v>
      </c>
      <c r="D16" s="222">
        <v>1008000</v>
      </c>
      <c r="E16" s="87">
        <f t="shared" si="3"/>
        <v>30240</v>
      </c>
      <c r="F16" s="87">
        <f t="shared" si="1"/>
        <v>3020</v>
      </c>
      <c r="G16" s="87"/>
      <c r="H16" s="86">
        <f t="shared" si="2"/>
        <v>33260</v>
      </c>
      <c r="I16" s="85">
        <f t="shared" si="4"/>
        <v>974740</v>
      </c>
    </row>
    <row r="17" spans="1:10" s="84" customFormat="1" ht="28.25" customHeight="1" x14ac:dyDescent="0.6">
      <c r="A17" s="220">
        <f t="shared" si="0"/>
        <v>13</v>
      </c>
      <c r="B17" s="221" t="s">
        <v>38</v>
      </c>
      <c r="C17" s="220" t="s">
        <v>180</v>
      </c>
      <c r="D17" s="222">
        <v>1800000</v>
      </c>
      <c r="E17" s="87">
        <f t="shared" si="3"/>
        <v>54000</v>
      </c>
      <c r="F17" s="87">
        <f t="shared" si="1"/>
        <v>5400</v>
      </c>
      <c r="G17" s="87"/>
      <c r="H17" s="86">
        <f t="shared" si="2"/>
        <v>59400</v>
      </c>
      <c r="I17" s="85">
        <f t="shared" si="4"/>
        <v>1740600</v>
      </c>
    </row>
    <row r="18" spans="1:10" s="84" customFormat="1" ht="28.25" customHeight="1" x14ac:dyDescent="0.6">
      <c r="A18" s="220">
        <f t="shared" si="0"/>
        <v>14</v>
      </c>
      <c r="B18" s="221" t="s">
        <v>203</v>
      </c>
      <c r="C18" s="220" t="s">
        <v>245</v>
      </c>
      <c r="D18" s="222">
        <v>1254000</v>
      </c>
      <c r="E18" s="87">
        <f t="shared" si="3"/>
        <v>37620</v>
      </c>
      <c r="F18" s="87">
        <f t="shared" si="1"/>
        <v>3760</v>
      </c>
      <c r="G18" s="87"/>
      <c r="H18" s="86">
        <f t="shared" si="2"/>
        <v>41380</v>
      </c>
      <c r="I18" s="85">
        <f t="shared" si="4"/>
        <v>1212620</v>
      </c>
    </row>
    <row r="19" spans="1:10" s="84" customFormat="1" ht="28.25" customHeight="1" x14ac:dyDescent="0.6">
      <c r="A19" s="220">
        <f t="shared" si="0"/>
        <v>15</v>
      </c>
      <c r="B19" s="221" t="s">
        <v>181</v>
      </c>
      <c r="C19" s="220" t="s">
        <v>182</v>
      </c>
      <c r="D19" s="222">
        <v>750000</v>
      </c>
      <c r="E19" s="87">
        <f t="shared" si="3"/>
        <v>22500</v>
      </c>
      <c r="F19" s="87">
        <f t="shared" si="1"/>
        <v>2250</v>
      </c>
      <c r="G19" s="87"/>
      <c r="H19" s="86">
        <f t="shared" si="2"/>
        <v>24750</v>
      </c>
      <c r="I19" s="85">
        <f t="shared" si="4"/>
        <v>725250</v>
      </c>
    </row>
    <row r="20" spans="1:10" s="84" customFormat="1" ht="28.25" customHeight="1" x14ac:dyDescent="0.6">
      <c r="A20" s="220">
        <f t="shared" si="0"/>
        <v>16</v>
      </c>
      <c r="B20" s="221" t="s">
        <v>37</v>
      </c>
      <c r="C20" s="220" t="s">
        <v>197</v>
      </c>
      <c r="D20" s="222">
        <v>1638000</v>
      </c>
      <c r="E20" s="87">
        <f t="shared" si="3"/>
        <v>49140</v>
      </c>
      <c r="F20" s="87">
        <f t="shared" si="1"/>
        <v>4910</v>
      </c>
      <c r="G20" s="87"/>
      <c r="H20" s="86">
        <f t="shared" si="2"/>
        <v>54050</v>
      </c>
      <c r="I20" s="85">
        <f t="shared" si="4"/>
        <v>1583950</v>
      </c>
    </row>
    <row r="21" spans="1:10" s="84" customFormat="1" ht="28.25" customHeight="1" x14ac:dyDescent="0.6">
      <c r="A21" s="220">
        <f t="shared" si="0"/>
        <v>17</v>
      </c>
      <c r="B21" s="221" t="s">
        <v>243</v>
      </c>
      <c r="C21" s="220" t="s">
        <v>244</v>
      </c>
      <c r="D21" s="222">
        <v>1158000</v>
      </c>
      <c r="E21" s="87">
        <f t="shared" si="3"/>
        <v>34740</v>
      </c>
      <c r="F21" s="87">
        <f t="shared" si="1"/>
        <v>3470</v>
      </c>
      <c r="G21" s="87"/>
      <c r="H21" s="86">
        <f t="shared" si="2"/>
        <v>38210</v>
      </c>
      <c r="I21" s="85">
        <f t="shared" si="4"/>
        <v>1119790</v>
      </c>
    </row>
    <row r="22" spans="1:10" s="84" customFormat="1" ht="28.25" customHeight="1" x14ac:dyDescent="0.6">
      <c r="A22" s="220">
        <f t="shared" si="0"/>
        <v>18</v>
      </c>
      <c r="B22" s="221" t="s">
        <v>285</v>
      </c>
      <c r="C22" s="220" t="s">
        <v>288</v>
      </c>
      <c r="D22" s="222">
        <v>1242000</v>
      </c>
      <c r="E22" s="87">
        <f t="shared" si="3"/>
        <v>37260</v>
      </c>
      <c r="F22" s="87">
        <f t="shared" si="1"/>
        <v>3720</v>
      </c>
      <c r="G22" s="87"/>
      <c r="H22" s="86">
        <f t="shared" si="2"/>
        <v>40980</v>
      </c>
      <c r="I22" s="85">
        <f t="shared" si="4"/>
        <v>1201020</v>
      </c>
    </row>
    <row r="23" spans="1:10" s="84" customFormat="1" ht="28.25" customHeight="1" x14ac:dyDescent="0.6">
      <c r="A23" s="220">
        <f t="shared" si="0"/>
        <v>19</v>
      </c>
      <c r="B23" s="221" t="s">
        <v>277</v>
      </c>
      <c r="C23" s="220" t="s">
        <v>278</v>
      </c>
      <c r="D23" s="222">
        <v>534000</v>
      </c>
      <c r="E23" s="87">
        <f t="shared" si="3"/>
        <v>16020</v>
      </c>
      <c r="F23" s="87">
        <f t="shared" si="1"/>
        <v>1600</v>
      </c>
      <c r="G23" s="87"/>
      <c r="H23" s="86">
        <f t="shared" si="2"/>
        <v>17620</v>
      </c>
      <c r="I23" s="85">
        <f t="shared" si="4"/>
        <v>516380</v>
      </c>
    </row>
    <row r="24" spans="1:10" s="84" customFormat="1" ht="28.25" customHeight="1" x14ac:dyDescent="0.6">
      <c r="A24" s="220">
        <f t="shared" si="0"/>
        <v>20</v>
      </c>
      <c r="B24" s="221" t="s">
        <v>266</v>
      </c>
      <c r="C24" s="220" t="s">
        <v>268</v>
      </c>
      <c r="D24" s="222">
        <v>546000</v>
      </c>
      <c r="E24" s="87">
        <f t="shared" si="3"/>
        <v>16380</v>
      </c>
      <c r="F24" s="87">
        <f t="shared" si="1"/>
        <v>1630</v>
      </c>
      <c r="G24" s="87"/>
      <c r="H24" s="86">
        <f t="shared" si="2"/>
        <v>18010</v>
      </c>
      <c r="I24" s="85">
        <f t="shared" si="4"/>
        <v>527990</v>
      </c>
    </row>
    <row r="25" spans="1:10" s="84" customFormat="1" ht="28.25" customHeight="1" x14ac:dyDescent="0.6">
      <c r="A25" s="220">
        <f t="shared" si="0"/>
        <v>21</v>
      </c>
      <c r="B25" s="221" t="s">
        <v>296</v>
      </c>
      <c r="C25" s="220" t="s">
        <v>298</v>
      </c>
      <c r="D25" s="222">
        <v>1440000</v>
      </c>
      <c r="E25" s="87">
        <f t="shared" si="3"/>
        <v>43200</v>
      </c>
      <c r="F25" s="87">
        <f t="shared" si="1"/>
        <v>4320</v>
      </c>
      <c r="G25" s="87"/>
      <c r="H25" s="86">
        <f t="shared" si="2"/>
        <v>47520</v>
      </c>
      <c r="I25" s="85">
        <f t="shared" si="4"/>
        <v>1392480</v>
      </c>
    </row>
    <row r="26" spans="1:10" s="84" customFormat="1" ht="28.25" customHeight="1" x14ac:dyDescent="0.6">
      <c r="A26" s="220">
        <f t="shared" si="0"/>
        <v>22</v>
      </c>
      <c r="B26" s="221" t="s">
        <v>270</v>
      </c>
      <c r="C26" s="220" t="s">
        <v>272</v>
      </c>
      <c r="D26" s="222">
        <v>1422000</v>
      </c>
      <c r="E26" s="87">
        <f t="shared" si="3"/>
        <v>42660</v>
      </c>
      <c r="F26" s="87">
        <f t="shared" si="1"/>
        <v>4260</v>
      </c>
      <c r="G26" s="87"/>
      <c r="H26" s="86">
        <f t="shared" si="2"/>
        <v>46920</v>
      </c>
      <c r="I26" s="85">
        <f t="shared" si="4"/>
        <v>1375080</v>
      </c>
    </row>
    <row r="27" spans="1:10" s="82" customFormat="1" ht="19.5" customHeight="1" x14ac:dyDescent="0.6">
      <c r="A27" s="92" t="s">
        <v>54</v>
      </c>
      <c r="B27" s="93"/>
      <c r="C27" s="83"/>
      <c r="D27" s="83">
        <f t="shared" ref="D27:I27" si="5">SUM(D5:D26)</f>
        <v>30468000</v>
      </c>
      <c r="E27" s="83">
        <f t="shared" si="5"/>
        <v>914040</v>
      </c>
      <c r="F27" s="83">
        <f t="shared" si="5"/>
        <v>91310</v>
      </c>
      <c r="G27" s="83">
        <f t="shared" si="5"/>
        <v>0</v>
      </c>
      <c r="H27" s="83">
        <f t="shared" si="5"/>
        <v>1005350</v>
      </c>
      <c r="I27" s="83">
        <f t="shared" si="5"/>
        <v>29462650</v>
      </c>
      <c r="J27" s="79"/>
    </row>
    <row r="28" spans="1:10" x14ac:dyDescent="0.6">
      <c r="D28" s="80"/>
      <c r="E28" s="80"/>
    </row>
    <row r="29" spans="1:10" x14ac:dyDescent="0.6">
      <c r="A29" s="79"/>
      <c r="B29" s="79"/>
      <c r="D29" s="80"/>
      <c r="E29" s="80"/>
    </row>
    <row r="30" spans="1:10" x14ac:dyDescent="0.6">
      <c r="A30" s="79"/>
      <c r="B30" s="79"/>
    </row>
    <row r="31" spans="1:10" x14ac:dyDescent="0.6">
      <c r="A31" s="79"/>
      <c r="B31" s="79"/>
    </row>
    <row r="32" spans="1:10" x14ac:dyDescent="0.6">
      <c r="A32" s="79"/>
      <c r="B32" s="79"/>
    </row>
    <row r="33" spans="1:4" x14ac:dyDescent="0.6">
      <c r="A33" s="79"/>
      <c r="B33" s="79"/>
    </row>
    <row r="34" spans="1:4" x14ac:dyDescent="0.6">
      <c r="A34" s="79"/>
      <c r="B34" s="79"/>
    </row>
    <row r="35" spans="1:4" x14ac:dyDescent="0.6">
      <c r="A35" s="79"/>
      <c r="B35" s="79"/>
    </row>
    <row r="36" spans="1:4" x14ac:dyDescent="0.6">
      <c r="A36" s="79"/>
      <c r="B36" s="79"/>
    </row>
    <row r="37" spans="1:4" x14ac:dyDescent="0.6">
      <c r="A37" s="79"/>
      <c r="B37" s="79"/>
      <c r="D37" s="81"/>
    </row>
    <row r="38" spans="1:4" x14ac:dyDescent="0.6">
      <c r="A38" s="79"/>
      <c r="B38" s="79"/>
      <c r="D38" s="81"/>
    </row>
    <row r="39" spans="1:4" x14ac:dyDescent="0.6">
      <c r="A39" s="79"/>
      <c r="B39" s="79"/>
      <c r="D39" s="81"/>
    </row>
    <row r="40" spans="1:4" x14ac:dyDescent="0.6">
      <c r="A40" s="79"/>
      <c r="B40" s="79"/>
      <c r="D40" s="81"/>
    </row>
    <row r="41" spans="1:4" x14ac:dyDescent="0.6">
      <c r="A41" s="79"/>
      <c r="B41" s="79"/>
      <c r="D41" s="81"/>
    </row>
    <row r="42" spans="1:4" x14ac:dyDescent="0.6">
      <c r="A42" s="79"/>
      <c r="B42" s="79"/>
      <c r="D42" s="81"/>
    </row>
    <row r="43" spans="1:4" x14ac:dyDescent="0.6">
      <c r="A43" s="79"/>
      <c r="B43" s="79"/>
      <c r="D43" s="81"/>
    </row>
    <row r="44" spans="1:4" x14ac:dyDescent="0.6">
      <c r="A44" s="79"/>
      <c r="B44" s="79"/>
      <c r="D44" s="81"/>
    </row>
    <row r="45" spans="1:4" x14ac:dyDescent="0.6">
      <c r="A45" s="79"/>
      <c r="B45" s="79"/>
      <c r="D45" s="81"/>
    </row>
    <row r="46" spans="1:4" x14ac:dyDescent="0.6">
      <c r="A46" s="79"/>
      <c r="B46" s="79"/>
      <c r="D46" s="81"/>
    </row>
    <row r="47" spans="1:4" x14ac:dyDescent="0.6">
      <c r="A47" s="79"/>
      <c r="B47" s="79"/>
      <c r="D47" s="81"/>
    </row>
    <row r="48" spans="1:4" x14ac:dyDescent="0.6">
      <c r="A48" s="79"/>
      <c r="B48" s="79"/>
      <c r="D48" s="81"/>
    </row>
    <row r="49" spans="1:4" x14ac:dyDescent="0.6">
      <c r="A49" s="79"/>
      <c r="B49" s="79"/>
      <c r="D49" s="81"/>
    </row>
    <row r="50" spans="1:4" x14ac:dyDescent="0.6">
      <c r="A50" s="79"/>
      <c r="B50" s="79"/>
      <c r="D50" s="81"/>
    </row>
    <row r="51" spans="1:4" x14ac:dyDescent="0.6">
      <c r="A51" s="79"/>
      <c r="B51" s="79"/>
      <c r="D51" s="81"/>
    </row>
    <row r="52" spans="1:4" x14ac:dyDescent="0.6">
      <c r="A52" s="79"/>
      <c r="B52" s="79"/>
      <c r="D52" s="81"/>
    </row>
    <row r="53" spans="1:4" x14ac:dyDescent="0.6">
      <c r="A53" s="79"/>
      <c r="B53" s="79"/>
      <c r="D53" s="81"/>
    </row>
    <row r="54" spans="1:4" x14ac:dyDescent="0.6">
      <c r="A54" s="79"/>
      <c r="B54" s="79"/>
      <c r="D54" s="81"/>
    </row>
    <row r="55" spans="1:4" x14ac:dyDescent="0.6">
      <c r="A55" s="79"/>
      <c r="B55" s="79"/>
      <c r="D55" s="81"/>
    </row>
    <row r="56" spans="1:4" x14ac:dyDescent="0.6">
      <c r="A56" s="79"/>
      <c r="B56" s="79"/>
      <c r="D56" s="81"/>
    </row>
    <row r="57" spans="1:4" x14ac:dyDescent="0.6">
      <c r="A57" s="79"/>
      <c r="B57" s="79"/>
      <c r="D57" s="81"/>
    </row>
    <row r="58" spans="1:4" x14ac:dyDescent="0.6">
      <c r="A58" s="79"/>
      <c r="B58" s="79"/>
      <c r="D58" s="81"/>
    </row>
    <row r="59" spans="1:4" x14ac:dyDescent="0.6">
      <c r="A59" s="79"/>
      <c r="B59" s="79"/>
      <c r="D59" s="81"/>
    </row>
    <row r="60" spans="1:4" x14ac:dyDescent="0.6">
      <c r="A60" s="79"/>
      <c r="B60" s="79"/>
      <c r="D60" s="81"/>
    </row>
  </sheetData>
  <mergeCells count="8">
    <mergeCell ref="A1:I1"/>
    <mergeCell ref="A3:A4"/>
    <mergeCell ref="B3:B4"/>
    <mergeCell ref="C3:C4"/>
    <mergeCell ref="D3:D4"/>
    <mergeCell ref="E3:G3"/>
    <mergeCell ref="H3:H4"/>
    <mergeCell ref="I3:I4"/>
  </mergeCells>
  <phoneticPr fontId="1" type="noConversion"/>
  <printOptions horizontalCentered="1" verticalCentered="1"/>
  <pageMargins left="0.31" right="0" top="0.16" bottom="0.16" header="0.47" footer="0.16"/>
  <pageSetup paperSize="9" scale="4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4"/>
    <pageSetUpPr fitToPage="1"/>
  </sheetPr>
  <dimension ref="A1:AF1846"/>
  <sheetViews>
    <sheetView showGridLines="0" view="pageBreakPreview" topLeftCell="A1786" zoomScaleNormal="100" zoomScaleSheetLayoutView="100" workbookViewId="0">
      <selection activeCell="A1795" sqref="A1795:XFD1846"/>
    </sheetView>
  </sheetViews>
  <sheetFormatPr defaultRowHeight="20.45" customHeight="1" x14ac:dyDescent="0.6"/>
  <cols>
    <col min="1" max="1" width="3.125" style="31" bestFit="1" customWidth="1"/>
    <col min="2" max="2" width="12.3125" style="31" customWidth="1"/>
    <col min="3" max="3" width="11.6875" style="31" customWidth="1"/>
    <col min="4" max="4" width="8.875" style="31" customWidth="1"/>
    <col min="5" max="6" width="9" style="31"/>
    <col min="7" max="7" width="2.125" style="31" customWidth="1"/>
    <col min="8" max="8" width="12.3125" style="167" customWidth="1"/>
    <col min="9" max="9" width="9.6875" style="31" bestFit="1" customWidth="1"/>
    <col min="10" max="10" width="12.3125" style="31" customWidth="1"/>
    <col min="11" max="11" width="4.875" style="30" customWidth="1"/>
    <col min="12" max="17" width="9" style="31"/>
    <col min="18" max="35" width="9" style="31" customWidth="1"/>
    <col min="36" max="256" width="9" style="31"/>
    <col min="257" max="257" width="3.125" style="31" bestFit="1" customWidth="1"/>
    <col min="258" max="258" width="11.3125" style="31" bestFit="1" customWidth="1"/>
    <col min="259" max="259" width="11.6875" style="31" customWidth="1"/>
    <col min="260" max="260" width="8.875" style="31" customWidth="1"/>
    <col min="261" max="262" width="9" style="31"/>
    <col min="263" max="263" width="2.125" style="31" customWidth="1"/>
    <col min="264" max="264" width="9.3125" style="31" customWidth="1"/>
    <col min="265" max="265" width="9.6875" style="31" bestFit="1" customWidth="1"/>
    <col min="266" max="266" width="12.3125" style="31" customWidth="1"/>
    <col min="267" max="267" width="4.875" style="31" customWidth="1"/>
    <col min="268" max="512" width="9" style="31"/>
    <col min="513" max="513" width="3.125" style="31" bestFit="1" customWidth="1"/>
    <col min="514" max="514" width="11.3125" style="31" bestFit="1" customWidth="1"/>
    <col min="515" max="515" width="11.6875" style="31" customWidth="1"/>
    <col min="516" max="516" width="8.875" style="31" customWidth="1"/>
    <col min="517" max="518" width="9" style="31"/>
    <col min="519" max="519" width="2.125" style="31" customWidth="1"/>
    <col min="520" max="520" width="9.3125" style="31" customWidth="1"/>
    <col min="521" max="521" width="9.6875" style="31" bestFit="1" customWidth="1"/>
    <col min="522" max="522" width="12.3125" style="31" customWidth="1"/>
    <col min="523" max="523" width="4.875" style="31" customWidth="1"/>
    <col min="524" max="768" width="9" style="31"/>
    <col min="769" max="769" width="3.125" style="31" bestFit="1" customWidth="1"/>
    <col min="770" max="770" width="11.3125" style="31" bestFit="1" customWidth="1"/>
    <col min="771" max="771" width="11.6875" style="31" customWidth="1"/>
    <col min="772" max="772" width="8.875" style="31" customWidth="1"/>
    <col min="773" max="774" width="9" style="31"/>
    <col min="775" max="775" width="2.125" style="31" customWidth="1"/>
    <col min="776" max="776" width="9.3125" style="31" customWidth="1"/>
    <col min="777" max="777" width="9.6875" style="31" bestFit="1" customWidth="1"/>
    <col min="778" max="778" width="12.3125" style="31" customWidth="1"/>
    <col min="779" max="779" width="4.875" style="31" customWidth="1"/>
    <col min="780" max="1024" width="9" style="31"/>
    <col min="1025" max="1025" width="3.125" style="31" bestFit="1" customWidth="1"/>
    <col min="1026" max="1026" width="11.3125" style="31" bestFit="1" customWidth="1"/>
    <col min="1027" max="1027" width="11.6875" style="31" customWidth="1"/>
    <col min="1028" max="1028" width="8.875" style="31" customWidth="1"/>
    <col min="1029" max="1030" width="9" style="31"/>
    <col min="1031" max="1031" width="2.125" style="31" customWidth="1"/>
    <col min="1032" max="1032" width="9.3125" style="31" customWidth="1"/>
    <col min="1033" max="1033" width="9.6875" style="31" bestFit="1" customWidth="1"/>
    <col min="1034" max="1034" width="12.3125" style="31" customWidth="1"/>
    <col min="1035" max="1035" width="4.875" style="31" customWidth="1"/>
    <col min="1036" max="1280" width="9" style="31"/>
    <col min="1281" max="1281" width="3.125" style="31" bestFit="1" customWidth="1"/>
    <col min="1282" max="1282" width="11.3125" style="31" bestFit="1" customWidth="1"/>
    <col min="1283" max="1283" width="11.6875" style="31" customWidth="1"/>
    <col min="1284" max="1284" width="8.875" style="31" customWidth="1"/>
    <col min="1285" max="1286" width="9" style="31"/>
    <col min="1287" max="1287" width="2.125" style="31" customWidth="1"/>
    <col min="1288" max="1288" width="9.3125" style="31" customWidth="1"/>
    <col min="1289" max="1289" width="9.6875" style="31" bestFit="1" customWidth="1"/>
    <col min="1290" max="1290" width="12.3125" style="31" customWidth="1"/>
    <col min="1291" max="1291" width="4.875" style="31" customWidth="1"/>
    <col min="1292" max="1536" width="9" style="31"/>
    <col min="1537" max="1537" width="3.125" style="31" bestFit="1" customWidth="1"/>
    <col min="1538" max="1538" width="11.3125" style="31" bestFit="1" customWidth="1"/>
    <col min="1539" max="1539" width="11.6875" style="31" customWidth="1"/>
    <col min="1540" max="1540" width="8.875" style="31" customWidth="1"/>
    <col min="1541" max="1542" width="9" style="31"/>
    <col min="1543" max="1543" width="2.125" style="31" customWidth="1"/>
    <col min="1544" max="1544" width="9.3125" style="31" customWidth="1"/>
    <col min="1545" max="1545" width="9.6875" style="31" bestFit="1" customWidth="1"/>
    <col min="1546" max="1546" width="12.3125" style="31" customWidth="1"/>
    <col min="1547" max="1547" width="4.875" style="31" customWidth="1"/>
    <col min="1548" max="1792" width="9" style="31"/>
    <col min="1793" max="1793" width="3.125" style="31" bestFit="1" customWidth="1"/>
    <col min="1794" max="1794" width="11.3125" style="31" bestFit="1" customWidth="1"/>
    <col min="1795" max="1795" width="11.6875" style="31" customWidth="1"/>
    <col min="1796" max="1796" width="8.875" style="31" customWidth="1"/>
    <col min="1797" max="1798" width="9" style="31"/>
    <col min="1799" max="1799" width="2.125" style="31" customWidth="1"/>
    <col min="1800" max="1800" width="9.3125" style="31" customWidth="1"/>
    <col min="1801" max="1801" width="9.6875" style="31" bestFit="1" customWidth="1"/>
    <col min="1802" max="1802" width="12.3125" style="31" customWidth="1"/>
    <col min="1803" max="1803" width="4.875" style="31" customWidth="1"/>
    <col min="1804" max="2048" width="9" style="31"/>
    <col min="2049" max="2049" width="3.125" style="31" bestFit="1" customWidth="1"/>
    <col min="2050" max="2050" width="11.3125" style="31" bestFit="1" customWidth="1"/>
    <col min="2051" max="2051" width="11.6875" style="31" customWidth="1"/>
    <col min="2052" max="2052" width="8.875" style="31" customWidth="1"/>
    <col min="2053" max="2054" width="9" style="31"/>
    <col min="2055" max="2055" width="2.125" style="31" customWidth="1"/>
    <col min="2056" max="2056" width="9.3125" style="31" customWidth="1"/>
    <col min="2057" max="2057" width="9.6875" style="31" bestFit="1" customWidth="1"/>
    <col min="2058" max="2058" width="12.3125" style="31" customWidth="1"/>
    <col min="2059" max="2059" width="4.875" style="31" customWidth="1"/>
    <col min="2060" max="2304" width="9" style="31"/>
    <col min="2305" max="2305" width="3.125" style="31" bestFit="1" customWidth="1"/>
    <col min="2306" max="2306" width="11.3125" style="31" bestFit="1" customWidth="1"/>
    <col min="2307" max="2307" width="11.6875" style="31" customWidth="1"/>
    <col min="2308" max="2308" width="8.875" style="31" customWidth="1"/>
    <col min="2309" max="2310" width="9" style="31"/>
    <col min="2311" max="2311" width="2.125" style="31" customWidth="1"/>
    <col min="2312" max="2312" width="9.3125" style="31" customWidth="1"/>
    <col min="2313" max="2313" width="9.6875" style="31" bestFit="1" customWidth="1"/>
    <col min="2314" max="2314" width="12.3125" style="31" customWidth="1"/>
    <col min="2315" max="2315" width="4.875" style="31" customWidth="1"/>
    <col min="2316" max="2560" width="9" style="31"/>
    <col min="2561" max="2561" width="3.125" style="31" bestFit="1" customWidth="1"/>
    <col min="2562" max="2562" width="11.3125" style="31" bestFit="1" customWidth="1"/>
    <col min="2563" max="2563" width="11.6875" style="31" customWidth="1"/>
    <col min="2564" max="2564" width="8.875" style="31" customWidth="1"/>
    <col min="2565" max="2566" width="9" style="31"/>
    <col min="2567" max="2567" width="2.125" style="31" customWidth="1"/>
    <col min="2568" max="2568" width="9.3125" style="31" customWidth="1"/>
    <col min="2569" max="2569" width="9.6875" style="31" bestFit="1" customWidth="1"/>
    <col min="2570" max="2570" width="12.3125" style="31" customWidth="1"/>
    <col min="2571" max="2571" width="4.875" style="31" customWidth="1"/>
    <col min="2572" max="2816" width="9" style="31"/>
    <col min="2817" max="2817" width="3.125" style="31" bestFit="1" customWidth="1"/>
    <col min="2818" max="2818" width="11.3125" style="31" bestFit="1" customWidth="1"/>
    <col min="2819" max="2819" width="11.6875" style="31" customWidth="1"/>
    <col min="2820" max="2820" width="8.875" style="31" customWidth="1"/>
    <col min="2821" max="2822" width="9" style="31"/>
    <col min="2823" max="2823" width="2.125" style="31" customWidth="1"/>
    <col min="2824" max="2824" width="9.3125" style="31" customWidth="1"/>
    <col min="2825" max="2825" width="9.6875" style="31" bestFit="1" customWidth="1"/>
    <col min="2826" max="2826" width="12.3125" style="31" customWidth="1"/>
    <col min="2827" max="2827" width="4.875" style="31" customWidth="1"/>
    <col min="2828" max="3072" width="9" style="31"/>
    <col min="3073" max="3073" width="3.125" style="31" bestFit="1" customWidth="1"/>
    <col min="3074" max="3074" width="11.3125" style="31" bestFit="1" customWidth="1"/>
    <col min="3075" max="3075" width="11.6875" style="31" customWidth="1"/>
    <col min="3076" max="3076" width="8.875" style="31" customWidth="1"/>
    <col min="3077" max="3078" width="9" style="31"/>
    <col min="3079" max="3079" width="2.125" style="31" customWidth="1"/>
    <col min="3080" max="3080" width="9.3125" style="31" customWidth="1"/>
    <col min="3081" max="3081" width="9.6875" style="31" bestFit="1" customWidth="1"/>
    <col min="3082" max="3082" width="12.3125" style="31" customWidth="1"/>
    <col min="3083" max="3083" width="4.875" style="31" customWidth="1"/>
    <col min="3084" max="3328" width="9" style="31"/>
    <col min="3329" max="3329" width="3.125" style="31" bestFit="1" customWidth="1"/>
    <col min="3330" max="3330" width="11.3125" style="31" bestFit="1" customWidth="1"/>
    <col min="3331" max="3331" width="11.6875" style="31" customWidth="1"/>
    <col min="3332" max="3332" width="8.875" style="31" customWidth="1"/>
    <col min="3333" max="3334" width="9" style="31"/>
    <col min="3335" max="3335" width="2.125" style="31" customWidth="1"/>
    <col min="3336" max="3336" width="9.3125" style="31" customWidth="1"/>
    <col min="3337" max="3337" width="9.6875" style="31" bestFit="1" customWidth="1"/>
    <col min="3338" max="3338" width="12.3125" style="31" customWidth="1"/>
    <col min="3339" max="3339" width="4.875" style="31" customWidth="1"/>
    <col min="3340" max="3584" width="9" style="31"/>
    <col min="3585" max="3585" width="3.125" style="31" bestFit="1" customWidth="1"/>
    <col min="3586" max="3586" width="11.3125" style="31" bestFit="1" customWidth="1"/>
    <col min="3587" max="3587" width="11.6875" style="31" customWidth="1"/>
    <col min="3588" max="3588" width="8.875" style="31" customWidth="1"/>
    <col min="3589" max="3590" width="9" style="31"/>
    <col min="3591" max="3591" width="2.125" style="31" customWidth="1"/>
    <col min="3592" max="3592" width="9.3125" style="31" customWidth="1"/>
    <col min="3593" max="3593" width="9.6875" style="31" bestFit="1" customWidth="1"/>
    <col min="3594" max="3594" width="12.3125" style="31" customWidth="1"/>
    <col min="3595" max="3595" width="4.875" style="31" customWidth="1"/>
    <col min="3596" max="3840" width="9" style="31"/>
    <col min="3841" max="3841" width="3.125" style="31" bestFit="1" customWidth="1"/>
    <col min="3842" max="3842" width="11.3125" style="31" bestFit="1" customWidth="1"/>
    <col min="3843" max="3843" width="11.6875" style="31" customWidth="1"/>
    <col min="3844" max="3844" width="8.875" style="31" customWidth="1"/>
    <col min="3845" max="3846" width="9" style="31"/>
    <col min="3847" max="3847" width="2.125" style="31" customWidth="1"/>
    <col min="3848" max="3848" width="9.3125" style="31" customWidth="1"/>
    <col min="3849" max="3849" width="9.6875" style="31" bestFit="1" customWidth="1"/>
    <col min="3850" max="3850" width="12.3125" style="31" customWidth="1"/>
    <col min="3851" max="3851" width="4.875" style="31" customWidth="1"/>
    <col min="3852" max="4096" width="9" style="31"/>
    <col min="4097" max="4097" width="3.125" style="31" bestFit="1" customWidth="1"/>
    <col min="4098" max="4098" width="11.3125" style="31" bestFit="1" customWidth="1"/>
    <col min="4099" max="4099" width="11.6875" style="31" customWidth="1"/>
    <col min="4100" max="4100" width="8.875" style="31" customWidth="1"/>
    <col min="4101" max="4102" width="9" style="31"/>
    <col min="4103" max="4103" width="2.125" style="31" customWidth="1"/>
    <col min="4104" max="4104" width="9.3125" style="31" customWidth="1"/>
    <col min="4105" max="4105" width="9.6875" style="31" bestFit="1" customWidth="1"/>
    <col min="4106" max="4106" width="12.3125" style="31" customWidth="1"/>
    <col min="4107" max="4107" width="4.875" style="31" customWidth="1"/>
    <col min="4108" max="4352" width="9" style="31"/>
    <col min="4353" max="4353" width="3.125" style="31" bestFit="1" customWidth="1"/>
    <col min="4354" max="4354" width="11.3125" style="31" bestFit="1" customWidth="1"/>
    <col min="4355" max="4355" width="11.6875" style="31" customWidth="1"/>
    <col min="4356" max="4356" width="8.875" style="31" customWidth="1"/>
    <col min="4357" max="4358" width="9" style="31"/>
    <col min="4359" max="4359" width="2.125" style="31" customWidth="1"/>
    <col min="4360" max="4360" width="9.3125" style="31" customWidth="1"/>
    <col min="4361" max="4361" width="9.6875" style="31" bestFit="1" customWidth="1"/>
    <col min="4362" max="4362" width="12.3125" style="31" customWidth="1"/>
    <col min="4363" max="4363" width="4.875" style="31" customWidth="1"/>
    <col min="4364" max="4608" width="9" style="31"/>
    <col min="4609" max="4609" width="3.125" style="31" bestFit="1" customWidth="1"/>
    <col min="4610" max="4610" width="11.3125" style="31" bestFit="1" customWidth="1"/>
    <col min="4611" max="4611" width="11.6875" style="31" customWidth="1"/>
    <col min="4612" max="4612" width="8.875" style="31" customWidth="1"/>
    <col min="4613" max="4614" width="9" style="31"/>
    <col min="4615" max="4615" width="2.125" style="31" customWidth="1"/>
    <col min="4616" max="4616" width="9.3125" style="31" customWidth="1"/>
    <col min="4617" max="4617" width="9.6875" style="31" bestFit="1" customWidth="1"/>
    <col min="4618" max="4618" width="12.3125" style="31" customWidth="1"/>
    <col min="4619" max="4619" width="4.875" style="31" customWidth="1"/>
    <col min="4620" max="4864" width="9" style="31"/>
    <col min="4865" max="4865" width="3.125" style="31" bestFit="1" customWidth="1"/>
    <col min="4866" max="4866" width="11.3125" style="31" bestFit="1" customWidth="1"/>
    <col min="4867" max="4867" width="11.6875" style="31" customWidth="1"/>
    <col min="4868" max="4868" width="8.875" style="31" customWidth="1"/>
    <col min="4869" max="4870" width="9" style="31"/>
    <col min="4871" max="4871" width="2.125" style="31" customWidth="1"/>
    <col min="4872" max="4872" width="9.3125" style="31" customWidth="1"/>
    <col min="4873" max="4873" width="9.6875" style="31" bestFit="1" customWidth="1"/>
    <col min="4874" max="4874" width="12.3125" style="31" customWidth="1"/>
    <col min="4875" max="4875" width="4.875" style="31" customWidth="1"/>
    <col min="4876" max="5120" width="9" style="31"/>
    <col min="5121" max="5121" width="3.125" style="31" bestFit="1" customWidth="1"/>
    <col min="5122" max="5122" width="11.3125" style="31" bestFit="1" customWidth="1"/>
    <col min="5123" max="5123" width="11.6875" style="31" customWidth="1"/>
    <col min="5124" max="5124" width="8.875" style="31" customWidth="1"/>
    <col min="5125" max="5126" width="9" style="31"/>
    <col min="5127" max="5127" width="2.125" style="31" customWidth="1"/>
    <col min="5128" max="5128" width="9.3125" style="31" customWidth="1"/>
    <col min="5129" max="5129" width="9.6875" style="31" bestFit="1" customWidth="1"/>
    <col min="5130" max="5130" width="12.3125" style="31" customWidth="1"/>
    <col min="5131" max="5131" width="4.875" style="31" customWidth="1"/>
    <col min="5132" max="5376" width="9" style="31"/>
    <col min="5377" max="5377" width="3.125" style="31" bestFit="1" customWidth="1"/>
    <col min="5378" max="5378" width="11.3125" style="31" bestFit="1" customWidth="1"/>
    <col min="5379" max="5379" width="11.6875" style="31" customWidth="1"/>
    <col min="5380" max="5380" width="8.875" style="31" customWidth="1"/>
    <col min="5381" max="5382" width="9" style="31"/>
    <col min="5383" max="5383" width="2.125" style="31" customWidth="1"/>
    <col min="5384" max="5384" width="9.3125" style="31" customWidth="1"/>
    <col min="5385" max="5385" width="9.6875" style="31" bestFit="1" customWidth="1"/>
    <col min="5386" max="5386" width="12.3125" style="31" customWidth="1"/>
    <col min="5387" max="5387" width="4.875" style="31" customWidth="1"/>
    <col min="5388" max="5632" width="9" style="31"/>
    <col min="5633" max="5633" width="3.125" style="31" bestFit="1" customWidth="1"/>
    <col min="5634" max="5634" width="11.3125" style="31" bestFit="1" customWidth="1"/>
    <col min="5635" max="5635" width="11.6875" style="31" customWidth="1"/>
    <col min="5636" max="5636" width="8.875" style="31" customWidth="1"/>
    <col min="5637" max="5638" width="9" style="31"/>
    <col min="5639" max="5639" width="2.125" style="31" customWidth="1"/>
    <col min="5640" max="5640" width="9.3125" style="31" customWidth="1"/>
    <col min="5641" max="5641" width="9.6875" style="31" bestFit="1" customWidth="1"/>
    <col min="5642" max="5642" width="12.3125" style="31" customWidth="1"/>
    <col min="5643" max="5643" width="4.875" style="31" customWidth="1"/>
    <col min="5644" max="5888" width="9" style="31"/>
    <col min="5889" max="5889" width="3.125" style="31" bestFit="1" customWidth="1"/>
    <col min="5890" max="5890" width="11.3125" style="31" bestFit="1" customWidth="1"/>
    <col min="5891" max="5891" width="11.6875" style="31" customWidth="1"/>
    <col min="5892" max="5892" width="8.875" style="31" customWidth="1"/>
    <col min="5893" max="5894" width="9" style="31"/>
    <col min="5895" max="5895" width="2.125" style="31" customWidth="1"/>
    <col min="5896" max="5896" width="9.3125" style="31" customWidth="1"/>
    <col min="5897" max="5897" width="9.6875" style="31" bestFit="1" customWidth="1"/>
    <col min="5898" max="5898" width="12.3125" style="31" customWidth="1"/>
    <col min="5899" max="5899" width="4.875" style="31" customWidth="1"/>
    <col min="5900" max="6144" width="9" style="31"/>
    <col min="6145" max="6145" width="3.125" style="31" bestFit="1" customWidth="1"/>
    <col min="6146" max="6146" width="11.3125" style="31" bestFit="1" customWidth="1"/>
    <col min="6147" max="6147" width="11.6875" style="31" customWidth="1"/>
    <col min="6148" max="6148" width="8.875" style="31" customWidth="1"/>
    <col min="6149" max="6150" width="9" style="31"/>
    <col min="6151" max="6151" width="2.125" style="31" customWidth="1"/>
    <col min="6152" max="6152" width="9.3125" style="31" customWidth="1"/>
    <col min="6153" max="6153" width="9.6875" style="31" bestFit="1" customWidth="1"/>
    <col min="6154" max="6154" width="12.3125" style="31" customWidth="1"/>
    <col min="6155" max="6155" width="4.875" style="31" customWidth="1"/>
    <col min="6156" max="6400" width="9" style="31"/>
    <col min="6401" max="6401" width="3.125" style="31" bestFit="1" customWidth="1"/>
    <col min="6402" max="6402" width="11.3125" style="31" bestFit="1" customWidth="1"/>
    <col min="6403" max="6403" width="11.6875" style="31" customWidth="1"/>
    <col min="6404" max="6404" width="8.875" style="31" customWidth="1"/>
    <col min="6405" max="6406" width="9" style="31"/>
    <col min="6407" max="6407" width="2.125" style="31" customWidth="1"/>
    <col min="6408" max="6408" width="9.3125" style="31" customWidth="1"/>
    <col min="6409" max="6409" width="9.6875" style="31" bestFit="1" customWidth="1"/>
    <col min="6410" max="6410" width="12.3125" style="31" customWidth="1"/>
    <col min="6411" max="6411" width="4.875" style="31" customWidth="1"/>
    <col min="6412" max="6656" width="9" style="31"/>
    <col min="6657" max="6657" width="3.125" style="31" bestFit="1" customWidth="1"/>
    <col min="6658" max="6658" width="11.3125" style="31" bestFit="1" customWidth="1"/>
    <col min="6659" max="6659" width="11.6875" style="31" customWidth="1"/>
    <col min="6660" max="6660" width="8.875" style="31" customWidth="1"/>
    <col min="6661" max="6662" width="9" style="31"/>
    <col min="6663" max="6663" width="2.125" style="31" customWidth="1"/>
    <col min="6664" max="6664" width="9.3125" style="31" customWidth="1"/>
    <col min="6665" max="6665" width="9.6875" style="31" bestFit="1" customWidth="1"/>
    <col min="6666" max="6666" width="12.3125" style="31" customWidth="1"/>
    <col min="6667" max="6667" width="4.875" style="31" customWidth="1"/>
    <col min="6668" max="6912" width="9" style="31"/>
    <col min="6913" max="6913" width="3.125" style="31" bestFit="1" customWidth="1"/>
    <col min="6914" max="6914" width="11.3125" style="31" bestFit="1" customWidth="1"/>
    <col min="6915" max="6915" width="11.6875" style="31" customWidth="1"/>
    <col min="6916" max="6916" width="8.875" style="31" customWidth="1"/>
    <col min="6917" max="6918" width="9" style="31"/>
    <col min="6919" max="6919" width="2.125" style="31" customWidth="1"/>
    <col min="6920" max="6920" width="9.3125" style="31" customWidth="1"/>
    <col min="6921" max="6921" width="9.6875" style="31" bestFit="1" customWidth="1"/>
    <col min="6922" max="6922" width="12.3125" style="31" customWidth="1"/>
    <col min="6923" max="6923" width="4.875" style="31" customWidth="1"/>
    <col min="6924" max="7168" width="9" style="31"/>
    <col min="7169" max="7169" width="3.125" style="31" bestFit="1" customWidth="1"/>
    <col min="7170" max="7170" width="11.3125" style="31" bestFit="1" customWidth="1"/>
    <col min="7171" max="7171" width="11.6875" style="31" customWidth="1"/>
    <col min="7172" max="7172" width="8.875" style="31" customWidth="1"/>
    <col min="7173" max="7174" width="9" style="31"/>
    <col min="7175" max="7175" width="2.125" style="31" customWidth="1"/>
    <col min="7176" max="7176" width="9.3125" style="31" customWidth="1"/>
    <col min="7177" max="7177" width="9.6875" style="31" bestFit="1" customWidth="1"/>
    <col min="7178" max="7178" width="12.3125" style="31" customWidth="1"/>
    <col min="7179" max="7179" width="4.875" style="31" customWidth="1"/>
    <col min="7180" max="7424" width="9" style="31"/>
    <col min="7425" max="7425" width="3.125" style="31" bestFit="1" customWidth="1"/>
    <col min="7426" max="7426" width="11.3125" style="31" bestFit="1" customWidth="1"/>
    <col min="7427" max="7427" width="11.6875" style="31" customWidth="1"/>
    <col min="7428" max="7428" width="8.875" style="31" customWidth="1"/>
    <col min="7429" max="7430" width="9" style="31"/>
    <col min="7431" max="7431" width="2.125" style="31" customWidth="1"/>
    <col min="7432" max="7432" width="9.3125" style="31" customWidth="1"/>
    <col min="7433" max="7433" width="9.6875" style="31" bestFit="1" customWidth="1"/>
    <col min="7434" max="7434" width="12.3125" style="31" customWidth="1"/>
    <col min="7435" max="7435" width="4.875" style="31" customWidth="1"/>
    <col min="7436" max="7680" width="9" style="31"/>
    <col min="7681" max="7681" width="3.125" style="31" bestFit="1" customWidth="1"/>
    <col min="7682" max="7682" width="11.3125" style="31" bestFit="1" customWidth="1"/>
    <col min="7683" max="7683" width="11.6875" style="31" customWidth="1"/>
    <col min="7684" max="7684" width="8.875" style="31" customWidth="1"/>
    <col min="7685" max="7686" width="9" style="31"/>
    <col min="7687" max="7687" width="2.125" style="31" customWidth="1"/>
    <col min="7688" max="7688" width="9.3125" style="31" customWidth="1"/>
    <col min="7689" max="7689" width="9.6875" style="31" bestFit="1" customWidth="1"/>
    <col min="7690" max="7690" width="12.3125" style="31" customWidth="1"/>
    <col min="7691" max="7691" width="4.875" style="31" customWidth="1"/>
    <col min="7692" max="7936" width="9" style="31"/>
    <col min="7937" max="7937" width="3.125" style="31" bestFit="1" customWidth="1"/>
    <col min="7938" max="7938" width="11.3125" style="31" bestFit="1" customWidth="1"/>
    <col min="7939" max="7939" width="11.6875" style="31" customWidth="1"/>
    <col min="7940" max="7940" width="8.875" style="31" customWidth="1"/>
    <col min="7941" max="7942" width="9" style="31"/>
    <col min="7943" max="7943" width="2.125" style="31" customWidth="1"/>
    <col min="7944" max="7944" width="9.3125" style="31" customWidth="1"/>
    <col min="7945" max="7945" width="9.6875" style="31" bestFit="1" customWidth="1"/>
    <col min="7946" max="7946" width="12.3125" style="31" customWidth="1"/>
    <col min="7947" max="7947" width="4.875" style="31" customWidth="1"/>
    <col min="7948" max="8192" width="9" style="31"/>
    <col min="8193" max="8193" width="3.125" style="31" bestFit="1" customWidth="1"/>
    <col min="8194" max="8194" width="11.3125" style="31" bestFit="1" customWidth="1"/>
    <col min="8195" max="8195" width="11.6875" style="31" customWidth="1"/>
    <col min="8196" max="8196" width="8.875" style="31" customWidth="1"/>
    <col min="8197" max="8198" width="9" style="31"/>
    <col min="8199" max="8199" width="2.125" style="31" customWidth="1"/>
    <col min="8200" max="8200" width="9.3125" style="31" customWidth="1"/>
    <col min="8201" max="8201" width="9.6875" style="31" bestFit="1" customWidth="1"/>
    <col min="8202" max="8202" width="12.3125" style="31" customWidth="1"/>
    <col min="8203" max="8203" width="4.875" style="31" customWidth="1"/>
    <col min="8204" max="8448" width="9" style="31"/>
    <col min="8449" max="8449" width="3.125" style="31" bestFit="1" customWidth="1"/>
    <col min="8450" max="8450" width="11.3125" style="31" bestFit="1" customWidth="1"/>
    <col min="8451" max="8451" width="11.6875" style="31" customWidth="1"/>
    <col min="8452" max="8452" width="8.875" style="31" customWidth="1"/>
    <col min="8453" max="8454" width="9" style="31"/>
    <col min="8455" max="8455" width="2.125" style="31" customWidth="1"/>
    <col min="8456" max="8456" width="9.3125" style="31" customWidth="1"/>
    <col min="8457" max="8457" width="9.6875" style="31" bestFit="1" customWidth="1"/>
    <col min="8458" max="8458" width="12.3125" style="31" customWidth="1"/>
    <col min="8459" max="8459" width="4.875" style="31" customWidth="1"/>
    <col min="8460" max="8704" width="9" style="31"/>
    <col min="8705" max="8705" width="3.125" style="31" bestFit="1" customWidth="1"/>
    <col min="8706" max="8706" width="11.3125" style="31" bestFit="1" customWidth="1"/>
    <col min="8707" max="8707" width="11.6875" style="31" customWidth="1"/>
    <col min="8708" max="8708" width="8.875" style="31" customWidth="1"/>
    <col min="8709" max="8710" width="9" style="31"/>
    <col min="8711" max="8711" width="2.125" style="31" customWidth="1"/>
    <col min="8712" max="8712" width="9.3125" style="31" customWidth="1"/>
    <col min="8713" max="8713" width="9.6875" style="31" bestFit="1" customWidth="1"/>
    <col min="8714" max="8714" width="12.3125" style="31" customWidth="1"/>
    <col min="8715" max="8715" width="4.875" style="31" customWidth="1"/>
    <col min="8716" max="8960" width="9" style="31"/>
    <col min="8961" max="8961" width="3.125" style="31" bestFit="1" customWidth="1"/>
    <col min="8962" max="8962" width="11.3125" style="31" bestFit="1" customWidth="1"/>
    <col min="8963" max="8963" width="11.6875" style="31" customWidth="1"/>
    <col min="8964" max="8964" width="8.875" style="31" customWidth="1"/>
    <col min="8965" max="8966" width="9" style="31"/>
    <col min="8967" max="8967" width="2.125" style="31" customWidth="1"/>
    <col min="8968" max="8968" width="9.3125" style="31" customWidth="1"/>
    <col min="8969" max="8969" width="9.6875" style="31" bestFit="1" customWidth="1"/>
    <col min="8970" max="8970" width="12.3125" style="31" customWidth="1"/>
    <col min="8971" max="8971" width="4.875" style="31" customWidth="1"/>
    <col min="8972" max="9216" width="9" style="31"/>
    <col min="9217" max="9217" width="3.125" style="31" bestFit="1" customWidth="1"/>
    <col min="9218" max="9218" width="11.3125" style="31" bestFit="1" customWidth="1"/>
    <col min="9219" max="9219" width="11.6875" style="31" customWidth="1"/>
    <col min="9220" max="9220" width="8.875" style="31" customWidth="1"/>
    <col min="9221" max="9222" width="9" style="31"/>
    <col min="9223" max="9223" width="2.125" style="31" customWidth="1"/>
    <col min="9224" max="9224" width="9.3125" style="31" customWidth="1"/>
    <col min="9225" max="9225" width="9.6875" style="31" bestFit="1" customWidth="1"/>
    <col min="9226" max="9226" width="12.3125" style="31" customWidth="1"/>
    <col min="9227" max="9227" width="4.875" style="31" customWidth="1"/>
    <col min="9228" max="9472" width="9" style="31"/>
    <col min="9473" max="9473" width="3.125" style="31" bestFit="1" customWidth="1"/>
    <col min="9474" max="9474" width="11.3125" style="31" bestFit="1" customWidth="1"/>
    <col min="9475" max="9475" width="11.6875" style="31" customWidth="1"/>
    <col min="9476" max="9476" width="8.875" style="31" customWidth="1"/>
    <col min="9477" max="9478" width="9" style="31"/>
    <col min="9479" max="9479" width="2.125" style="31" customWidth="1"/>
    <col min="9480" max="9480" width="9.3125" style="31" customWidth="1"/>
    <col min="9481" max="9481" width="9.6875" style="31" bestFit="1" customWidth="1"/>
    <col min="9482" max="9482" width="12.3125" style="31" customWidth="1"/>
    <col min="9483" max="9483" width="4.875" style="31" customWidth="1"/>
    <col min="9484" max="9728" width="9" style="31"/>
    <col min="9729" max="9729" width="3.125" style="31" bestFit="1" customWidth="1"/>
    <col min="9730" max="9730" width="11.3125" style="31" bestFit="1" customWidth="1"/>
    <col min="9731" max="9731" width="11.6875" style="31" customWidth="1"/>
    <col min="9732" max="9732" width="8.875" style="31" customWidth="1"/>
    <col min="9733" max="9734" width="9" style="31"/>
    <col min="9735" max="9735" width="2.125" style="31" customWidth="1"/>
    <col min="9736" max="9736" width="9.3125" style="31" customWidth="1"/>
    <col min="9737" max="9737" width="9.6875" style="31" bestFit="1" customWidth="1"/>
    <col min="9738" max="9738" width="12.3125" style="31" customWidth="1"/>
    <col min="9739" max="9739" width="4.875" style="31" customWidth="1"/>
    <col min="9740" max="9984" width="9" style="31"/>
    <col min="9985" max="9985" width="3.125" style="31" bestFit="1" customWidth="1"/>
    <col min="9986" max="9986" width="11.3125" style="31" bestFit="1" customWidth="1"/>
    <col min="9987" max="9987" width="11.6875" style="31" customWidth="1"/>
    <col min="9988" max="9988" width="8.875" style="31" customWidth="1"/>
    <col min="9989" max="9990" width="9" style="31"/>
    <col min="9991" max="9991" width="2.125" style="31" customWidth="1"/>
    <col min="9992" max="9992" width="9.3125" style="31" customWidth="1"/>
    <col min="9993" max="9993" width="9.6875" style="31" bestFit="1" customWidth="1"/>
    <col min="9994" max="9994" width="12.3125" style="31" customWidth="1"/>
    <col min="9995" max="9995" width="4.875" style="31" customWidth="1"/>
    <col min="9996" max="10240" width="9" style="31"/>
    <col min="10241" max="10241" width="3.125" style="31" bestFit="1" customWidth="1"/>
    <col min="10242" max="10242" width="11.3125" style="31" bestFit="1" customWidth="1"/>
    <col min="10243" max="10243" width="11.6875" style="31" customWidth="1"/>
    <col min="10244" max="10244" width="8.875" style="31" customWidth="1"/>
    <col min="10245" max="10246" width="9" style="31"/>
    <col min="10247" max="10247" width="2.125" style="31" customWidth="1"/>
    <col min="10248" max="10248" width="9.3125" style="31" customWidth="1"/>
    <col min="10249" max="10249" width="9.6875" style="31" bestFit="1" customWidth="1"/>
    <col min="10250" max="10250" width="12.3125" style="31" customWidth="1"/>
    <col min="10251" max="10251" width="4.875" style="31" customWidth="1"/>
    <col min="10252" max="10496" width="9" style="31"/>
    <col min="10497" max="10497" width="3.125" style="31" bestFit="1" customWidth="1"/>
    <col min="10498" max="10498" width="11.3125" style="31" bestFit="1" customWidth="1"/>
    <col min="10499" max="10499" width="11.6875" style="31" customWidth="1"/>
    <col min="10500" max="10500" width="8.875" style="31" customWidth="1"/>
    <col min="10501" max="10502" width="9" style="31"/>
    <col min="10503" max="10503" width="2.125" style="31" customWidth="1"/>
    <col min="10504" max="10504" width="9.3125" style="31" customWidth="1"/>
    <col min="10505" max="10505" width="9.6875" style="31" bestFit="1" customWidth="1"/>
    <col min="10506" max="10506" width="12.3125" style="31" customWidth="1"/>
    <col min="10507" max="10507" width="4.875" style="31" customWidth="1"/>
    <col min="10508" max="10752" width="9" style="31"/>
    <col min="10753" max="10753" width="3.125" style="31" bestFit="1" customWidth="1"/>
    <col min="10754" max="10754" width="11.3125" style="31" bestFit="1" customWidth="1"/>
    <col min="10755" max="10755" width="11.6875" style="31" customWidth="1"/>
    <col min="10756" max="10756" width="8.875" style="31" customWidth="1"/>
    <col min="10757" max="10758" width="9" style="31"/>
    <col min="10759" max="10759" width="2.125" style="31" customWidth="1"/>
    <col min="10760" max="10760" width="9.3125" style="31" customWidth="1"/>
    <col min="10761" max="10761" width="9.6875" style="31" bestFit="1" customWidth="1"/>
    <col min="10762" max="10762" width="12.3125" style="31" customWidth="1"/>
    <col min="10763" max="10763" width="4.875" style="31" customWidth="1"/>
    <col min="10764" max="11008" width="9" style="31"/>
    <col min="11009" max="11009" width="3.125" style="31" bestFit="1" customWidth="1"/>
    <col min="11010" max="11010" width="11.3125" style="31" bestFit="1" customWidth="1"/>
    <col min="11011" max="11011" width="11.6875" style="31" customWidth="1"/>
    <col min="11012" max="11012" width="8.875" style="31" customWidth="1"/>
    <col min="11013" max="11014" width="9" style="31"/>
    <col min="11015" max="11015" width="2.125" style="31" customWidth="1"/>
    <col min="11016" max="11016" width="9.3125" style="31" customWidth="1"/>
    <col min="11017" max="11017" width="9.6875" style="31" bestFit="1" customWidth="1"/>
    <col min="11018" max="11018" width="12.3125" style="31" customWidth="1"/>
    <col min="11019" max="11019" width="4.875" style="31" customWidth="1"/>
    <col min="11020" max="11264" width="9" style="31"/>
    <col min="11265" max="11265" width="3.125" style="31" bestFit="1" customWidth="1"/>
    <col min="11266" max="11266" width="11.3125" style="31" bestFit="1" customWidth="1"/>
    <col min="11267" max="11267" width="11.6875" style="31" customWidth="1"/>
    <col min="11268" max="11268" width="8.875" style="31" customWidth="1"/>
    <col min="11269" max="11270" width="9" style="31"/>
    <col min="11271" max="11271" width="2.125" style="31" customWidth="1"/>
    <col min="11272" max="11272" width="9.3125" style="31" customWidth="1"/>
    <col min="11273" max="11273" width="9.6875" style="31" bestFit="1" customWidth="1"/>
    <col min="11274" max="11274" width="12.3125" style="31" customWidth="1"/>
    <col min="11275" max="11275" width="4.875" style="31" customWidth="1"/>
    <col min="11276" max="11520" width="9" style="31"/>
    <col min="11521" max="11521" width="3.125" style="31" bestFit="1" customWidth="1"/>
    <col min="11522" max="11522" width="11.3125" style="31" bestFit="1" customWidth="1"/>
    <col min="11523" max="11523" width="11.6875" style="31" customWidth="1"/>
    <col min="11524" max="11524" width="8.875" style="31" customWidth="1"/>
    <col min="11525" max="11526" width="9" style="31"/>
    <col min="11527" max="11527" width="2.125" style="31" customWidth="1"/>
    <col min="11528" max="11528" width="9.3125" style="31" customWidth="1"/>
    <col min="11529" max="11529" width="9.6875" style="31" bestFit="1" customWidth="1"/>
    <col min="11530" max="11530" width="12.3125" style="31" customWidth="1"/>
    <col min="11531" max="11531" width="4.875" style="31" customWidth="1"/>
    <col min="11532" max="11776" width="9" style="31"/>
    <col min="11777" max="11777" width="3.125" style="31" bestFit="1" customWidth="1"/>
    <col min="11778" max="11778" width="11.3125" style="31" bestFit="1" customWidth="1"/>
    <col min="11779" max="11779" width="11.6875" style="31" customWidth="1"/>
    <col min="11780" max="11780" width="8.875" style="31" customWidth="1"/>
    <col min="11781" max="11782" width="9" style="31"/>
    <col min="11783" max="11783" width="2.125" style="31" customWidth="1"/>
    <col min="11784" max="11784" width="9.3125" style="31" customWidth="1"/>
    <col min="11785" max="11785" width="9.6875" style="31" bestFit="1" customWidth="1"/>
    <col min="11786" max="11786" width="12.3125" style="31" customWidth="1"/>
    <col min="11787" max="11787" width="4.875" style="31" customWidth="1"/>
    <col min="11788" max="12032" width="9" style="31"/>
    <col min="12033" max="12033" width="3.125" style="31" bestFit="1" customWidth="1"/>
    <col min="12034" max="12034" width="11.3125" style="31" bestFit="1" customWidth="1"/>
    <col min="12035" max="12035" width="11.6875" style="31" customWidth="1"/>
    <col min="12036" max="12036" width="8.875" style="31" customWidth="1"/>
    <col min="12037" max="12038" width="9" style="31"/>
    <col min="12039" max="12039" width="2.125" style="31" customWidth="1"/>
    <col min="12040" max="12040" width="9.3125" style="31" customWidth="1"/>
    <col min="12041" max="12041" width="9.6875" style="31" bestFit="1" customWidth="1"/>
    <col min="12042" max="12042" width="12.3125" style="31" customWidth="1"/>
    <col min="12043" max="12043" width="4.875" style="31" customWidth="1"/>
    <col min="12044" max="12288" width="9" style="31"/>
    <col min="12289" max="12289" width="3.125" style="31" bestFit="1" customWidth="1"/>
    <col min="12290" max="12290" width="11.3125" style="31" bestFit="1" customWidth="1"/>
    <col min="12291" max="12291" width="11.6875" style="31" customWidth="1"/>
    <col min="12292" max="12292" width="8.875" style="31" customWidth="1"/>
    <col min="12293" max="12294" width="9" style="31"/>
    <col min="12295" max="12295" width="2.125" style="31" customWidth="1"/>
    <col min="12296" max="12296" width="9.3125" style="31" customWidth="1"/>
    <col min="12297" max="12297" width="9.6875" style="31" bestFit="1" customWidth="1"/>
    <col min="12298" max="12298" width="12.3125" style="31" customWidth="1"/>
    <col min="12299" max="12299" width="4.875" style="31" customWidth="1"/>
    <col min="12300" max="12544" width="9" style="31"/>
    <col min="12545" max="12545" width="3.125" style="31" bestFit="1" customWidth="1"/>
    <col min="12546" max="12546" width="11.3125" style="31" bestFit="1" customWidth="1"/>
    <col min="12547" max="12547" width="11.6875" style="31" customWidth="1"/>
    <col min="12548" max="12548" width="8.875" style="31" customWidth="1"/>
    <col min="12549" max="12550" width="9" style="31"/>
    <col min="12551" max="12551" width="2.125" style="31" customWidth="1"/>
    <col min="12552" max="12552" width="9.3125" style="31" customWidth="1"/>
    <col min="12553" max="12553" width="9.6875" style="31" bestFit="1" customWidth="1"/>
    <col min="12554" max="12554" width="12.3125" style="31" customWidth="1"/>
    <col min="12555" max="12555" width="4.875" style="31" customWidth="1"/>
    <col min="12556" max="12800" width="9" style="31"/>
    <col min="12801" max="12801" width="3.125" style="31" bestFit="1" customWidth="1"/>
    <col min="12802" max="12802" width="11.3125" style="31" bestFit="1" customWidth="1"/>
    <col min="12803" max="12803" width="11.6875" style="31" customWidth="1"/>
    <col min="12804" max="12804" width="8.875" style="31" customWidth="1"/>
    <col min="12805" max="12806" width="9" style="31"/>
    <col min="12807" max="12807" width="2.125" style="31" customWidth="1"/>
    <col min="12808" max="12808" width="9.3125" style="31" customWidth="1"/>
    <col min="12809" max="12809" width="9.6875" style="31" bestFit="1" customWidth="1"/>
    <col min="12810" max="12810" width="12.3125" style="31" customWidth="1"/>
    <col min="12811" max="12811" width="4.875" style="31" customWidth="1"/>
    <col min="12812" max="13056" width="9" style="31"/>
    <col min="13057" max="13057" width="3.125" style="31" bestFit="1" customWidth="1"/>
    <col min="13058" max="13058" width="11.3125" style="31" bestFit="1" customWidth="1"/>
    <col min="13059" max="13059" width="11.6875" style="31" customWidth="1"/>
    <col min="13060" max="13060" width="8.875" style="31" customWidth="1"/>
    <col min="13061" max="13062" width="9" style="31"/>
    <col min="13063" max="13063" width="2.125" style="31" customWidth="1"/>
    <col min="13064" max="13064" width="9.3125" style="31" customWidth="1"/>
    <col min="13065" max="13065" width="9.6875" style="31" bestFit="1" customWidth="1"/>
    <col min="13066" max="13066" width="12.3125" style="31" customWidth="1"/>
    <col min="13067" max="13067" width="4.875" style="31" customWidth="1"/>
    <col min="13068" max="13312" width="9" style="31"/>
    <col min="13313" max="13313" width="3.125" style="31" bestFit="1" customWidth="1"/>
    <col min="13314" max="13314" width="11.3125" style="31" bestFit="1" customWidth="1"/>
    <col min="13315" max="13315" width="11.6875" style="31" customWidth="1"/>
    <col min="13316" max="13316" width="8.875" style="31" customWidth="1"/>
    <col min="13317" max="13318" width="9" style="31"/>
    <col min="13319" max="13319" width="2.125" style="31" customWidth="1"/>
    <col min="13320" max="13320" width="9.3125" style="31" customWidth="1"/>
    <col min="13321" max="13321" width="9.6875" style="31" bestFit="1" customWidth="1"/>
    <col min="13322" max="13322" width="12.3125" style="31" customWidth="1"/>
    <col min="13323" max="13323" width="4.875" style="31" customWidth="1"/>
    <col min="13324" max="13568" width="9" style="31"/>
    <col min="13569" max="13569" width="3.125" style="31" bestFit="1" customWidth="1"/>
    <col min="13570" max="13570" width="11.3125" style="31" bestFit="1" customWidth="1"/>
    <col min="13571" max="13571" width="11.6875" style="31" customWidth="1"/>
    <col min="13572" max="13572" width="8.875" style="31" customWidth="1"/>
    <col min="13573" max="13574" width="9" style="31"/>
    <col min="13575" max="13575" width="2.125" style="31" customWidth="1"/>
    <col min="13576" max="13576" width="9.3125" style="31" customWidth="1"/>
    <col min="13577" max="13577" width="9.6875" style="31" bestFit="1" customWidth="1"/>
    <col min="13578" max="13578" width="12.3125" style="31" customWidth="1"/>
    <col min="13579" max="13579" width="4.875" style="31" customWidth="1"/>
    <col min="13580" max="13824" width="9" style="31"/>
    <col min="13825" max="13825" width="3.125" style="31" bestFit="1" customWidth="1"/>
    <col min="13826" max="13826" width="11.3125" style="31" bestFit="1" customWidth="1"/>
    <col min="13827" max="13827" width="11.6875" style="31" customWidth="1"/>
    <col min="13828" max="13828" width="8.875" style="31" customWidth="1"/>
    <col min="13829" max="13830" width="9" style="31"/>
    <col min="13831" max="13831" width="2.125" style="31" customWidth="1"/>
    <col min="13832" max="13832" width="9.3125" style="31" customWidth="1"/>
    <col min="13833" max="13833" width="9.6875" style="31" bestFit="1" customWidth="1"/>
    <col min="13834" max="13834" width="12.3125" style="31" customWidth="1"/>
    <col min="13835" max="13835" width="4.875" style="31" customWidth="1"/>
    <col min="13836" max="14080" width="9" style="31"/>
    <col min="14081" max="14081" width="3.125" style="31" bestFit="1" customWidth="1"/>
    <col min="14082" max="14082" width="11.3125" style="31" bestFit="1" customWidth="1"/>
    <col min="14083" max="14083" width="11.6875" style="31" customWidth="1"/>
    <col min="14084" max="14084" width="8.875" style="31" customWidth="1"/>
    <col min="14085" max="14086" width="9" style="31"/>
    <col min="14087" max="14087" width="2.125" style="31" customWidth="1"/>
    <col min="14088" max="14088" width="9.3125" style="31" customWidth="1"/>
    <col min="14089" max="14089" width="9.6875" style="31" bestFit="1" customWidth="1"/>
    <col min="14090" max="14090" width="12.3125" style="31" customWidth="1"/>
    <col min="14091" max="14091" width="4.875" style="31" customWidth="1"/>
    <col min="14092" max="14336" width="9" style="31"/>
    <col min="14337" max="14337" width="3.125" style="31" bestFit="1" customWidth="1"/>
    <col min="14338" max="14338" width="11.3125" style="31" bestFit="1" customWidth="1"/>
    <col min="14339" max="14339" width="11.6875" style="31" customWidth="1"/>
    <col min="14340" max="14340" width="8.875" style="31" customWidth="1"/>
    <col min="14341" max="14342" width="9" style="31"/>
    <col min="14343" max="14343" width="2.125" style="31" customWidth="1"/>
    <col min="14344" max="14344" width="9.3125" style="31" customWidth="1"/>
    <col min="14345" max="14345" width="9.6875" style="31" bestFit="1" customWidth="1"/>
    <col min="14346" max="14346" width="12.3125" style="31" customWidth="1"/>
    <col min="14347" max="14347" width="4.875" style="31" customWidth="1"/>
    <col min="14348" max="14592" width="9" style="31"/>
    <col min="14593" max="14593" width="3.125" style="31" bestFit="1" customWidth="1"/>
    <col min="14594" max="14594" width="11.3125" style="31" bestFit="1" customWidth="1"/>
    <col min="14595" max="14595" width="11.6875" style="31" customWidth="1"/>
    <col min="14596" max="14596" width="8.875" style="31" customWidth="1"/>
    <col min="14597" max="14598" width="9" style="31"/>
    <col min="14599" max="14599" width="2.125" style="31" customWidth="1"/>
    <col min="14600" max="14600" width="9.3125" style="31" customWidth="1"/>
    <col min="14601" max="14601" width="9.6875" style="31" bestFit="1" customWidth="1"/>
    <col min="14602" max="14602" width="12.3125" style="31" customWidth="1"/>
    <col min="14603" max="14603" width="4.875" style="31" customWidth="1"/>
    <col min="14604" max="14848" width="9" style="31"/>
    <col min="14849" max="14849" width="3.125" style="31" bestFit="1" customWidth="1"/>
    <col min="14850" max="14850" width="11.3125" style="31" bestFit="1" customWidth="1"/>
    <col min="14851" max="14851" width="11.6875" style="31" customWidth="1"/>
    <col min="14852" max="14852" width="8.875" style="31" customWidth="1"/>
    <col min="14853" max="14854" width="9" style="31"/>
    <col min="14855" max="14855" width="2.125" style="31" customWidth="1"/>
    <col min="14856" max="14856" width="9.3125" style="31" customWidth="1"/>
    <col min="14857" max="14857" width="9.6875" style="31" bestFit="1" customWidth="1"/>
    <col min="14858" max="14858" width="12.3125" style="31" customWidth="1"/>
    <col min="14859" max="14859" width="4.875" style="31" customWidth="1"/>
    <col min="14860" max="15104" width="9" style="31"/>
    <col min="15105" max="15105" width="3.125" style="31" bestFit="1" customWidth="1"/>
    <col min="15106" max="15106" width="11.3125" style="31" bestFit="1" customWidth="1"/>
    <col min="15107" max="15107" width="11.6875" style="31" customWidth="1"/>
    <col min="15108" max="15108" width="8.875" style="31" customWidth="1"/>
    <col min="15109" max="15110" width="9" style="31"/>
    <col min="15111" max="15111" width="2.125" style="31" customWidth="1"/>
    <col min="15112" max="15112" width="9.3125" style="31" customWidth="1"/>
    <col min="15113" max="15113" width="9.6875" style="31" bestFit="1" customWidth="1"/>
    <col min="15114" max="15114" width="12.3125" style="31" customWidth="1"/>
    <col min="15115" max="15115" width="4.875" style="31" customWidth="1"/>
    <col min="15116" max="15360" width="9" style="31"/>
    <col min="15361" max="15361" width="3.125" style="31" bestFit="1" customWidth="1"/>
    <col min="15362" max="15362" width="11.3125" style="31" bestFit="1" customWidth="1"/>
    <col min="15363" max="15363" width="11.6875" style="31" customWidth="1"/>
    <col min="15364" max="15364" width="8.875" style="31" customWidth="1"/>
    <col min="15365" max="15366" width="9" style="31"/>
    <col min="15367" max="15367" width="2.125" style="31" customWidth="1"/>
    <col min="15368" max="15368" width="9.3125" style="31" customWidth="1"/>
    <col min="15369" max="15369" width="9.6875" style="31" bestFit="1" customWidth="1"/>
    <col min="15370" max="15370" width="12.3125" style="31" customWidth="1"/>
    <col min="15371" max="15371" width="4.875" style="31" customWidth="1"/>
    <col min="15372" max="15616" width="9" style="31"/>
    <col min="15617" max="15617" width="3.125" style="31" bestFit="1" customWidth="1"/>
    <col min="15618" max="15618" width="11.3125" style="31" bestFit="1" customWidth="1"/>
    <col min="15619" max="15619" width="11.6875" style="31" customWidth="1"/>
    <col min="15620" max="15620" width="8.875" style="31" customWidth="1"/>
    <col min="15621" max="15622" width="9" style="31"/>
    <col min="15623" max="15623" width="2.125" style="31" customWidth="1"/>
    <col min="15624" max="15624" width="9.3125" style="31" customWidth="1"/>
    <col min="15625" max="15625" width="9.6875" style="31" bestFit="1" customWidth="1"/>
    <col min="15626" max="15626" width="12.3125" style="31" customWidth="1"/>
    <col min="15627" max="15627" width="4.875" style="31" customWidth="1"/>
    <col min="15628" max="15872" width="9" style="31"/>
    <col min="15873" max="15873" width="3.125" style="31" bestFit="1" customWidth="1"/>
    <col min="15874" max="15874" width="11.3125" style="31" bestFit="1" customWidth="1"/>
    <col min="15875" max="15875" width="11.6875" style="31" customWidth="1"/>
    <col min="15876" max="15876" width="8.875" style="31" customWidth="1"/>
    <col min="15877" max="15878" width="9" style="31"/>
    <col min="15879" max="15879" width="2.125" style="31" customWidth="1"/>
    <col min="15880" max="15880" width="9.3125" style="31" customWidth="1"/>
    <col min="15881" max="15881" width="9.6875" style="31" bestFit="1" customWidth="1"/>
    <col min="15882" max="15882" width="12.3125" style="31" customWidth="1"/>
    <col min="15883" max="15883" width="4.875" style="31" customWidth="1"/>
    <col min="15884" max="16128" width="9" style="31"/>
    <col min="16129" max="16129" width="3.125" style="31" bestFit="1" customWidth="1"/>
    <col min="16130" max="16130" width="11.3125" style="31" bestFit="1" customWidth="1"/>
    <col min="16131" max="16131" width="11.6875" style="31" customWidth="1"/>
    <col min="16132" max="16132" width="8.875" style="31" customWidth="1"/>
    <col min="16133" max="16134" width="9" style="31"/>
    <col min="16135" max="16135" width="2.125" style="31" customWidth="1"/>
    <col min="16136" max="16136" width="9.3125" style="31" customWidth="1"/>
    <col min="16137" max="16137" width="9.6875" style="31" bestFit="1" customWidth="1"/>
    <col min="16138" max="16138" width="12.3125" style="31" customWidth="1"/>
    <col min="16139" max="16139" width="4.875" style="31" customWidth="1"/>
    <col min="16140" max="16384" width="9" style="31"/>
  </cols>
  <sheetData>
    <row r="1" spans="1:32" ht="20.45" customHeight="1" x14ac:dyDescent="0.6">
      <c r="A1" s="264" t="s">
        <v>399</v>
      </c>
      <c r="B1" s="264"/>
      <c r="C1" s="264"/>
      <c r="D1" s="264"/>
      <c r="E1" s="264"/>
      <c r="F1" s="264"/>
      <c r="G1" s="264"/>
      <c r="H1" s="264"/>
      <c r="I1" s="264"/>
      <c r="J1" s="264"/>
    </row>
    <row r="2" spans="1:32" ht="20.45" customHeight="1" x14ac:dyDescent="0.6">
      <c r="A2" s="286" t="s">
        <v>83</v>
      </c>
      <c r="B2" s="286"/>
      <c r="C2" s="286"/>
      <c r="D2" s="286" t="s">
        <v>84</v>
      </c>
      <c r="E2" s="286"/>
      <c r="F2" s="265" t="s">
        <v>85</v>
      </c>
      <c r="G2" s="250"/>
      <c r="H2" s="266"/>
      <c r="I2" s="286" t="s">
        <v>86</v>
      </c>
      <c r="J2" s="286"/>
    </row>
    <row r="3" spans="1:32" ht="20.45" customHeight="1" x14ac:dyDescent="0.6">
      <c r="A3" s="286" t="str">
        <f>VLOOKUP(K3,임금대장!$A$3:$AH$86,3,0)</f>
        <v>초다이</v>
      </c>
      <c r="B3" s="286"/>
      <c r="C3" s="286"/>
      <c r="D3" s="287" t="str">
        <f>VLOOKUP(K3,임금대장!$A$3:$AH$86,2,0)</f>
        <v>박은규</v>
      </c>
      <c r="E3" s="287"/>
      <c r="F3" s="267">
        <f>임금대장!$O$3</f>
        <v>31</v>
      </c>
      <c r="G3" s="269"/>
      <c r="H3" s="268"/>
      <c r="I3" s="288">
        <f>VLOOKUP(K3,임금대장!$A$3:$AH$86,16,0)</f>
        <v>0</v>
      </c>
      <c r="J3" s="288"/>
      <c r="K3" s="30">
        <v>1</v>
      </c>
    </row>
    <row r="4" spans="1:32" ht="20.45" customHeight="1" x14ac:dyDescent="0.6">
      <c r="A4" s="286" t="s">
        <v>87</v>
      </c>
      <c r="B4" s="286"/>
      <c r="C4" s="286" t="s">
        <v>5</v>
      </c>
      <c r="D4" s="289">
        <f>VLOOKUP($K3,임금대장!$A$3:$AH$86,5,0)</f>
        <v>44593</v>
      </c>
      <c r="E4" s="289"/>
      <c r="F4" s="114" t="s">
        <v>88</v>
      </c>
      <c r="G4" s="292">
        <f>VLOOKUP(K3,임금대장!$A$3:$AH$86,15,0)</f>
        <v>31</v>
      </c>
      <c r="H4" s="293"/>
      <c r="I4" s="286" t="s">
        <v>89</v>
      </c>
      <c r="J4" s="290">
        <f>VLOOKUP(K3,임금대장!$A$3:$AH$86,17,0)</f>
        <v>0</v>
      </c>
    </row>
    <row r="5" spans="1:32" ht="20.45" customHeight="1" x14ac:dyDescent="0.6">
      <c r="A5" s="294">
        <f>VLOOKUP($K3,임금대장!$A$3:$AH$86,7,0)</f>
        <v>4300000</v>
      </c>
      <c r="B5" s="294"/>
      <c r="C5" s="286"/>
      <c r="D5" s="289"/>
      <c r="E5" s="289"/>
      <c r="F5" s="115" t="s">
        <v>90</v>
      </c>
      <c r="G5" s="284">
        <f>VLOOKUP(K3,임금대장!$A$3:$AH$86,16,0)</f>
        <v>0</v>
      </c>
      <c r="H5" s="285"/>
      <c r="I5" s="286"/>
      <c r="J5" s="290"/>
    </row>
    <row r="6" spans="1:32" ht="20.45" customHeight="1" x14ac:dyDescent="0.6">
      <c r="F6" s="250"/>
      <c r="G6" s="250"/>
    </row>
    <row r="7" spans="1:32" ht="20.45" customHeight="1" x14ac:dyDescent="0.6">
      <c r="A7" s="251" t="s">
        <v>91</v>
      </c>
      <c r="B7" s="69" t="s">
        <v>20</v>
      </c>
      <c r="C7" s="25">
        <f>VLOOKUP($K3,임금대장!$A$3:$AH$86,9,0)</f>
        <v>3088316</v>
      </c>
      <c r="D7" s="33"/>
      <c r="E7" s="69"/>
      <c r="F7" s="254"/>
      <c r="G7" s="255"/>
      <c r="H7" s="168"/>
      <c r="I7" s="33"/>
      <c r="J7" s="34"/>
    </row>
    <row r="8" spans="1:32" ht="20.45" customHeight="1" x14ac:dyDescent="0.6">
      <c r="A8" s="252"/>
      <c r="B8" s="67" t="s">
        <v>21</v>
      </c>
      <c r="C8" s="35">
        <f>VLOOKUP($K3,임금대장!$A$3:$AH$86,10,0)</f>
        <v>963436</v>
      </c>
      <c r="D8" s="36"/>
      <c r="E8" s="67"/>
      <c r="F8" s="256"/>
      <c r="G8" s="257"/>
      <c r="H8" s="169"/>
      <c r="I8" s="36"/>
      <c r="J8" s="37"/>
    </row>
    <row r="9" spans="1:32" ht="20.45" customHeight="1" x14ac:dyDescent="0.6">
      <c r="A9" s="252"/>
      <c r="B9" s="52" t="s">
        <v>92</v>
      </c>
      <c r="C9" s="35">
        <f>VLOOKUP($K3,임금대장!$A$3:$AH$86,11,0)</f>
        <v>130035</v>
      </c>
      <c r="D9" s="36"/>
      <c r="E9" s="67"/>
      <c r="F9" s="256"/>
      <c r="G9" s="257"/>
      <c r="H9" s="169"/>
      <c r="I9" s="36"/>
      <c r="J9" s="37"/>
      <c r="L9" s="38"/>
      <c r="M9" s="38"/>
    </row>
    <row r="10" spans="1:32" ht="20.45" customHeight="1" x14ac:dyDescent="0.6">
      <c r="A10" s="252"/>
      <c r="B10" s="67" t="s">
        <v>93</v>
      </c>
      <c r="C10" s="35">
        <f>VLOOKUP($K3,임금대장!$A$3:$AH$86,12,0)</f>
        <v>0</v>
      </c>
      <c r="D10" s="36"/>
      <c r="E10" s="67"/>
      <c r="F10" s="256"/>
      <c r="G10" s="257"/>
      <c r="H10" s="169"/>
      <c r="I10" s="36"/>
      <c r="J10" s="37"/>
    </row>
    <row r="11" spans="1:32" ht="20.45" customHeight="1" x14ac:dyDescent="0.6">
      <c r="A11" s="252"/>
      <c r="B11" s="67" t="s">
        <v>94</v>
      </c>
      <c r="C11" s="35">
        <f>VLOOKUP($K3,임금대장!$A$3:$AH$86,13,0)</f>
        <v>118213</v>
      </c>
      <c r="D11" s="36"/>
      <c r="E11" s="36"/>
      <c r="F11" s="258"/>
      <c r="G11" s="259"/>
      <c r="H11" s="169"/>
      <c r="I11" s="36"/>
      <c r="J11" s="37"/>
    </row>
    <row r="12" spans="1:32" ht="20.45" customHeight="1" x14ac:dyDescent="0.6">
      <c r="A12" s="252"/>
      <c r="B12" s="67" t="s">
        <v>24</v>
      </c>
      <c r="C12" s="102">
        <f>VLOOKUP($K3,임금대장!$A$3:$AH$86,14,0)</f>
        <v>69354.838709677424</v>
      </c>
      <c r="D12" s="36"/>
      <c r="E12" s="36"/>
      <c r="F12" s="258"/>
      <c r="G12" s="259"/>
      <c r="H12" s="169"/>
      <c r="I12" s="36"/>
      <c r="J12" s="37"/>
    </row>
    <row r="13" spans="1:32" ht="20.45" customHeight="1" x14ac:dyDescent="0.6">
      <c r="A13" s="252"/>
      <c r="B13" s="67"/>
      <c r="C13" s="35"/>
      <c r="D13" s="36"/>
      <c r="E13" s="36"/>
      <c r="F13" s="258"/>
      <c r="G13" s="259"/>
      <c r="H13" s="169"/>
      <c r="I13" s="36"/>
      <c r="J13" s="37"/>
    </row>
    <row r="14" spans="1:32" ht="20.45" customHeight="1" x14ac:dyDescent="0.6">
      <c r="A14" s="252"/>
      <c r="B14" s="67"/>
      <c r="C14" s="35"/>
      <c r="D14" s="36"/>
      <c r="E14" s="36"/>
      <c r="F14" s="258"/>
      <c r="G14" s="259"/>
      <c r="H14" s="169"/>
      <c r="I14" s="36"/>
      <c r="J14" s="37"/>
      <c r="AF14" s="31">
        <f>-241760-328370-32770</f>
        <v>-602900</v>
      </c>
    </row>
    <row r="15" spans="1:32" ht="20.45" customHeight="1" x14ac:dyDescent="0.6">
      <c r="A15" s="253"/>
      <c r="B15" s="68"/>
      <c r="C15" s="39"/>
      <c r="D15" s="40"/>
      <c r="E15" s="40"/>
      <c r="F15" s="260"/>
      <c r="G15" s="261"/>
      <c r="H15" s="170"/>
      <c r="I15" s="68" t="s">
        <v>95</v>
      </c>
      <c r="J15" s="41">
        <f>SUM(C7:H13)</f>
        <v>4369354.8387096776</v>
      </c>
    </row>
    <row r="16" spans="1:32" ht="20.45" customHeight="1" x14ac:dyDescent="0.6">
      <c r="A16" s="251" t="s">
        <v>96</v>
      </c>
      <c r="B16" s="36" t="s">
        <v>97</v>
      </c>
      <c r="C16" s="35">
        <f>VLOOKUP($K3,임금대장!$A$3:$AH$86,25,0)</f>
        <v>132410</v>
      </c>
      <c r="D16" s="33"/>
      <c r="E16" s="42"/>
      <c r="F16" s="262" t="s">
        <v>14</v>
      </c>
      <c r="G16" s="263"/>
      <c r="H16" s="169">
        <f>VLOOKUP($K3,임금대장!$A$3:$AH$86,19,0)</f>
        <v>0</v>
      </c>
      <c r="I16" s="33"/>
      <c r="J16" s="34"/>
    </row>
    <row r="17" spans="1:13" ht="20.45" customHeight="1" x14ac:dyDescent="0.6">
      <c r="A17" s="252"/>
      <c r="B17" s="36" t="s">
        <v>98</v>
      </c>
      <c r="C17" s="35">
        <f>VLOOKUP($K3,임금대장!$A$3:$AH$86,26,0)</f>
        <v>13240</v>
      </c>
      <c r="D17" s="36"/>
      <c r="E17" s="43"/>
      <c r="F17" s="258" t="s">
        <v>12</v>
      </c>
      <c r="G17" s="259"/>
      <c r="H17" s="169">
        <f>VLOOKUP($K3,임금대장!$A$3:$AH$86,17,0)</f>
        <v>0</v>
      </c>
      <c r="I17" s="36"/>
      <c r="J17" s="37"/>
    </row>
    <row r="18" spans="1:13" ht="20.45" customHeight="1" x14ac:dyDescent="0.6">
      <c r="A18" s="252"/>
      <c r="B18" s="36" t="s">
        <v>99</v>
      </c>
      <c r="C18" s="35">
        <f>VLOOKUP($K3,임금대장!$A$3:$AH$86,27,0)</f>
        <v>209900</v>
      </c>
      <c r="D18" s="36"/>
      <c r="E18" s="44"/>
      <c r="F18" s="258" t="s">
        <v>100</v>
      </c>
      <c r="G18" s="259"/>
      <c r="H18" s="169">
        <f>VLOOKUP($K3,임금대장!$A$3:$AH$86,31,0)</f>
        <v>0</v>
      </c>
      <c r="I18" s="36"/>
      <c r="J18" s="37"/>
    </row>
    <row r="19" spans="1:13" ht="20.45" customHeight="1" x14ac:dyDescent="0.6">
      <c r="A19" s="252"/>
      <c r="B19" s="36" t="s">
        <v>101</v>
      </c>
      <c r="C19" s="35">
        <f>VLOOKUP($K3,임금대장!$A$3:$AH$86,28,0)</f>
        <v>157070</v>
      </c>
      <c r="D19" s="36"/>
      <c r="E19" s="43"/>
      <c r="F19" s="258" t="s">
        <v>102</v>
      </c>
      <c r="G19" s="259"/>
      <c r="H19" s="169">
        <f>VLOOKUP($K3,임금대장!$A$3:$AH$86,30,0)</f>
        <v>39320</v>
      </c>
      <c r="I19" s="36"/>
      <c r="J19" s="37"/>
    </row>
    <row r="20" spans="1:13" ht="20.45" customHeight="1" x14ac:dyDescent="0.6">
      <c r="A20" s="252"/>
      <c r="B20" s="36" t="s">
        <v>31</v>
      </c>
      <c r="C20" s="35">
        <f>VLOOKUP($K3,임금대장!$A$3:$AH$86,29,0)</f>
        <v>20630</v>
      </c>
      <c r="D20" s="36"/>
      <c r="E20" s="43"/>
      <c r="F20" s="258" t="s">
        <v>328</v>
      </c>
      <c r="G20" s="259"/>
      <c r="H20" s="169">
        <f>VLOOKUP($K3,임금대장!$A$3:$AH$86,32,0)</f>
        <v>0</v>
      </c>
      <c r="I20" s="67" t="s">
        <v>103</v>
      </c>
      <c r="J20" s="47">
        <f>SUM(C16:H21)</f>
        <v>572570</v>
      </c>
    </row>
    <row r="21" spans="1:13" ht="20.45" customHeight="1" x14ac:dyDescent="0.6">
      <c r="A21" s="253"/>
      <c r="B21" s="40"/>
      <c r="C21" s="101"/>
      <c r="D21" s="40"/>
      <c r="E21" s="48"/>
      <c r="F21" s="260"/>
      <c r="G21" s="261"/>
      <c r="H21" s="170"/>
      <c r="I21" s="68" t="s">
        <v>104</v>
      </c>
      <c r="J21" s="49">
        <f>J15-J20</f>
        <v>3796784.8387096776</v>
      </c>
    </row>
    <row r="22" spans="1:13" ht="20.45" customHeight="1" x14ac:dyDescent="0.6">
      <c r="A22" s="50" t="s">
        <v>105</v>
      </c>
      <c r="J22" s="51" t="s">
        <v>0</v>
      </c>
    </row>
    <row r="23" spans="1:13" ht="20.45" customHeight="1" x14ac:dyDescent="0.6">
      <c r="A23" s="50"/>
      <c r="J23" s="51"/>
    </row>
    <row r="24" spans="1:13" ht="20.45" customHeight="1" x14ac:dyDescent="0.6">
      <c r="A24" s="264" t="s">
        <v>399</v>
      </c>
      <c r="B24" s="264"/>
      <c r="C24" s="264"/>
      <c r="D24" s="264"/>
      <c r="E24" s="264"/>
      <c r="F24" s="264"/>
      <c r="G24" s="264"/>
      <c r="H24" s="264"/>
      <c r="I24" s="264"/>
      <c r="J24" s="264"/>
    </row>
    <row r="25" spans="1:13" ht="20.45" customHeight="1" x14ac:dyDescent="0.6">
      <c r="A25" s="286" t="s">
        <v>83</v>
      </c>
      <c r="B25" s="286"/>
      <c r="C25" s="286"/>
      <c r="D25" s="286" t="s">
        <v>84</v>
      </c>
      <c r="E25" s="286"/>
      <c r="F25" s="265" t="s">
        <v>85</v>
      </c>
      <c r="G25" s="250"/>
      <c r="H25" s="266"/>
      <c r="I25" s="286" t="s">
        <v>86</v>
      </c>
      <c r="J25" s="286"/>
    </row>
    <row r="26" spans="1:13" ht="20.45" customHeight="1" x14ac:dyDescent="0.6">
      <c r="A26" s="286" t="str">
        <f>VLOOKUP(K26,임금대장!$A$3:$AH$86,3,0)</f>
        <v>롤</v>
      </c>
      <c r="B26" s="286"/>
      <c r="C26" s="286"/>
      <c r="D26" s="287" t="str">
        <f>VLOOKUP(K26,임금대장!$A$3:$AH$86,2,0)</f>
        <v>piao jing</v>
      </c>
      <c r="E26" s="287"/>
      <c r="F26" s="267">
        <f>임금대장!$O$3</f>
        <v>31</v>
      </c>
      <c r="G26" s="269"/>
      <c r="H26" s="268"/>
      <c r="I26" s="288">
        <f>VLOOKUP(K26,임금대장!$A$3:$AH$86,16,0)</f>
        <v>0</v>
      </c>
      <c r="J26" s="288"/>
      <c r="K26" s="30">
        <v>2</v>
      </c>
    </row>
    <row r="27" spans="1:13" ht="20.45" customHeight="1" x14ac:dyDescent="0.6">
      <c r="A27" s="286" t="s">
        <v>87</v>
      </c>
      <c r="B27" s="286"/>
      <c r="C27" s="286" t="s">
        <v>5</v>
      </c>
      <c r="D27" s="289">
        <f>VLOOKUP($K26,임금대장!$A$3:$AH$86,5,0)</f>
        <v>44743</v>
      </c>
      <c r="E27" s="289"/>
      <c r="F27" s="114" t="s">
        <v>88</v>
      </c>
      <c r="G27" s="292">
        <f>VLOOKUP(K26,임금대장!$A$3:$AH$86,15,0)</f>
        <v>31</v>
      </c>
      <c r="H27" s="293"/>
      <c r="I27" s="286" t="s">
        <v>89</v>
      </c>
      <c r="J27" s="290">
        <f>VLOOKUP(K26,임금대장!$A$3:$AH$86,17,0)</f>
        <v>0</v>
      </c>
    </row>
    <row r="28" spans="1:13" ht="20.45" customHeight="1" x14ac:dyDescent="0.6">
      <c r="A28" s="294">
        <f>VLOOKUP($K26,임금대장!$A$3:$AH$86,7,0)</f>
        <v>3400000</v>
      </c>
      <c r="B28" s="294"/>
      <c r="C28" s="286"/>
      <c r="D28" s="289"/>
      <c r="E28" s="289"/>
      <c r="F28" s="115" t="s">
        <v>90</v>
      </c>
      <c r="G28" s="284">
        <f>VLOOKUP(K26,임금대장!$A$3:$AH$86,16,0)</f>
        <v>0</v>
      </c>
      <c r="H28" s="285"/>
      <c r="I28" s="286"/>
      <c r="J28" s="290"/>
    </row>
    <row r="29" spans="1:13" ht="20.45" customHeight="1" x14ac:dyDescent="0.6">
      <c r="F29" s="250"/>
      <c r="G29" s="250"/>
    </row>
    <row r="30" spans="1:13" ht="20.45" customHeight="1" x14ac:dyDescent="0.6">
      <c r="A30" s="251" t="s">
        <v>91</v>
      </c>
      <c r="B30" s="69" t="s">
        <v>20</v>
      </c>
      <c r="C30" s="25">
        <f>VLOOKUP($K26,임금대장!$A$3:$AH$86,9,0)</f>
        <v>2441924</v>
      </c>
      <c r="D30" s="33"/>
      <c r="E30" s="69"/>
      <c r="F30" s="254"/>
      <c r="G30" s="255"/>
      <c r="H30" s="168"/>
      <c r="I30" s="33"/>
      <c r="J30" s="34"/>
    </row>
    <row r="31" spans="1:13" ht="20.45" customHeight="1" x14ac:dyDescent="0.6">
      <c r="A31" s="252"/>
      <c r="B31" s="67" t="s">
        <v>21</v>
      </c>
      <c r="C31" s="35">
        <f>VLOOKUP($K26,임금대장!$A$3:$AH$86,10,0)</f>
        <v>761787</v>
      </c>
      <c r="D31" s="36"/>
      <c r="E31" s="67"/>
      <c r="F31" s="256"/>
      <c r="G31" s="257"/>
      <c r="H31" s="169"/>
      <c r="I31" s="36"/>
      <c r="J31" s="37"/>
    </row>
    <row r="32" spans="1:13" ht="20.45" customHeight="1" x14ac:dyDescent="0.6">
      <c r="A32" s="252"/>
      <c r="B32" s="52" t="s">
        <v>92</v>
      </c>
      <c r="C32" s="35">
        <f>VLOOKUP($K26,임금대장!$A$3:$AH$86,11,0)</f>
        <v>102818</v>
      </c>
      <c r="D32" s="36"/>
      <c r="E32" s="67"/>
      <c r="F32" s="256"/>
      <c r="G32" s="257"/>
      <c r="H32" s="169"/>
      <c r="I32" s="36"/>
      <c r="J32" s="37"/>
      <c r="L32" s="38"/>
      <c r="M32" s="38"/>
    </row>
    <row r="33" spans="1:10" ht="20.45" customHeight="1" x14ac:dyDescent="0.6">
      <c r="A33" s="252"/>
      <c r="B33" s="67" t="s">
        <v>93</v>
      </c>
      <c r="C33" s="35">
        <f>VLOOKUP($K26,임금대장!$A$3:$AH$86,12,0)</f>
        <v>0</v>
      </c>
      <c r="D33" s="36"/>
      <c r="E33" s="67"/>
      <c r="F33" s="256"/>
      <c r="G33" s="257"/>
      <c r="H33" s="169"/>
      <c r="I33" s="36"/>
      <c r="J33" s="37"/>
    </row>
    <row r="34" spans="1:10" ht="20.45" customHeight="1" x14ac:dyDescent="0.6">
      <c r="A34" s="252"/>
      <c r="B34" s="67" t="s">
        <v>94</v>
      </c>
      <c r="C34" s="35">
        <f>VLOOKUP($K26,임금대장!$A$3:$AH$86,13,0)</f>
        <v>93471</v>
      </c>
      <c r="D34" s="36"/>
      <c r="E34" s="36"/>
      <c r="F34" s="258"/>
      <c r="G34" s="259"/>
      <c r="H34" s="169"/>
      <c r="I34" s="36"/>
      <c r="J34" s="37"/>
    </row>
    <row r="35" spans="1:10" ht="20.45" customHeight="1" x14ac:dyDescent="0.6">
      <c r="A35" s="252"/>
      <c r="B35" s="67" t="s">
        <v>24</v>
      </c>
      <c r="C35" s="102">
        <f>VLOOKUP($K26,임금대장!$A$3:$AH$86,14,0)</f>
        <v>274193.54838709679</v>
      </c>
      <c r="D35" s="36"/>
      <c r="E35" s="36"/>
      <c r="F35" s="258"/>
      <c r="G35" s="259"/>
      <c r="H35" s="169"/>
      <c r="I35" s="36"/>
      <c r="J35" s="37"/>
    </row>
    <row r="36" spans="1:10" ht="20.45" customHeight="1" x14ac:dyDescent="0.6">
      <c r="A36" s="252"/>
      <c r="B36" s="67"/>
      <c r="C36" s="35"/>
      <c r="D36" s="36"/>
      <c r="E36" s="36"/>
      <c r="F36" s="258"/>
      <c r="G36" s="259"/>
      <c r="H36" s="169"/>
      <c r="I36" s="36"/>
      <c r="J36" s="37"/>
    </row>
    <row r="37" spans="1:10" ht="20.45" customHeight="1" x14ac:dyDescent="0.6">
      <c r="A37" s="252"/>
      <c r="B37" s="67"/>
      <c r="C37" s="35"/>
      <c r="D37" s="36"/>
      <c r="E37" s="36"/>
      <c r="F37" s="258"/>
      <c r="G37" s="259"/>
      <c r="H37" s="169"/>
      <c r="I37" s="36"/>
      <c r="J37" s="37"/>
    </row>
    <row r="38" spans="1:10" ht="20.45" customHeight="1" x14ac:dyDescent="0.6">
      <c r="A38" s="253"/>
      <c r="B38" s="68"/>
      <c r="C38" s="39"/>
      <c r="D38" s="40"/>
      <c r="E38" s="40"/>
      <c r="F38" s="260"/>
      <c r="G38" s="261"/>
      <c r="H38" s="170"/>
      <c r="I38" s="68" t="s">
        <v>95</v>
      </c>
      <c r="J38" s="41">
        <f>SUM(C30:H36)</f>
        <v>3674193.5483870967</v>
      </c>
    </row>
    <row r="39" spans="1:10" ht="20.45" customHeight="1" x14ac:dyDescent="0.6">
      <c r="A39" s="251" t="s">
        <v>96</v>
      </c>
      <c r="B39" s="36" t="s">
        <v>97</v>
      </c>
      <c r="C39" s="35">
        <f>VLOOKUP($K26,임금대장!$A$3:$AH$86,25,0)</f>
        <v>144330</v>
      </c>
      <c r="D39" s="33"/>
      <c r="E39" s="42"/>
      <c r="F39" s="262" t="s">
        <v>14</v>
      </c>
      <c r="G39" s="263"/>
      <c r="H39" s="169">
        <f>VLOOKUP($K26,임금대장!$A$3:$AH$86,19,0)</f>
        <v>0</v>
      </c>
      <c r="I39" s="33"/>
      <c r="J39" s="34"/>
    </row>
    <row r="40" spans="1:10" ht="20.45" customHeight="1" x14ac:dyDescent="0.6">
      <c r="A40" s="252"/>
      <c r="B40" s="36" t="s">
        <v>98</v>
      </c>
      <c r="C40" s="35">
        <f>VLOOKUP($K26,임금대장!$A$3:$AH$86,26,0)</f>
        <v>14430</v>
      </c>
      <c r="D40" s="36"/>
      <c r="E40" s="43"/>
      <c r="F40" s="258" t="s">
        <v>12</v>
      </c>
      <c r="G40" s="259"/>
      <c r="H40" s="169">
        <f>VLOOKUP($K26,임금대장!$A$3:$AH$86,17,0)</f>
        <v>0</v>
      </c>
      <c r="I40" s="36"/>
      <c r="J40" s="37"/>
    </row>
    <row r="41" spans="1:10" ht="20.45" customHeight="1" x14ac:dyDescent="0.6">
      <c r="A41" s="252"/>
      <c r="B41" s="36" t="s">
        <v>99</v>
      </c>
      <c r="C41" s="35">
        <f>VLOOKUP($K26,임금대장!$A$3:$AH$86,27,0)</f>
        <v>165630</v>
      </c>
      <c r="D41" s="36"/>
      <c r="E41" s="44"/>
      <c r="F41" s="258" t="s">
        <v>100</v>
      </c>
      <c r="G41" s="259"/>
      <c r="H41" s="169">
        <f>VLOOKUP($K26,임금대장!$A$3:$AH$86,31,0)</f>
        <v>0</v>
      </c>
      <c r="I41" s="36"/>
      <c r="J41" s="37"/>
    </row>
    <row r="42" spans="1:10" ht="20.45" customHeight="1" x14ac:dyDescent="0.6">
      <c r="A42" s="252"/>
      <c r="B42" s="36" t="s">
        <v>101</v>
      </c>
      <c r="C42" s="35">
        <f>VLOOKUP($K26,임금대장!$A$3:$AH$86,28,0)</f>
        <v>132080</v>
      </c>
      <c r="D42" s="36"/>
      <c r="E42" s="43"/>
      <c r="F42" s="258" t="s">
        <v>102</v>
      </c>
      <c r="G42" s="259"/>
      <c r="H42" s="169">
        <f>VLOOKUP($K26,임금대장!$A$3:$AH$86,30,0)</f>
        <v>33060</v>
      </c>
      <c r="I42" s="36"/>
      <c r="J42" s="37"/>
    </row>
    <row r="43" spans="1:10" ht="20.45" customHeight="1" x14ac:dyDescent="0.6">
      <c r="A43" s="252"/>
      <c r="B43" s="36" t="s">
        <v>31</v>
      </c>
      <c r="C43" s="35">
        <f>VLOOKUP($K26,임금대장!$A$3:$AH$86,29,0)</f>
        <v>17350</v>
      </c>
      <c r="D43" s="36"/>
      <c r="E43" s="43"/>
      <c r="F43" s="258" t="s">
        <v>106</v>
      </c>
      <c r="G43" s="259"/>
      <c r="H43" s="169">
        <f>VLOOKUP($K26,임금대장!$A$3:$AH$86,32,0)</f>
        <v>0</v>
      </c>
      <c r="I43" s="67" t="s">
        <v>103</v>
      </c>
      <c r="J43" s="47">
        <f>SUM(C39:H44)</f>
        <v>506880</v>
      </c>
    </row>
    <row r="44" spans="1:10" ht="20.45" customHeight="1" x14ac:dyDescent="0.6">
      <c r="A44" s="253"/>
      <c r="B44" s="40"/>
      <c r="C44" s="101"/>
      <c r="D44" s="40"/>
      <c r="E44" s="48"/>
      <c r="F44" s="260"/>
      <c r="G44" s="261"/>
      <c r="H44" s="170"/>
      <c r="I44" s="68" t="s">
        <v>104</v>
      </c>
      <c r="J44" s="49">
        <f>J38-J43</f>
        <v>3167313.5483870967</v>
      </c>
    </row>
    <row r="45" spans="1:10" ht="20.45" customHeight="1" x14ac:dyDescent="0.6">
      <c r="A45" s="50" t="s">
        <v>105</v>
      </c>
      <c r="J45" s="51" t="s">
        <v>0</v>
      </c>
    </row>
    <row r="46" spans="1:10" ht="20.45" customHeight="1" x14ac:dyDescent="0.6">
      <c r="A46" s="50"/>
      <c r="J46" s="51"/>
    </row>
    <row r="47" spans="1:10" ht="20.45" customHeight="1" x14ac:dyDescent="0.6">
      <c r="A47" s="264" t="s">
        <v>399</v>
      </c>
      <c r="B47" s="264"/>
      <c r="C47" s="264"/>
      <c r="D47" s="264"/>
      <c r="E47" s="264"/>
      <c r="F47" s="264"/>
      <c r="G47" s="264"/>
      <c r="H47" s="264"/>
      <c r="I47" s="264"/>
      <c r="J47" s="264"/>
    </row>
    <row r="48" spans="1:10" ht="20.45" customHeight="1" x14ac:dyDescent="0.6">
      <c r="A48" s="286" t="s">
        <v>83</v>
      </c>
      <c r="B48" s="286"/>
      <c r="C48" s="286"/>
      <c r="D48" s="286" t="s">
        <v>84</v>
      </c>
      <c r="E48" s="286"/>
      <c r="F48" s="265" t="s">
        <v>85</v>
      </c>
      <c r="G48" s="250"/>
      <c r="H48" s="266"/>
      <c r="I48" s="286" t="s">
        <v>86</v>
      </c>
      <c r="J48" s="286"/>
    </row>
    <row r="49" spans="1:13" ht="20.45" customHeight="1" x14ac:dyDescent="0.6">
      <c r="A49" s="286">
        <f>VLOOKUP(K49,임금대장!$A$3:$AH$86,3,0)</f>
        <v>0</v>
      </c>
      <c r="B49" s="286"/>
      <c r="C49" s="286"/>
      <c r="D49" s="287" t="str">
        <f>VLOOKUP(K49,임금대장!$A$3:$AH$86,2,0)</f>
        <v>박옥순</v>
      </c>
      <c r="E49" s="287"/>
      <c r="F49" s="267">
        <f>임금대장!$O$3</f>
        <v>31</v>
      </c>
      <c r="G49" s="269"/>
      <c r="H49" s="268"/>
      <c r="I49" s="288">
        <f>VLOOKUP(K49,임금대장!$A$3:$AH$86,16,0)</f>
        <v>0</v>
      </c>
      <c r="J49" s="288"/>
      <c r="K49" s="30">
        <v>3</v>
      </c>
    </row>
    <row r="50" spans="1:13" ht="20.45" customHeight="1" x14ac:dyDescent="0.6">
      <c r="A50" s="286" t="s">
        <v>87</v>
      </c>
      <c r="B50" s="286"/>
      <c r="C50" s="286" t="s">
        <v>5</v>
      </c>
      <c r="D50" s="289">
        <f>VLOOKUP($K49,임금대장!$A$3:$AH$86,5,0)</f>
        <v>45012</v>
      </c>
      <c r="E50" s="289"/>
      <c r="F50" s="114" t="s">
        <v>88</v>
      </c>
      <c r="G50" s="292">
        <f>VLOOKUP(K49,임금대장!$A$3:$AH$86,15,0)</f>
        <v>31</v>
      </c>
      <c r="H50" s="293"/>
      <c r="I50" s="286" t="s">
        <v>89</v>
      </c>
      <c r="J50" s="290">
        <f>VLOOKUP(K49,임금대장!$A$3:$AH$86,17,0)</f>
        <v>0</v>
      </c>
    </row>
    <row r="51" spans="1:13" ht="20.45" customHeight="1" x14ac:dyDescent="0.6">
      <c r="A51" s="294">
        <f>VLOOKUP($K49,임금대장!$A$3:$AH$86,7,0)</f>
        <v>3300000</v>
      </c>
      <c r="B51" s="294"/>
      <c r="C51" s="286"/>
      <c r="D51" s="289"/>
      <c r="E51" s="289"/>
      <c r="F51" s="115" t="s">
        <v>90</v>
      </c>
      <c r="G51" s="284">
        <f>VLOOKUP(K49,임금대장!$A$3:$AH$86,16,0)</f>
        <v>0</v>
      </c>
      <c r="H51" s="285"/>
      <c r="I51" s="286"/>
      <c r="J51" s="290"/>
    </row>
    <row r="52" spans="1:13" ht="20.45" customHeight="1" x14ac:dyDescent="0.6">
      <c r="F52" s="250"/>
      <c r="G52" s="250"/>
    </row>
    <row r="53" spans="1:13" ht="20.45" customHeight="1" x14ac:dyDescent="0.6">
      <c r="A53" s="251" t="s">
        <v>91</v>
      </c>
      <c r="B53" s="69" t="s">
        <v>20</v>
      </c>
      <c r="C53" s="25">
        <f>VLOOKUP($K49,임금대장!$A$3:$AH$86,9,0)</f>
        <v>2370103</v>
      </c>
      <c r="D53" s="33"/>
      <c r="E53" s="69"/>
      <c r="F53" s="254"/>
      <c r="G53" s="255"/>
      <c r="H53" s="168"/>
      <c r="I53" s="33"/>
      <c r="J53" s="34"/>
    </row>
    <row r="54" spans="1:13" ht="20.45" customHeight="1" x14ac:dyDescent="0.6">
      <c r="A54" s="252"/>
      <c r="B54" s="67" t="s">
        <v>21</v>
      </c>
      <c r="C54" s="35">
        <f>VLOOKUP($K49,임금대장!$A$3:$AH$86,10,0)</f>
        <v>739381</v>
      </c>
      <c r="D54" s="36"/>
      <c r="E54" s="67"/>
      <c r="F54" s="256"/>
      <c r="G54" s="257"/>
      <c r="H54" s="169"/>
      <c r="I54" s="36"/>
      <c r="J54" s="37"/>
    </row>
    <row r="55" spans="1:13" ht="20.45" customHeight="1" x14ac:dyDescent="0.6">
      <c r="A55" s="252"/>
      <c r="B55" s="52" t="s">
        <v>92</v>
      </c>
      <c r="C55" s="35">
        <f>VLOOKUP($K49,임금대장!$A$3:$AH$86,11,0)</f>
        <v>99794</v>
      </c>
      <c r="D55" s="36"/>
      <c r="E55" s="67"/>
      <c r="F55" s="256"/>
      <c r="G55" s="257"/>
      <c r="H55" s="169"/>
      <c r="I55" s="36"/>
      <c r="J55" s="37"/>
      <c r="L55" s="38"/>
      <c r="M55" s="38"/>
    </row>
    <row r="56" spans="1:13" ht="20.45" customHeight="1" x14ac:dyDescent="0.6">
      <c r="A56" s="252"/>
      <c r="B56" s="67" t="s">
        <v>93</v>
      </c>
      <c r="C56" s="35">
        <f>VLOOKUP($K49,임금대장!$A$3:$AH$86,12,0)</f>
        <v>0</v>
      </c>
      <c r="D56" s="36"/>
      <c r="E56" s="67"/>
      <c r="F56" s="256"/>
      <c r="G56" s="257"/>
      <c r="H56" s="169"/>
      <c r="I56" s="36"/>
      <c r="J56" s="37"/>
    </row>
    <row r="57" spans="1:13" ht="20.45" customHeight="1" x14ac:dyDescent="0.6">
      <c r="A57" s="252"/>
      <c r="B57" s="67" t="s">
        <v>94</v>
      </c>
      <c r="C57" s="35">
        <f>VLOOKUP($K49,임금대장!$A$3:$AH$86,13,0)</f>
        <v>90722</v>
      </c>
      <c r="D57" s="36"/>
      <c r="E57" s="36"/>
      <c r="F57" s="258"/>
      <c r="G57" s="259"/>
      <c r="H57" s="169"/>
      <c r="I57" s="36"/>
      <c r="J57" s="37"/>
    </row>
    <row r="58" spans="1:13" ht="20.45" customHeight="1" x14ac:dyDescent="0.6">
      <c r="A58" s="252"/>
      <c r="B58" s="67" t="s">
        <v>24</v>
      </c>
      <c r="C58" s="102">
        <f>VLOOKUP($K49,임금대장!$A$3:$AH$86,14,0)</f>
        <v>53225.806451612902</v>
      </c>
      <c r="D58" s="36"/>
      <c r="E58" s="36"/>
      <c r="F58" s="258"/>
      <c r="G58" s="259"/>
      <c r="H58" s="169"/>
      <c r="I58" s="36"/>
      <c r="J58" s="37"/>
    </row>
    <row r="59" spans="1:13" ht="20.45" customHeight="1" x14ac:dyDescent="0.6">
      <c r="A59" s="252"/>
      <c r="B59" s="67"/>
      <c r="C59" s="35"/>
      <c r="D59" s="36"/>
      <c r="E59" s="36"/>
      <c r="F59" s="258"/>
      <c r="G59" s="259"/>
      <c r="H59" s="169"/>
      <c r="I59" s="36"/>
      <c r="J59" s="37"/>
    </row>
    <row r="60" spans="1:13" ht="20.45" customHeight="1" x14ac:dyDescent="0.6">
      <c r="A60" s="252"/>
      <c r="B60" s="67"/>
      <c r="C60" s="35"/>
      <c r="D60" s="36"/>
      <c r="E60" s="36"/>
      <c r="F60" s="258"/>
      <c r="G60" s="259"/>
      <c r="H60" s="169"/>
      <c r="I60" s="36"/>
      <c r="J60" s="37"/>
    </row>
    <row r="61" spans="1:13" ht="20.45" customHeight="1" x14ac:dyDescent="0.6">
      <c r="A61" s="253"/>
      <c r="B61" s="68"/>
      <c r="C61" s="39"/>
      <c r="D61" s="40"/>
      <c r="E61" s="40"/>
      <c r="F61" s="260"/>
      <c r="G61" s="261"/>
      <c r="H61" s="170"/>
      <c r="I61" s="68" t="s">
        <v>95</v>
      </c>
      <c r="J61" s="41">
        <f>SUM(C53:H59)</f>
        <v>3353225.8064516131</v>
      </c>
    </row>
    <row r="62" spans="1:13" ht="20.45" customHeight="1" x14ac:dyDescent="0.6">
      <c r="A62" s="251" t="s">
        <v>96</v>
      </c>
      <c r="B62" s="36" t="s">
        <v>97</v>
      </c>
      <c r="C62" s="35">
        <f>VLOOKUP($K49,임금대장!$A$3:$AH$86,25,0)</f>
        <v>105210</v>
      </c>
      <c r="D62" s="33"/>
      <c r="E62" s="42"/>
      <c r="F62" s="262" t="s">
        <v>14</v>
      </c>
      <c r="G62" s="263"/>
      <c r="H62" s="169">
        <f>VLOOKUP($K49,임금대장!$A$3:$AH$86,19,0)</f>
        <v>0</v>
      </c>
      <c r="I62" s="33"/>
      <c r="J62" s="34"/>
    </row>
    <row r="63" spans="1:13" ht="20.45" customHeight="1" x14ac:dyDescent="0.6">
      <c r="A63" s="252"/>
      <c r="B63" s="36" t="s">
        <v>98</v>
      </c>
      <c r="C63" s="35">
        <f>VLOOKUP($K49,임금대장!$A$3:$AH$86,26,0)</f>
        <v>10520</v>
      </c>
      <c r="D63" s="36"/>
      <c r="E63" s="43"/>
      <c r="F63" s="258" t="s">
        <v>12</v>
      </c>
      <c r="G63" s="259"/>
      <c r="H63" s="169">
        <f>VLOOKUP($K49,임금대장!$A$3:$AH$86,17,0)</f>
        <v>0</v>
      </c>
      <c r="I63" s="36"/>
      <c r="J63" s="37"/>
    </row>
    <row r="64" spans="1:13" ht="20.45" customHeight="1" x14ac:dyDescent="0.6">
      <c r="A64" s="252"/>
      <c r="B64" s="36" t="s">
        <v>99</v>
      </c>
      <c r="C64" s="35">
        <f>VLOOKUP($K49,임금대장!$A$3:$AH$86,27,0)</f>
        <v>0</v>
      </c>
      <c r="D64" s="36"/>
      <c r="E64" s="44"/>
      <c r="F64" s="258" t="s">
        <v>100</v>
      </c>
      <c r="G64" s="259"/>
      <c r="H64" s="169">
        <f>VLOOKUP($K49,임금대장!$A$3:$AH$86,31,0)</f>
        <v>0</v>
      </c>
      <c r="I64" s="36"/>
      <c r="J64" s="37"/>
    </row>
    <row r="65" spans="1:13" ht="20.45" customHeight="1" x14ac:dyDescent="0.6">
      <c r="A65" s="252"/>
      <c r="B65" s="36" t="s">
        <v>101</v>
      </c>
      <c r="C65" s="35">
        <f>VLOOKUP($K49,임금대장!$A$3:$AH$86,28,0)</f>
        <v>120540</v>
      </c>
      <c r="D65" s="36"/>
      <c r="E65" s="43"/>
      <c r="F65" s="258" t="s">
        <v>102</v>
      </c>
      <c r="G65" s="259"/>
      <c r="H65" s="169">
        <f>VLOOKUP($K49,임금대장!$A$3:$AH$86,30,0)</f>
        <v>30170</v>
      </c>
      <c r="I65" s="36"/>
      <c r="J65" s="37"/>
    </row>
    <row r="66" spans="1:13" ht="20.45" customHeight="1" x14ac:dyDescent="0.6">
      <c r="A66" s="252"/>
      <c r="B66" s="36" t="s">
        <v>31</v>
      </c>
      <c r="C66" s="35">
        <f>VLOOKUP($K49,임금대장!$A$3:$AH$86,29,0)</f>
        <v>15830</v>
      </c>
      <c r="D66" s="36"/>
      <c r="E66" s="43"/>
      <c r="F66" s="258" t="s">
        <v>106</v>
      </c>
      <c r="G66" s="259"/>
      <c r="H66" s="169">
        <f>VLOOKUP($K49,임금대장!$A$3:$AH$86,32,0)</f>
        <v>0</v>
      </c>
      <c r="I66" s="67" t="s">
        <v>103</v>
      </c>
      <c r="J66" s="47">
        <f>SUM(C62:H67)</f>
        <v>282270</v>
      </c>
    </row>
    <row r="67" spans="1:13" ht="20.45" customHeight="1" x14ac:dyDescent="0.6">
      <c r="A67" s="253"/>
      <c r="B67" s="40"/>
      <c r="C67" s="101"/>
      <c r="D67" s="40"/>
      <c r="E67" s="48"/>
      <c r="F67" s="260"/>
      <c r="G67" s="261"/>
      <c r="H67" s="170"/>
      <c r="I67" s="68" t="s">
        <v>104</v>
      </c>
      <c r="J67" s="49">
        <f>J61-J66</f>
        <v>3070955.8064516131</v>
      </c>
    </row>
    <row r="68" spans="1:13" ht="20.45" customHeight="1" x14ac:dyDescent="0.6">
      <c r="A68" s="50" t="s">
        <v>105</v>
      </c>
      <c r="J68" s="51" t="s">
        <v>0</v>
      </c>
    </row>
    <row r="69" spans="1:13" ht="20.45" customHeight="1" x14ac:dyDescent="0.6">
      <c r="A69" s="50"/>
      <c r="J69" s="51"/>
    </row>
    <row r="70" spans="1:13" ht="20.45" customHeight="1" x14ac:dyDescent="0.6">
      <c r="A70" s="264" t="s">
        <v>399</v>
      </c>
      <c r="B70" s="264"/>
      <c r="C70" s="264"/>
      <c r="D70" s="264"/>
      <c r="E70" s="264"/>
      <c r="F70" s="264"/>
      <c r="G70" s="264"/>
      <c r="H70" s="264"/>
      <c r="I70" s="264"/>
      <c r="J70" s="264"/>
    </row>
    <row r="71" spans="1:13" ht="20.45" customHeight="1" x14ac:dyDescent="0.6">
      <c r="A71" s="286" t="s">
        <v>83</v>
      </c>
      <c r="B71" s="286"/>
      <c r="C71" s="286"/>
      <c r="D71" s="286" t="s">
        <v>84</v>
      </c>
      <c r="E71" s="286"/>
      <c r="F71" s="265" t="s">
        <v>85</v>
      </c>
      <c r="G71" s="250"/>
      <c r="H71" s="266"/>
      <c r="I71" s="286" t="s">
        <v>86</v>
      </c>
      <c r="J71" s="286"/>
    </row>
    <row r="72" spans="1:13" ht="20.45" customHeight="1" x14ac:dyDescent="0.6">
      <c r="A72" s="286" t="str">
        <f>VLOOKUP(K72,임금대장!$A$3:$AH$86,3,0)</f>
        <v>핫</v>
      </c>
      <c r="B72" s="286"/>
      <c r="C72" s="286"/>
      <c r="D72" s="287" t="str">
        <f>VLOOKUP(K72,임금대장!$A$3:$AH$86,2,0)</f>
        <v>김성환</v>
      </c>
      <c r="E72" s="287"/>
      <c r="F72" s="267">
        <f>임금대장!$O$3</f>
        <v>31</v>
      </c>
      <c r="G72" s="269"/>
      <c r="H72" s="268"/>
      <c r="I72" s="288">
        <f>VLOOKUP(K72,임금대장!$A$3:$AH$86,16,0)</f>
        <v>0</v>
      </c>
      <c r="J72" s="288"/>
      <c r="K72" s="30">
        <v>4</v>
      </c>
    </row>
    <row r="73" spans="1:13" ht="20.45" customHeight="1" x14ac:dyDescent="0.6">
      <c r="A73" s="286" t="s">
        <v>87</v>
      </c>
      <c r="B73" s="286"/>
      <c r="C73" s="286" t="s">
        <v>5</v>
      </c>
      <c r="D73" s="289">
        <f>VLOOKUP($K72,임금대장!$A$3:$AH$86,5,0)</f>
        <v>45278</v>
      </c>
      <c r="E73" s="289"/>
      <c r="F73" s="114" t="s">
        <v>88</v>
      </c>
      <c r="G73" s="292">
        <f>VLOOKUP(K72,임금대장!$A$3:$AH$86,15,0)</f>
        <v>31</v>
      </c>
      <c r="H73" s="293"/>
      <c r="I73" s="286" t="s">
        <v>89</v>
      </c>
      <c r="J73" s="290">
        <f>VLOOKUP(K72,임금대장!$A$3:$AH$86,17,0)</f>
        <v>0</v>
      </c>
    </row>
    <row r="74" spans="1:13" ht="20.45" customHeight="1" x14ac:dyDescent="0.6">
      <c r="A74" s="294">
        <f>VLOOKUP($K72,임금대장!$A$3:$AH$86,7,0)</f>
        <v>3500000</v>
      </c>
      <c r="B74" s="294"/>
      <c r="C74" s="286"/>
      <c r="D74" s="289"/>
      <c r="E74" s="289"/>
      <c r="F74" s="115" t="s">
        <v>90</v>
      </c>
      <c r="G74" s="284">
        <f>VLOOKUP(K72,임금대장!$A$3:$AH$86,16,0)</f>
        <v>0</v>
      </c>
      <c r="H74" s="285"/>
      <c r="I74" s="286"/>
      <c r="J74" s="290"/>
    </row>
    <row r="75" spans="1:13" ht="20.45" customHeight="1" x14ac:dyDescent="0.6">
      <c r="F75" s="250"/>
      <c r="G75" s="250"/>
    </row>
    <row r="76" spans="1:13" ht="20.45" customHeight="1" x14ac:dyDescent="0.6">
      <c r="A76" s="251" t="s">
        <v>91</v>
      </c>
      <c r="B76" s="69" t="s">
        <v>20</v>
      </c>
      <c r="C76" s="25">
        <f>VLOOKUP($K72,임금대장!$A$3:$AH$86,9,0)</f>
        <v>2513745</v>
      </c>
      <c r="D76" s="33"/>
      <c r="E76" s="69"/>
      <c r="F76" s="254"/>
      <c r="G76" s="255"/>
      <c r="H76" s="168"/>
      <c r="I76" s="33"/>
      <c r="J76" s="34"/>
    </row>
    <row r="77" spans="1:13" ht="20.45" customHeight="1" x14ac:dyDescent="0.6">
      <c r="A77" s="252"/>
      <c r="B77" s="67" t="s">
        <v>21</v>
      </c>
      <c r="C77" s="35">
        <f>VLOOKUP($K72,임금대장!$A$3:$AH$86,10,0)</f>
        <v>784193</v>
      </c>
      <c r="D77" s="36"/>
      <c r="E77" s="67"/>
      <c r="F77" s="256"/>
      <c r="G77" s="257"/>
      <c r="H77" s="169"/>
      <c r="I77" s="36"/>
      <c r="J77" s="37"/>
    </row>
    <row r="78" spans="1:13" ht="20.45" customHeight="1" x14ac:dyDescent="0.6">
      <c r="A78" s="252"/>
      <c r="B78" s="52" t="s">
        <v>92</v>
      </c>
      <c r="C78" s="35">
        <f>VLOOKUP($K72,임금대장!$A$3:$AH$86,11,0)</f>
        <v>105842</v>
      </c>
      <c r="D78" s="36"/>
      <c r="E78" s="67"/>
      <c r="F78" s="256"/>
      <c r="G78" s="257"/>
      <c r="H78" s="169"/>
      <c r="I78" s="36"/>
      <c r="J78" s="37"/>
      <c r="L78" s="38"/>
      <c r="M78" s="38"/>
    </row>
    <row r="79" spans="1:13" ht="20.45" customHeight="1" x14ac:dyDescent="0.6">
      <c r="A79" s="252"/>
      <c r="B79" s="67" t="s">
        <v>93</v>
      </c>
      <c r="C79" s="35">
        <f>VLOOKUP($K72,임금대장!$A$3:$AH$86,12,0)</f>
        <v>0</v>
      </c>
      <c r="D79" s="36"/>
      <c r="E79" s="67"/>
      <c r="F79" s="256"/>
      <c r="G79" s="257"/>
      <c r="H79" s="169"/>
      <c r="I79" s="36"/>
      <c r="J79" s="37"/>
    </row>
    <row r="80" spans="1:13" ht="20.45" customHeight="1" x14ac:dyDescent="0.6">
      <c r="A80" s="252"/>
      <c r="B80" s="67" t="s">
        <v>94</v>
      </c>
      <c r="C80" s="35">
        <f>VLOOKUP($K72,임금대장!$A$3:$AH$86,13,0)</f>
        <v>96220</v>
      </c>
      <c r="D80" s="36"/>
      <c r="E80" s="36"/>
      <c r="F80" s="258"/>
      <c r="G80" s="259"/>
      <c r="H80" s="169"/>
      <c r="I80" s="36"/>
      <c r="J80" s="37"/>
    </row>
    <row r="81" spans="1:11" ht="20.45" customHeight="1" x14ac:dyDescent="0.6">
      <c r="A81" s="252"/>
      <c r="B81" s="67" t="s">
        <v>24</v>
      </c>
      <c r="C81" s="102">
        <f>VLOOKUP($K72,임금대장!$A$3:$AH$86,14,0)</f>
        <v>282258.06451612903</v>
      </c>
      <c r="D81" s="36"/>
      <c r="E81" s="36"/>
      <c r="F81" s="258"/>
      <c r="G81" s="259"/>
      <c r="H81" s="169"/>
      <c r="I81" s="36"/>
      <c r="J81" s="37"/>
    </row>
    <row r="82" spans="1:11" ht="20.45" customHeight="1" x14ac:dyDescent="0.6">
      <c r="A82" s="252"/>
      <c r="B82" s="67"/>
      <c r="C82" s="35"/>
      <c r="D82" s="36"/>
      <c r="E82" s="36"/>
      <c r="F82" s="258"/>
      <c r="G82" s="259"/>
      <c r="H82" s="169"/>
      <c r="I82" s="36"/>
      <c r="J82" s="37"/>
    </row>
    <row r="83" spans="1:11" ht="20.45" customHeight="1" x14ac:dyDescent="0.6">
      <c r="A83" s="252"/>
      <c r="B83" s="67"/>
      <c r="C83" s="35"/>
      <c r="D83" s="36"/>
      <c r="E83" s="36"/>
      <c r="F83" s="258"/>
      <c r="G83" s="259"/>
      <c r="H83" s="169"/>
      <c r="I83" s="36"/>
      <c r="J83" s="37"/>
    </row>
    <row r="84" spans="1:11" ht="20.45" customHeight="1" x14ac:dyDescent="0.6">
      <c r="A84" s="253"/>
      <c r="B84" s="68"/>
      <c r="C84" s="39"/>
      <c r="D84" s="40"/>
      <c r="E84" s="40"/>
      <c r="F84" s="260"/>
      <c r="G84" s="261"/>
      <c r="H84" s="170"/>
      <c r="I84" s="68" t="s">
        <v>95</v>
      </c>
      <c r="J84" s="41">
        <f>SUM(C76:H82)</f>
        <v>3782258.064516129</v>
      </c>
    </row>
    <row r="85" spans="1:11" ht="20.45" customHeight="1" x14ac:dyDescent="0.6">
      <c r="A85" s="251" t="s">
        <v>96</v>
      </c>
      <c r="B85" s="36" t="s">
        <v>97</v>
      </c>
      <c r="C85" s="35">
        <f>VLOOKUP($K72,임금대장!$A$3:$AH$86,25,0)</f>
        <v>163920</v>
      </c>
      <c r="D85" s="33"/>
      <c r="E85" s="42"/>
      <c r="F85" s="262" t="s">
        <v>14</v>
      </c>
      <c r="G85" s="263"/>
      <c r="H85" s="169">
        <f>VLOOKUP($K72,임금대장!$A$3:$AH$86,19,0)</f>
        <v>0</v>
      </c>
      <c r="I85" s="33"/>
      <c r="J85" s="34"/>
    </row>
    <row r="86" spans="1:11" ht="20.45" customHeight="1" x14ac:dyDescent="0.6">
      <c r="A86" s="252"/>
      <c r="B86" s="36" t="s">
        <v>98</v>
      </c>
      <c r="C86" s="35">
        <f>VLOOKUP($K72,임금대장!$A$3:$AH$86,26,0)</f>
        <v>16390</v>
      </c>
      <c r="D86" s="36"/>
      <c r="E86" s="43"/>
      <c r="F86" s="258" t="s">
        <v>12</v>
      </c>
      <c r="G86" s="259"/>
      <c r="H86" s="169">
        <f>VLOOKUP($K72,임금대장!$A$3:$AH$86,17,0)</f>
        <v>0</v>
      </c>
      <c r="I86" s="36"/>
      <c r="J86" s="37"/>
    </row>
    <row r="87" spans="1:11" ht="20.45" customHeight="1" x14ac:dyDescent="0.6">
      <c r="A87" s="252"/>
      <c r="B87" s="36" t="s">
        <v>99</v>
      </c>
      <c r="C87" s="35">
        <f>VLOOKUP($K72,임금대장!$A$3:$AH$86,27,0)</f>
        <v>169950</v>
      </c>
      <c r="D87" s="36"/>
      <c r="E87" s="44"/>
      <c r="F87" s="258" t="s">
        <v>100</v>
      </c>
      <c r="G87" s="259"/>
      <c r="H87" s="169">
        <f>VLOOKUP($K72,임금대장!$A$3:$AH$86,31,0)</f>
        <v>0</v>
      </c>
      <c r="I87" s="36"/>
      <c r="J87" s="37"/>
    </row>
    <row r="88" spans="1:11" ht="20.45" customHeight="1" x14ac:dyDescent="0.6">
      <c r="A88" s="252"/>
      <c r="B88" s="36" t="s">
        <v>101</v>
      </c>
      <c r="C88" s="35">
        <f>VLOOKUP($K72,임금대장!$A$3:$AH$86,28,0)</f>
        <v>135970</v>
      </c>
      <c r="D88" s="36"/>
      <c r="E88" s="43"/>
      <c r="F88" s="258" t="s">
        <v>102</v>
      </c>
      <c r="G88" s="259"/>
      <c r="H88" s="169">
        <f>VLOOKUP($K72,임금대장!$A$3:$AH$86,30,0)</f>
        <v>34040</v>
      </c>
      <c r="I88" s="36"/>
      <c r="J88" s="37"/>
    </row>
    <row r="89" spans="1:11" ht="20.45" customHeight="1" x14ac:dyDescent="0.6">
      <c r="A89" s="252"/>
      <c r="B89" s="36" t="s">
        <v>31</v>
      </c>
      <c r="C89" s="35">
        <f>VLOOKUP($K72,임금대장!$A$3:$AH$86,29,0)</f>
        <v>17860</v>
      </c>
      <c r="D89" s="36"/>
      <c r="E89" s="43"/>
      <c r="F89" s="258" t="s">
        <v>106</v>
      </c>
      <c r="G89" s="259"/>
      <c r="H89" s="169">
        <f>VLOOKUP($K72,임금대장!$A$3:$AH$86,32,0)</f>
        <v>0</v>
      </c>
      <c r="I89" s="67" t="s">
        <v>103</v>
      </c>
      <c r="J89" s="47">
        <f>SUM(C85:H90)</f>
        <v>538130</v>
      </c>
    </row>
    <row r="90" spans="1:11" ht="20.45" customHeight="1" x14ac:dyDescent="0.6">
      <c r="A90" s="253"/>
      <c r="B90" s="40"/>
      <c r="C90" s="101"/>
      <c r="D90" s="40"/>
      <c r="E90" s="48"/>
      <c r="F90" s="260"/>
      <c r="G90" s="261"/>
      <c r="H90" s="170"/>
      <c r="I90" s="68" t="s">
        <v>104</v>
      </c>
      <c r="J90" s="49">
        <f>J84-J89</f>
        <v>3244128.064516129</v>
      </c>
    </row>
    <row r="91" spans="1:11" ht="20.45" customHeight="1" x14ac:dyDescent="0.6">
      <c r="A91" s="50" t="s">
        <v>105</v>
      </c>
      <c r="J91" s="51" t="s">
        <v>0</v>
      </c>
    </row>
    <row r="92" spans="1:11" ht="20.45" customHeight="1" x14ac:dyDescent="0.6">
      <c r="A92" s="50"/>
      <c r="J92" s="51"/>
    </row>
    <row r="93" spans="1:11" ht="20.45" customHeight="1" x14ac:dyDescent="0.6">
      <c r="A93" s="264" t="s">
        <v>399</v>
      </c>
      <c r="B93" s="264"/>
      <c r="C93" s="264"/>
      <c r="D93" s="264"/>
      <c r="E93" s="264"/>
      <c r="F93" s="264"/>
      <c r="G93" s="264"/>
      <c r="H93" s="264"/>
      <c r="I93" s="264"/>
      <c r="J93" s="264"/>
    </row>
    <row r="94" spans="1:11" ht="20.45" customHeight="1" x14ac:dyDescent="0.6">
      <c r="A94" s="286" t="s">
        <v>83</v>
      </c>
      <c r="B94" s="286"/>
      <c r="C94" s="286"/>
      <c r="D94" s="286" t="s">
        <v>84</v>
      </c>
      <c r="E94" s="286"/>
      <c r="F94" s="265" t="s">
        <v>85</v>
      </c>
      <c r="G94" s="250"/>
      <c r="H94" s="266"/>
      <c r="I94" s="286" t="s">
        <v>86</v>
      </c>
      <c r="J94" s="286"/>
    </row>
    <row r="95" spans="1:11" ht="20.45" customHeight="1" x14ac:dyDescent="0.6">
      <c r="A95" s="286" t="str">
        <f>VLOOKUP(K95,임금대장!$A$3:$AH$86,3,0)</f>
        <v>핫</v>
      </c>
      <c r="B95" s="286"/>
      <c r="C95" s="286"/>
      <c r="D95" s="287" t="str">
        <f>VLOOKUP(K95,임금대장!$A$3:$AH$86,2,0)</f>
        <v>강수정</v>
      </c>
      <c r="E95" s="287"/>
      <c r="F95" s="267">
        <f>임금대장!$O$3</f>
        <v>31</v>
      </c>
      <c r="G95" s="269"/>
      <c r="H95" s="268"/>
      <c r="I95" s="288">
        <f>VLOOKUP(K95,임금대장!$A$3:$AH$86,16,0)</f>
        <v>0</v>
      </c>
      <c r="J95" s="288"/>
      <c r="K95" s="30">
        <v>5</v>
      </c>
    </row>
    <row r="96" spans="1:11" ht="20.45" customHeight="1" x14ac:dyDescent="0.6">
      <c r="A96" s="286" t="s">
        <v>87</v>
      </c>
      <c r="B96" s="286"/>
      <c r="C96" s="286" t="s">
        <v>5</v>
      </c>
      <c r="D96" s="289">
        <f>VLOOKUP($K95,임금대장!$A$3:$AH$86,5,0)</f>
        <v>45369</v>
      </c>
      <c r="E96" s="289"/>
      <c r="F96" s="114" t="s">
        <v>88</v>
      </c>
      <c r="G96" s="292">
        <f>VLOOKUP(K95,임금대장!$A$3:$AH$86,15,0)</f>
        <v>31</v>
      </c>
      <c r="H96" s="293"/>
      <c r="I96" s="286" t="s">
        <v>89</v>
      </c>
      <c r="J96" s="290">
        <f>VLOOKUP(K95,임금대장!$A$3:$AH$86,17,0)</f>
        <v>0</v>
      </c>
    </row>
    <row r="97" spans="1:13" ht="20.45" customHeight="1" x14ac:dyDescent="0.6">
      <c r="A97" s="294">
        <f>VLOOKUP($K95,임금대장!$A$3:$AH$86,7,0)</f>
        <v>3500000</v>
      </c>
      <c r="B97" s="294"/>
      <c r="C97" s="286"/>
      <c r="D97" s="289"/>
      <c r="E97" s="289"/>
      <c r="F97" s="115" t="s">
        <v>90</v>
      </c>
      <c r="G97" s="284">
        <f>VLOOKUP(K95,임금대장!$A$3:$AH$86,16,0)</f>
        <v>0</v>
      </c>
      <c r="H97" s="285"/>
      <c r="I97" s="286"/>
      <c r="J97" s="290"/>
    </row>
    <row r="98" spans="1:13" ht="20.45" customHeight="1" x14ac:dyDescent="0.6">
      <c r="F98" s="250"/>
      <c r="G98" s="250"/>
    </row>
    <row r="99" spans="1:13" ht="20.45" customHeight="1" x14ac:dyDescent="0.6">
      <c r="A99" s="251" t="s">
        <v>91</v>
      </c>
      <c r="B99" s="69" t="s">
        <v>20</v>
      </c>
      <c r="C99" s="25">
        <f>VLOOKUP($K95,임금대장!$A$3:$AH$86,9,0)</f>
        <v>2513745</v>
      </c>
      <c r="D99" s="33"/>
      <c r="E99" s="69"/>
      <c r="F99" s="254"/>
      <c r="G99" s="255"/>
      <c r="H99" s="168"/>
      <c r="I99" s="33"/>
      <c r="J99" s="34"/>
    </row>
    <row r="100" spans="1:13" ht="20.45" customHeight="1" x14ac:dyDescent="0.6">
      <c r="A100" s="252"/>
      <c r="B100" s="67" t="s">
        <v>21</v>
      </c>
      <c r="C100" s="35">
        <f>VLOOKUP($K95,임금대장!$A$3:$AH$86,10,0)</f>
        <v>784193</v>
      </c>
      <c r="D100" s="36"/>
      <c r="E100" s="67"/>
      <c r="F100" s="256"/>
      <c r="G100" s="257"/>
      <c r="H100" s="169"/>
      <c r="I100" s="36"/>
      <c r="J100" s="37"/>
    </row>
    <row r="101" spans="1:13" ht="20.45" customHeight="1" x14ac:dyDescent="0.6">
      <c r="A101" s="252"/>
      <c r="B101" s="52" t="s">
        <v>92</v>
      </c>
      <c r="C101" s="35">
        <f>VLOOKUP($K95,임금대장!$A$3:$AH$86,11,0)</f>
        <v>105842</v>
      </c>
      <c r="D101" s="36"/>
      <c r="E101" s="67"/>
      <c r="F101" s="256"/>
      <c r="G101" s="257"/>
      <c r="H101" s="169"/>
      <c r="I101" s="36"/>
      <c r="J101" s="37"/>
      <c r="L101" s="38"/>
      <c r="M101" s="38"/>
    </row>
    <row r="102" spans="1:13" ht="20.45" customHeight="1" x14ac:dyDescent="0.6">
      <c r="A102" s="252"/>
      <c r="B102" s="67" t="s">
        <v>93</v>
      </c>
      <c r="C102" s="35">
        <f>VLOOKUP($K95,임금대장!$A$3:$AH$86,12,0)</f>
        <v>0</v>
      </c>
      <c r="D102" s="36"/>
      <c r="E102" s="67"/>
      <c r="F102" s="256"/>
      <c r="G102" s="257"/>
      <c r="H102" s="169"/>
      <c r="I102" s="36"/>
      <c r="J102" s="37"/>
    </row>
    <row r="103" spans="1:13" ht="20.45" customHeight="1" x14ac:dyDescent="0.6">
      <c r="A103" s="252"/>
      <c r="B103" s="67" t="s">
        <v>94</v>
      </c>
      <c r="C103" s="35">
        <f>VLOOKUP($K95,임금대장!$A$3:$AH$86,13,0)</f>
        <v>96220</v>
      </c>
      <c r="D103" s="36"/>
      <c r="E103" s="36"/>
      <c r="F103" s="258"/>
      <c r="G103" s="259"/>
      <c r="H103" s="169"/>
      <c r="I103" s="36"/>
      <c r="J103" s="37"/>
    </row>
    <row r="104" spans="1:13" ht="20.45" customHeight="1" x14ac:dyDescent="0.6">
      <c r="A104" s="252"/>
      <c r="B104" s="67" t="s">
        <v>24</v>
      </c>
      <c r="C104" s="102">
        <f>VLOOKUP($K95,임금대장!$A$3:$AH$86,14,0)</f>
        <v>169354.83870967739</v>
      </c>
      <c r="D104" s="36"/>
      <c r="E104" s="36"/>
      <c r="F104" s="258"/>
      <c r="G104" s="259"/>
      <c r="H104" s="169"/>
      <c r="I104" s="36"/>
      <c r="J104" s="37"/>
    </row>
    <row r="105" spans="1:13" ht="20.45" customHeight="1" x14ac:dyDescent="0.6">
      <c r="A105" s="252"/>
      <c r="B105" s="67"/>
      <c r="C105" s="35"/>
      <c r="D105" s="36"/>
      <c r="E105" s="36"/>
      <c r="F105" s="258"/>
      <c r="G105" s="259"/>
      <c r="H105" s="169"/>
      <c r="I105" s="36"/>
      <c r="J105" s="37"/>
    </row>
    <row r="106" spans="1:13" ht="20.45" customHeight="1" x14ac:dyDescent="0.6">
      <c r="A106" s="252"/>
      <c r="B106" s="67"/>
      <c r="C106" s="35"/>
      <c r="D106" s="36"/>
      <c r="E106" s="36"/>
      <c r="F106" s="258"/>
      <c r="G106" s="259"/>
      <c r="H106" s="169"/>
      <c r="I106" s="36"/>
      <c r="J106" s="37"/>
    </row>
    <row r="107" spans="1:13" ht="20.45" customHeight="1" x14ac:dyDescent="0.6">
      <c r="A107" s="253"/>
      <c r="B107" s="68"/>
      <c r="C107" s="39"/>
      <c r="D107" s="40"/>
      <c r="E107" s="40"/>
      <c r="F107" s="260"/>
      <c r="G107" s="261"/>
      <c r="H107" s="170"/>
      <c r="I107" s="68" t="s">
        <v>95</v>
      </c>
      <c r="J107" s="41">
        <f>SUM(C99:H105)</f>
        <v>3669354.8387096776</v>
      </c>
    </row>
    <row r="108" spans="1:13" ht="20.45" customHeight="1" x14ac:dyDescent="0.6">
      <c r="A108" s="251" t="s">
        <v>96</v>
      </c>
      <c r="B108" s="36" t="s">
        <v>97</v>
      </c>
      <c r="C108" s="35">
        <f>VLOOKUP($K95,임금대장!$A$3:$AH$86,25,0)</f>
        <v>144330</v>
      </c>
      <c r="D108" s="33"/>
      <c r="E108" s="42"/>
      <c r="F108" s="262" t="s">
        <v>14</v>
      </c>
      <c r="G108" s="263"/>
      <c r="H108" s="169">
        <f>VLOOKUP($K95,임금대장!$A$3:$AH$86,19,0)</f>
        <v>0</v>
      </c>
      <c r="I108" s="33"/>
      <c r="J108" s="34"/>
    </row>
    <row r="109" spans="1:13" ht="20.45" customHeight="1" x14ac:dyDescent="0.6">
      <c r="A109" s="252"/>
      <c r="B109" s="36" t="s">
        <v>98</v>
      </c>
      <c r="C109" s="35">
        <f>VLOOKUP($K95,임금대장!$A$3:$AH$86,26,0)</f>
        <v>14430</v>
      </c>
      <c r="D109" s="36"/>
      <c r="E109" s="43"/>
      <c r="F109" s="258" t="s">
        <v>12</v>
      </c>
      <c r="G109" s="259"/>
      <c r="H109" s="169">
        <f>VLOOKUP($K95,임금대장!$A$3:$AH$86,17,0)</f>
        <v>0</v>
      </c>
      <c r="I109" s="36"/>
      <c r="J109" s="37"/>
    </row>
    <row r="110" spans="1:13" ht="20.45" customHeight="1" x14ac:dyDescent="0.6">
      <c r="A110" s="252"/>
      <c r="B110" s="36" t="s">
        <v>99</v>
      </c>
      <c r="C110" s="35">
        <f>VLOOKUP($K95,임금대장!$A$3:$AH$86,27,0)</f>
        <v>154890</v>
      </c>
      <c r="D110" s="36"/>
      <c r="E110" s="44"/>
      <c r="F110" s="258" t="s">
        <v>100</v>
      </c>
      <c r="G110" s="259"/>
      <c r="H110" s="169">
        <f>VLOOKUP($K95,임금대장!$A$3:$AH$86,31,0)</f>
        <v>0</v>
      </c>
      <c r="I110" s="36"/>
      <c r="J110" s="37"/>
    </row>
    <row r="111" spans="1:13" ht="20.45" customHeight="1" x14ac:dyDescent="0.6">
      <c r="A111" s="252"/>
      <c r="B111" s="36" t="s">
        <v>101</v>
      </c>
      <c r="C111" s="35">
        <f>VLOOKUP($K95,임금대장!$A$3:$AH$86,28,0)</f>
        <v>131910</v>
      </c>
      <c r="D111" s="36"/>
      <c r="E111" s="43"/>
      <c r="F111" s="258" t="s">
        <v>102</v>
      </c>
      <c r="G111" s="259"/>
      <c r="H111" s="169">
        <f>VLOOKUP($K95,임금대장!$A$3:$AH$86,30,0)</f>
        <v>33020</v>
      </c>
      <c r="I111" s="36"/>
      <c r="J111" s="37"/>
    </row>
    <row r="112" spans="1:13" ht="20.45" customHeight="1" x14ac:dyDescent="0.6">
      <c r="A112" s="252"/>
      <c r="B112" s="36" t="s">
        <v>31</v>
      </c>
      <c r="C112" s="35">
        <f>VLOOKUP($K95,임금대장!$A$3:$AH$86,29,0)</f>
        <v>17330</v>
      </c>
      <c r="D112" s="36"/>
      <c r="E112" s="43"/>
      <c r="F112" s="258" t="s">
        <v>328</v>
      </c>
      <c r="G112" s="259"/>
      <c r="H112" s="169">
        <f>VLOOKUP($K95,임금대장!$A$3:$AH$86,32,0)</f>
        <v>0</v>
      </c>
      <c r="I112" s="67" t="s">
        <v>103</v>
      </c>
      <c r="J112" s="47">
        <f>SUM(C108:H113)</f>
        <v>495910</v>
      </c>
    </row>
    <row r="113" spans="1:13" ht="20.45" customHeight="1" x14ac:dyDescent="0.6">
      <c r="A113" s="253"/>
      <c r="B113" s="40"/>
      <c r="C113" s="101"/>
      <c r="D113" s="40"/>
      <c r="E113" s="48"/>
      <c r="F113" s="260"/>
      <c r="G113" s="261"/>
      <c r="H113" s="170"/>
      <c r="I113" s="68" t="s">
        <v>104</v>
      </c>
      <c r="J113" s="49">
        <f>J107-J112</f>
        <v>3173444.8387096776</v>
      </c>
    </row>
    <row r="114" spans="1:13" ht="20.45" customHeight="1" x14ac:dyDescent="0.6">
      <c r="A114" s="50" t="s">
        <v>105</v>
      </c>
      <c r="J114" s="51" t="s">
        <v>0</v>
      </c>
    </row>
    <row r="115" spans="1:13" ht="20.45" customHeight="1" x14ac:dyDescent="0.6">
      <c r="A115" s="50"/>
      <c r="J115" s="51"/>
    </row>
    <row r="116" spans="1:13" ht="20.45" customHeight="1" x14ac:dyDescent="0.6">
      <c r="A116" s="264" t="s">
        <v>399</v>
      </c>
      <c r="B116" s="264"/>
      <c r="C116" s="264"/>
      <c r="D116" s="264"/>
      <c r="E116" s="264"/>
      <c r="F116" s="264"/>
      <c r="G116" s="264"/>
      <c r="H116" s="264"/>
      <c r="I116" s="264"/>
      <c r="J116" s="264"/>
    </row>
    <row r="117" spans="1:13" ht="20.45" customHeight="1" x14ac:dyDescent="0.6">
      <c r="A117" s="286" t="s">
        <v>83</v>
      </c>
      <c r="B117" s="286"/>
      <c r="C117" s="286"/>
      <c r="D117" s="286" t="s">
        <v>84</v>
      </c>
      <c r="E117" s="286"/>
      <c r="F117" s="265" t="s">
        <v>85</v>
      </c>
      <c r="G117" s="250"/>
      <c r="H117" s="266"/>
      <c r="I117" s="286" t="s">
        <v>86</v>
      </c>
      <c r="J117" s="286"/>
    </row>
    <row r="118" spans="1:13" ht="20.45" customHeight="1" x14ac:dyDescent="0.6">
      <c r="A118" s="286" t="str">
        <f>VLOOKUP(K118,임금대장!$A$3:$AH$86,3,0)</f>
        <v>홀</v>
      </c>
      <c r="B118" s="286"/>
      <c r="C118" s="286"/>
      <c r="D118" s="287" t="str">
        <f>VLOOKUP(K118,임금대장!$A$3:$AH$86,2,0)</f>
        <v>장준수</v>
      </c>
      <c r="E118" s="287"/>
      <c r="F118" s="267">
        <f>임금대장!$O$3</f>
        <v>31</v>
      </c>
      <c r="G118" s="269"/>
      <c r="H118" s="268"/>
      <c r="I118" s="288">
        <f>VLOOKUP(K118,임금대장!$A$3:$AH$86,16,0)</f>
        <v>0</v>
      </c>
      <c r="J118" s="288"/>
      <c r="K118" s="30">
        <v>6</v>
      </c>
    </row>
    <row r="119" spans="1:13" ht="20.45" customHeight="1" x14ac:dyDescent="0.6">
      <c r="A119" s="286" t="s">
        <v>87</v>
      </c>
      <c r="B119" s="286"/>
      <c r="C119" s="286" t="s">
        <v>5</v>
      </c>
      <c r="D119" s="289">
        <f>VLOOKUP($K118,임금대장!$A$3:$AH$86,5,0)</f>
        <v>45355</v>
      </c>
      <c r="E119" s="289"/>
      <c r="F119" s="114" t="s">
        <v>88</v>
      </c>
      <c r="G119" s="292">
        <f>VLOOKUP(K118,임금대장!$A$3:$AH$86,15,0)</f>
        <v>31</v>
      </c>
      <c r="H119" s="293"/>
      <c r="I119" s="286" t="s">
        <v>89</v>
      </c>
      <c r="J119" s="290">
        <f>VLOOKUP(K118,임금대장!$A$3:$AH$86,17,0)</f>
        <v>0</v>
      </c>
    </row>
    <row r="120" spans="1:13" ht="20.45" customHeight="1" x14ac:dyDescent="0.6">
      <c r="A120" s="294">
        <f>VLOOKUP($K118,임금대장!$A$3:$AH$86,7,0)</f>
        <v>3500000</v>
      </c>
      <c r="B120" s="294"/>
      <c r="C120" s="286"/>
      <c r="D120" s="289"/>
      <c r="E120" s="289"/>
      <c r="F120" s="115" t="s">
        <v>90</v>
      </c>
      <c r="G120" s="284">
        <f>VLOOKUP(K118,임금대장!$A$3:$AH$86,16,0)</f>
        <v>0</v>
      </c>
      <c r="H120" s="285"/>
      <c r="I120" s="286"/>
      <c r="J120" s="290"/>
    </row>
    <row r="121" spans="1:13" ht="20.45" customHeight="1" x14ac:dyDescent="0.6">
      <c r="F121" s="250"/>
      <c r="G121" s="250"/>
    </row>
    <row r="122" spans="1:13" ht="20.45" customHeight="1" x14ac:dyDescent="0.6">
      <c r="A122" s="251" t="s">
        <v>91</v>
      </c>
      <c r="B122" s="69" t="s">
        <v>20</v>
      </c>
      <c r="C122" s="25">
        <f>VLOOKUP($K118,임금대장!$A$3:$AH$86,9,0)</f>
        <v>2513745</v>
      </c>
      <c r="D122" s="33"/>
      <c r="E122" s="69"/>
      <c r="F122" s="254"/>
      <c r="G122" s="255"/>
      <c r="H122" s="168"/>
      <c r="I122" s="33"/>
      <c r="J122" s="34"/>
    </row>
    <row r="123" spans="1:13" ht="20.45" customHeight="1" x14ac:dyDescent="0.6">
      <c r="A123" s="252"/>
      <c r="B123" s="67" t="s">
        <v>21</v>
      </c>
      <c r="C123" s="35">
        <f>VLOOKUP($K118,임금대장!$A$3:$AH$86,10,0)</f>
        <v>784193</v>
      </c>
      <c r="D123" s="36"/>
      <c r="E123" s="67"/>
      <c r="F123" s="256"/>
      <c r="G123" s="257"/>
      <c r="H123" s="169"/>
      <c r="I123" s="36"/>
      <c r="J123" s="37"/>
    </row>
    <row r="124" spans="1:13" ht="20.45" customHeight="1" x14ac:dyDescent="0.6">
      <c r="A124" s="252"/>
      <c r="B124" s="52" t="s">
        <v>92</v>
      </c>
      <c r="C124" s="35">
        <f>VLOOKUP($K118,임금대장!$A$3:$AH$86,11,0)</f>
        <v>105842</v>
      </c>
      <c r="D124" s="36"/>
      <c r="E124" s="67"/>
      <c r="F124" s="256"/>
      <c r="G124" s="257"/>
      <c r="H124" s="169"/>
      <c r="I124" s="36"/>
      <c r="J124" s="37"/>
    </row>
    <row r="125" spans="1:13" ht="20.45" customHeight="1" x14ac:dyDescent="0.6">
      <c r="A125" s="252"/>
      <c r="B125" s="67" t="s">
        <v>93</v>
      </c>
      <c r="C125" s="35">
        <f>VLOOKUP($K118,임금대장!$A$3:$AH$86,12,0)</f>
        <v>0</v>
      </c>
      <c r="D125" s="36"/>
      <c r="E125" s="67"/>
      <c r="F125" s="256"/>
      <c r="G125" s="257"/>
      <c r="H125" s="169"/>
      <c r="I125" s="36"/>
      <c r="J125" s="37"/>
      <c r="L125" s="38"/>
      <c r="M125" s="38"/>
    </row>
    <row r="126" spans="1:13" ht="20.45" customHeight="1" x14ac:dyDescent="0.6">
      <c r="A126" s="252"/>
      <c r="B126" s="67" t="s">
        <v>94</v>
      </c>
      <c r="C126" s="35">
        <f>VLOOKUP($K118,임금대장!$A$3:$AH$86,13,0)</f>
        <v>96220</v>
      </c>
      <c r="D126" s="36"/>
      <c r="E126" s="36"/>
      <c r="F126" s="258"/>
      <c r="G126" s="259"/>
      <c r="H126" s="169"/>
      <c r="I126" s="36"/>
      <c r="J126" s="37"/>
    </row>
    <row r="127" spans="1:13" ht="20.45" customHeight="1" x14ac:dyDescent="0.6">
      <c r="A127" s="252"/>
      <c r="B127" s="67" t="s">
        <v>24</v>
      </c>
      <c r="C127" s="102">
        <f>VLOOKUP($K118,임금대장!$A$3:$AH$86,14,0)</f>
        <v>169354.83870967739</v>
      </c>
      <c r="D127" s="36"/>
      <c r="E127" s="36"/>
      <c r="F127" s="258"/>
      <c r="G127" s="259"/>
      <c r="H127" s="169"/>
      <c r="I127" s="36"/>
      <c r="J127" s="37"/>
    </row>
    <row r="128" spans="1:13" s="30" customFormat="1" ht="20.45" customHeight="1" x14ac:dyDescent="0.6">
      <c r="A128" s="252"/>
      <c r="B128" s="67"/>
      <c r="C128" s="35"/>
      <c r="D128" s="36"/>
      <c r="E128" s="36"/>
      <c r="F128" s="258"/>
      <c r="G128" s="259"/>
      <c r="H128" s="169"/>
      <c r="I128" s="36"/>
      <c r="J128" s="37"/>
      <c r="L128" s="31"/>
      <c r="M128" s="31"/>
    </row>
    <row r="129" spans="1:13" s="30" customFormat="1" ht="20.45" customHeight="1" x14ac:dyDescent="0.6">
      <c r="A129" s="252"/>
      <c r="B129" s="67"/>
      <c r="C129" s="35"/>
      <c r="D129" s="36"/>
      <c r="E129" s="36"/>
      <c r="F129" s="258"/>
      <c r="G129" s="259"/>
      <c r="H129" s="169"/>
      <c r="I129" s="36"/>
      <c r="J129" s="37"/>
      <c r="L129" s="31"/>
      <c r="M129" s="31"/>
    </row>
    <row r="130" spans="1:13" s="30" customFormat="1" ht="20.45" customHeight="1" x14ac:dyDescent="0.6">
      <c r="A130" s="253"/>
      <c r="B130" s="68"/>
      <c r="C130" s="39"/>
      <c r="D130" s="40"/>
      <c r="E130" s="40"/>
      <c r="F130" s="260"/>
      <c r="G130" s="261"/>
      <c r="H130" s="170"/>
      <c r="I130" s="68" t="s">
        <v>95</v>
      </c>
      <c r="J130" s="41">
        <f>SUM(C122:H128)</f>
        <v>3669354.8387096776</v>
      </c>
      <c r="L130" s="31"/>
      <c r="M130" s="31"/>
    </row>
    <row r="131" spans="1:13" s="30" customFormat="1" ht="20.45" customHeight="1" x14ac:dyDescent="0.6">
      <c r="A131" s="251" t="s">
        <v>96</v>
      </c>
      <c r="B131" s="36" t="s">
        <v>97</v>
      </c>
      <c r="C131" s="35">
        <f>VLOOKUP($K118,임금대장!$A$3:$AH$86,25,0)</f>
        <v>144330</v>
      </c>
      <c r="D131" s="33"/>
      <c r="E131" s="42"/>
      <c r="F131" s="262" t="s">
        <v>14</v>
      </c>
      <c r="G131" s="263"/>
      <c r="H131" s="169">
        <f>VLOOKUP($K118,임금대장!$A$3:$AH$86,19,0)</f>
        <v>0</v>
      </c>
      <c r="I131" s="33"/>
      <c r="J131" s="34"/>
      <c r="L131" s="31"/>
      <c r="M131" s="31"/>
    </row>
    <row r="132" spans="1:13" s="30" customFormat="1" ht="20.45" customHeight="1" x14ac:dyDescent="0.6">
      <c r="A132" s="252"/>
      <c r="B132" s="36" t="s">
        <v>98</v>
      </c>
      <c r="C132" s="35">
        <f>VLOOKUP($K118,임금대장!$A$3:$AH$86,26,0)</f>
        <v>14430</v>
      </c>
      <c r="D132" s="36"/>
      <c r="E132" s="43"/>
      <c r="F132" s="258" t="s">
        <v>12</v>
      </c>
      <c r="G132" s="259"/>
      <c r="H132" s="169">
        <f>VLOOKUP($K118,임금대장!$A$3:$AH$86,17,0)</f>
        <v>0</v>
      </c>
      <c r="I132" s="36"/>
      <c r="J132" s="37"/>
      <c r="L132" s="31"/>
      <c r="M132" s="31"/>
    </row>
    <row r="133" spans="1:13" s="30" customFormat="1" ht="20.45" customHeight="1" x14ac:dyDescent="0.6">
      <c r="A133" s="252"/>
      <c r="B133" s="36" t="s">
        <v>99</v>
      </c>
      <c r="C133" s="35">
        <f>VLOOKUP($K118,임금대장!$A$3:$AH$86,27,0)</f>
        <v>163210</v>
      </c>
      <c r="D133" s="36"/>
      <c r="E133" s="44"/>
      <c r="F133" s="258" t="s">
        <v>100</v>
      </c>
      <c r="G133" s="259"/>
      <c r="H133" s="169">
        <f>VLOOKUP($K118,임금대장!$A$3:$AH$86,31,0)</f>
        <v>0</v>
      </c>
      <c r="I133" s="36"/>
      <c r="J133" s="37"/>
      <c r="L133" s="31"/>
      <c r="M133" s="31"/>
    </row>
    <row r="134" spans="1:13" s="30" customFormat="1" ht="20.45" customHeight="1" x14ac:dyDescent="0.6">
      <c r="A134" s="252"/>
      <c r="B134" s="36" t="s">
        <v>101</v>
      </c>
      <c r="C134" s="35">
        <f>VLOOKUP($K118,임금대장!$A$3:$AH$86,28,0)</f>
        <v>131910</v>
      </c>
      <c r="D134" s="36"/>
      <c r="E134" s="43"/>
      <c r="F134" s="258" t="s">
        <v>102</v>
      </c>
      <c r="G134" s="259"/>
      <c r="H134" s="169">
        <f>VLOOKUP($K118,임금대장!$A$3:$AH$86,30,0)</f>
        <v>33020</v>
      </c>
      <c r="I134" s="36"/>
      <c r="J134" s="37"/>
      <c r="L134" s="31"/>
      <c r="M134" s="31"/>
    </row>
    <row r="135" spans="1:13" s="30" customFormat="1" ht="20.45" customHeight="1" x14ac:dyDescent="0.6">
      <c r="A135" s="252"/>
      <c r="B135" s="36" t="s">
        <v>31</v>
      </c>
      <c r="C135" s="35">
        <f>VLOOKUP($K118,임금대장!$A$3:$AH$86,29,0)</f>
        <v>17330</v>
      </c>
      <c r="D135" s="36"/>
      <c r="E135" s="43"/>
      <c r="F135" s="258" t="s">
        <v>328</v>
      </c>
      <c r="G135" s="259"/>
      <c r="H135" s="169">
        <f>VLOOKUP($K118,임금대장!$A$3:$AH$86,32,0)</f>
        <v>0</v>
      </c>
      <c r="I135" s="67" t="s">
        <v>103</v>
      </c>
      <c r="J135" s="47">
        <f>SUM(C131:H136)</f>
        <v>504230</v>
      </c>
      <c r="L135" s="31"/>
      <c r="M135" s="31"/>
    </row>
    <row r="136" spans="1:13" s="30" customFormat="1" ht="20.45" customHeight="1" x14ac:dyDescent="0.6">
      <c r="A136" s="253"/>
      <c r="B136" s="40"/>
      <c r="C136" s="101"/>
      <c r="D136" s="40"/>
      <c r="E136" s="48"/>
      <c r="F136" s="260"/>
      <c r="G136" s="261"/>
      <c r="H136" s="170"/>
      <c r="I136" s="68" t="s">
        <v>104</v>
      </c>
      <c r="J136" s="49">
        <f>J130-J135</f>
        <v>3165124.8387096776</v>
      </c>
      <c r="L136" s="31"/>
      <c r="M136" s="31"/>
    </row>
    <row r="137" spans="1:13" s="30" customFormat="1" ht="20.45" customHeight="1" x14ac:dyDescent="0.6">
      <c r="A137" s="50" t="s">
        <v>105</v>
      </c>
      <c r="B137" s="31"/>
      <c r="C137" s="31"/>
      <c r="D137" s="31"/>
      <c r="E137" s="31"/>
      <c r="F137" s="31"/>
      <c r="G137" s="31"/>
      <c r="H137" s="167"/>
      <c r="I137" s="31"/>
      <c r="J137" s="51" t="s">
        <v>0</v>
      </c>
      <c r="L137" s="31"/>
      <c r="M137" s="31"/>
    </row>
    <row r="138" spans="1:13" s="30" customFormat="1" ht="20.45" customHeight="1" x14ac:dyDescent="0.6">
      <c r="A138" s="50"/>
      <c r="B138" s="31"/>
      <c r="C138" s="31"/>
      <c r="D138" s="31"/>
      <c r="E138" s="31"/>
      <c r="F138" s="31"/>
      <c r="G138" s="31"/>
      <c r="H138" s="167"/>
      <c r="I138" s="31"/>
      <c r="J138" s="51"/>
      <c r="L138" s="31"/>
      <c r="M138" s="31"/>
    </row>
    <row r="139" spans="1:13" ht="20.45" customHeight="1" x14ac:dyDescent="0.6">
      <c r="A139" s="264" t="s">
        <v>399</v>
      </c>
      <c r="B139" s="264"/>
      <c r="C139" s="264"/>
      <c r="D139" s="264"/>
      <c r="E139" s="264"/>
      <c r="F139" s="264"/>
      <c r="G139" s="264"/>
      <c r="H139" s="264"/>
      <c r="I139" s="264"/>
      <c r="J139" s="264"/>
    </row>
    <row r="140" spans="1:13" ht="20.45" customHeight="1" x14ac:dyDescent="0.6">
      <c r="A140" s="286" t="s">
        <v>83</v>
      </c>
      <c r="B140" s="286"/>
      <c r="C140" s="286"/>
      <c r="D140" s="286" t="s">
        <v>84</v>
      </c>
      <c r="E140" s="286"/>
      <c r="F140" s="265" t="s">
        <v>85</v>
      </c>
      <c r="G140" s="250"/>
      <c r="H140" s="266"/>
      <c r="I140" s="286" t="s">
        <v>86</v>
      </c>
      <c r="J140" s="286"/>
    </row>
    <row r="141" spans="1:13" ht="20.45" customHeight="1" x14ac:dyDescent="0.6">
      <c r="A141" s="286" t="str">
        <f>VLOOKUP(K141,임금대장!$A$3:$AH$86,3,0)</f>
        <v>샐러드</v>
      </c>
      <c r="B141" s="286"/>
      <c r="C141" s="286"/>
      <c r="D141" s="287" t="str">
        <f>VLOOKUP(K141,임금대장!$A$3:$AH$86,2,0)</f>
        <v>강정애</v>
      </c>
      <c r="E141" s="287"/>
      <c r="F141" s="267">
        <f>임금대장!$O$3</f>
        <v>31</v>
      </c>
      <c r="G141" s="269"/>
      <c r="H141" s="268"/>
      <c r="I141" s="288">
        <f>VLOOKUP(K141,임금대장!$A$3:$AH$86,16,0)</f>
        <v>0</v>
      </c>
      <c r="J141" s="288"/>
      <c r="K141" s="30">
        <v>7</v>
      </c>
    </row>
    <row r="142" spans="1:13" ht="20.45" customHeight="1" x14ac:dyDescent="0.6">
      <c r="A142" s="286" t="s">
        <v>87</v>
      </c>
      <c r="B142" s="286"/>
      <c r="C142" s="286" t="s">
        <v>5</v>
      </c>
      <c r="D142" s="289">
        <f>VLOOKUP($K141,임금대장!$A$3:$AH$86,5,0)</f>
        <v>45484</v>
      </c>
      <c r="E142" s="289"/>
      <c r="F142" s="114" t="s">
        <v>88</v>
      </c>
      <c r="G142" s="292">
        <f>VLOOKUP(K141,임금대장!$A$3:$AH$86,15,0)</f>
        <v>31</v>
      </c>
      <c r="H142" s="293"/>
      <c r="I142" s="286" t="s">
        <v>89</v>
      </c>
      <c r="J142" s="290">
        <f>VLOOKUP(K141,임금대장!$A$3:$AH$86,17,0)</f>
        <v>0</v>
      </c>
    </row>
    <row r="143" spans="1:13" ht="20.45" customHeight="1" x14ac:dyDescent="0.6">
      <c r="A143" s="294">
        <f>VLOOKUP($K141,임금대장!$A$3:$AH$86,7,0)</f>
        <v>3300000</v>
      </c>
      <c r="B143" s="294"/>
      <c r="C143" s="286"/>
      <c r="D143" s="289"/>
      <c r="E143" s="289"/>
      <c r="F143" s="115" t="s">
        <v>90</v>
      </c>
      <c r="G143" s="284">
        <f>VLOOKUP(K141,임금대장!$A$3:$AH$86,16,0)</f>
        <v>0</v>
      </c>
      <c r="H143" s="285"/>
      <c r="I143" s="286"/>
      <c r="J143" s="290"/>
    </row>
    <row r="144" spans="1:13" ht="20.45" customHeight="1" x14ac:dyDescent="0.6">
      <c r="F144" s="250"/>
      <c r="G144" s="250"/>
    </row>
    <row r="145" spans="1:13" ht="20.45" customHeight="1" x14ac:dyDescent="0.6">
      <c r="A145" s="251" t="s">
        <v>91</v>
      </c>
      <c r="B145" s="69" t="s">
        <v>20</v>
      </c>
      <c r="C145" s="25">
        <f>VLOOKUP($K141,임금대장!$A$3:$AH$86,9,0)</f>
        <v>2370103</v>
      </c>
      <c r="D145" s="33"/>
      <c r="E145" s="69"/>
      <c r="F145" s="254"/>
      <c r="G145" s="255"/>
      <c r="H145" s="168"/>
      <c r="I145" s="33"/>
      <c r="J145" s="34"/>
    </row>
    <row r="146" spans="1:13" ht="20.45" customHeight="1" x14ac:dyDescent="0.6">
      <c r="A146" s="252"/>
      <c r="B146" s="67" t="s">
        <v>21</v>
      </c>
      <c r="C146" s="35">
        <f>VLOOKUP($K141,임금대장!$A$3:$AH$86,10,0)</f>
        <v>739382</v>
      </c>
      <c r="D146" s="36"/>
      <c r="E146" s="67"/>
      <c r="F146" s="256"/>
      <c r="G146" s="257"/>
      <c r="H146" s="169"/>
      <c r="I146" s="36"/>
      <c r="J146" s="37"/>
    </row>
    <row r="147" spans="1:13" ht="20.45" customHeight="1" x14ac:dyDescent="0.6">
      <c r="A147" s="252"/>
      <c r="B147" s="52" t="s">
        <v>92</v>
      </c>
      <c r="C147" s="35">
        <f>VLOOKUP($K141,임금대장!$A$3:$AH$86,11,0)</f>
        <v>99794</v>
      </c>
      <c r="D147" s="36"/>
      <c r="E147" s="67"/>
      <c r="F147" s="256"/>
      <c r="G147" s="257"/>
      <c r="H147" s="169"/>
      <c r="I147" s="36"/>
      <c r="J147" s="37"/>
      <c r="L147" s="38"/>
      <c r="M147" s="38"/>
    </row>
    <row r="148" spans="1:13" ht="20.45" customHeight="1" x14ac:dyDescent="0.6">
      <c r="A148" s="252"/>
      <c r="B148" s="67" t="s">
        <v>93</v>
      </c>
      <c r="C148" s="35">
        <f>VLOOKUP($K141,임금대장!$A$3:$AH$86,12,0)</f>
        <v>0</v>
      </c>
      <c r="D148" s="36"/>
      <c r="E148" s="67"/>
      <c r="F148" s="256"/>
      <c r="G148" s="257"/>
      <c r="H148" s="169"/>
      <c r="I148" s="36"/>
      <c r="J148" s="37"/>
    </row>
    <row r="149" spans="1:13" ht="20.45" customHeight="1" x14ac:dyDescent="0.6">
      <c r="A149" s="252"/>
      <c r="B149" s="67" t="s">
        <v>94</v>
      </c>
      <c r="C149" s="35">
        <f>VLOOKUP($K141,임금대장!$A$3:$AH$86,13,0)</f>
        <v>90722</v>
      </c>
      <c r="D149" s="36"/>
      <c r="E149" s="36"/>
      <c r="F149" s="258"/>
      <c r="G149" s="259"/>
      <c r="H149" s="169"/>
      <c r="I149" s="36"/>
      <c r="J149" s="37"/>
    </row>
    <row r="150" spans="1:13" ht="20.45" customHeight="1" x14ac:dyDescent="0.6">
      <c r="A150" s="252"/>
      <c r="B150" s="67" t="s">
        <v>24</v>
      </c>
      <c r="C150" s="102">
        <f>VLOOKUP($K141,임금대장!$A$3:$AH$86,14,0)</f>
        <v>53225.806451612902</v>
      </c>
      <c r="D150" s="36"/>
      <c r="E150" s="36"/>
      <c r="F150" s="258"/>
      <c r="G150" s="259"/>
      <c r="H150" s="169"/>
      <c r="I150" s="36"/>
      <c r="J150" s="37"/>
    </row>
    <row r="151" spans="1:13" ht="20.45" customHeight="1" x14ac:dyDescent="0.6">
      <c r="A151" s="252"/>
      <c r="B151" s="67"/>
      <c r="C151" s="35"/>
      <c r="D151" s="36"/>
      <c r="E151" s="36"/>
      <c r="F151" s="258"/>
      <c r="G151" s="259"/>
      <c r="H151" s="169"/>
      <c r="I151" s="36"/>
      <c r="J151" s="37"/>
    </row>
    <row r="152" spans="1:13" ht="20.45" customHeight="1" x14ac:dyDescent="0.6">
      <c r="A152" s="252"/>
      <c r="B152" s="67"/>
      <c r="C152" s="35"/>
      <c r="D152" s="36"/>
      <c r="E152" s="36"/>
      <c r="F152" s="258"/>
      <c r="G152" s="259"/>
      <c r="H152" s="169"/>
      <c r="I152" s="36"/>
      <c r="J152" s="37"/>
    </row>
    <row r="153" spans="1:13" ht="20.45" customHeight="1" x14ac:dyDescent="0.6">
      <c r="A153" s="253"/>
      <c r="B153" s="68"/>
      <c r="C153" s="39"/>
      <c r="D153" s="40"/>
      <c r="E153" s="40"/>
      <c r="F153" s="260"/>
      <c r="G153" s="261"/>
      <c r="H153" s="170"/>
      <c r="I153" s="68" t="s">
        <v>95</v>
      </c>
      <c r="J153" s="41">
        <f>SUM(C145:H151)</f>
        <v>3353226.8064516131</v>
      </c>
    </row>
    <row r="154" spans="1:13" ht="20.45" customHeight="1" x14ac:dyDescent="0.6">
      <c r="A154" s="251" t="s">
        <v>96</v>
      </c>
      <c r="B154" s="36" t="s">
        <v>97</v>
      </c>
      <c r="C154" s="35">
        <f>VLOOKUP($K141,임금대장!$A$3:$AH$86,25,0)</f>
        <v>105210</v>
      </c>
      <c r="D154" s="33"/>
      <c r="E154" s="42"/>
      <c r="F154" s="262" t="s">
        <v>14</v>
      </c>
      <c r="G154" s="263"/>
      <c r="H154" s="169">
        <f>VLOOKUP($K141,임금대장!$A$3:$AH$86,19,0)</f>
        <v>0</v>
      </c>
      <c r="I154" s="33"/>
      <c r="J154" s="34"/>
    </row>
    <row r="155" spans="1:13" ht="20.45" customHeight="1" x14ac:dyDescent="0.6">
      <c r="A155" s="252"/>
      <c r="B155" s="36" t="s">
        <v>98</v>
      </c>
      <c r="C155" s="35">
        <f>VLOOKUP($K141,임금대장!$A$3:$AH$86,26,0)</f>
        <v>10520</v>
      </c>
      <c r="D155" s="36"/>
      <c r="E155" s="43"/>
      <c r="F155" s="258" t="s">
        <v>12</v>
      </c>
      <c r="G155" s="259"/>
      <c r="H155" s="169">
        <f>VLOOKUP($K141,임금대장!$A$3:$AH$86,17,0)</f>
        <v>0</v>
      </c>
      <c r="I155" s="36"/>
      <c r="J155" s="37"/>
    </row>
    <row r="156" spans="1:13" ht="20.45" customHeight="1" x14ac:dyDescent="0.6">
      <c r="A156" s="252"/>
      <c r="B156" s="36" t="s">
        <v>99</v>
      </c>
      <c r="C156" s="35">
        <f>VLOOKUP($K141,임금대장!$A$3:$AH$86,27,0)</f>
        <v>0</v>
      </c>
      <c r="D156" s="36"/>
      <c r="E156" s="44"/>
      <c r="F156" s="258" t="s">
        <v>100</v>
      </c>
      <c r="G156" s="259"/>
      <c r="H156" s="169">
        <f>VLOOKUP($K141,임금대장!$A$3:$AH$86,31,0)</f>
        <v>0</v>
      </c>
      <c r="I156" s="36"/>
      <c r="J156" s="37"/>
    </row>
    <row r="157" spans="1:13" ht="20.45" customHeight="1" x14ac:dyDescent="0.6">
      <c r="A157" s="252"/>
      <c r="B157" s="36" t="s">
        <v>101</v>
      </c>
      <c r="C157" s="35">
        <f>VLOOKUP($K141,임금대장!$A$3:$AH$86,28,0)</f>
        <v>120540</v>
      </c>
      <c r="D157" s="36"/>
      <c r="E157" s="43"/>
      <c r="F157" s="258" t="s">
        <v>102</v>
      </c>
      <c r="G157" s="259"/>
      <c r="H157" s="169">
        <f>VLOOKUP($K141,임금대장!$A$3:$AH$86,30,0)</f>
        <v>30170</v>
      </c>
      <c r="I157" s="36"/>
      <c r="J157" s="37"/>
    </row>
    <row r="158" spans="1:13" ht="20.45" customHeight="1" x14ac:dyDescent="0.6">
      <c r="A158" s="252"/>
      <c r="B158" s="36" t="s">
        <v>31</v>
      </c>
      <c r="C158" s="35">
        <f>VLOOKUP($K141,임금대장!$A$3:$AH$86,29,0)</f>
        <v>15830</v>
      </c>
      <c r="D158" s="36"/>
      <c r="E158" s="43"/>
      <c r="F158" s="258" t="s">
        <v>328</v>
      </c>
      <c r="G158" s="259"/>
      <c r="H158" s="169">
        <f>VLOOKUP($K141,임금대장!$A$3:$AH$86,32,0)</f>
        <v>0</v>
      </c>
      <c r="I158" s="67" t="s">
        <v>103</v>
      </c>
      <c r="J158" s="47">
        <f>SUM(C154:H159)</f>
        <v>282270</v>
      </c>
    </row>
    <row r="159" spans="1:13" ht="20.45" customHeight="1" x14ac:dyDescent="0.6">
      <c r="A159" s="253"/>
      <c r="B159" s="40"/>
      <c r="C159" s="101"/>
      <c r="D159" s="40"/>
      <c r="E159" s="48"/>
      <c r="F159" s="260"/>
      <c r="G159" s="261"/>
      <c r="H159" s="170"/>
      <c r="I159" s="68" t="s">
        <v>104</v>
      </c>
      <c r="J159" s="49">
        <f>J153-J158</f>
        <v>3070956.8064516131</v>
      </c>
    </row>
    <row r="160" spans="1:13" ht="20.45" customHeight="1" x14ac:dyDescent="0.6">
      <c r="A160" s="50" t="s">
        <v>105</v>
      </c>
      <c r="J160" s="51" t="s">
        <v>0</v>
      </c>
    </row>
    <row r="161" spans="1:13" ht="20.45" customHeight="1" x14ac:dyDescent="0.6">
      <c r="A161" s="50"/>
      <c r="J161" s="51"/>
    </row>
    <row r="162" spans="1:13" ht="20.45" customHeight="1" x14ac:dyDescent="0.6">
      <c r="A162" s="264" t="s">
        <v>399</v>
      </c>
      <c r="B162" s="264"/>
      <c r="C162" s="264"/>
      <c r="D162" s="264"/>
      <c r="E162" s="264"/>
      <c r="F162" s="264"/>
      <c r="G162" s="264"/>
      <c r="H162" s="264"/>
      <c r="I162" s="264"/>
      <c r="J162" s="264"/>
    </row>
    <row r="163" spans="1:13" ht="20.45" customHeight="1" x14ac:dyDescent="0.6">
      <c r="A163" s="286" t="s">
        <v>83</v>
      </c>
      <c r="B163" s="286"/>
      <c r="C163" s="286"/>
      <c r="D163" s="286" t="s">
        <v>84</v>
      </c>
      <c r="E163" s="286"/>
      <c r="F163" s="265" t="s">
        <v>85</v>
      </c>
      <c r="G163" s="250"/>
      <c r="H163" s="266"/>
      <c r="I163" s="286" t="s">
        <v>86</v>
      </c>
      <c r="J163" s="286"/>
    </row>
    <row r="164" spans="1:13" ht="20.45" customHeight="1" x14ac:dyDescent="0.6">
      <c r="A164" s="286">
        <f>VLOOKUP(K164,임금대장!$A$3:$AH$86,3,0)</f>
        <v>0</v>
      </c>
      <c r="B164" s="286"/>
      <c r="C164" s="286"/>
      <c r="D164" s="287" t="str">
        <f>VLOOKUP(K164,임금대장!$A$3:$AH$86,2,0)</f>
        <v>김금희</v>
      </c>
      <c r="E164" s="287"/>
      <c r="F164" s="267">
        <f>임금대장!$O$3</f>
        <v>31</v>
      </c>
      <c r="G164" s="269"/>
      <c r="H164" s="268"/>
      <c r="I164" s="288">
        <f>VLOOKUP(K164,임금대장!$A$3:$AH$86,16,0)</f>
        <v>0</v>
      </c>
      <c r="J164" s="288"/>
      <c r="K164" s="30">
        <v>8</v>
      </c>
    </row>
    <row r="165" spans="1:13" ht="20.45" customHeight="1" x14ac:dyDescent="0.6">
      <c r="A165" s="286" t="s">
        <v>87</v>
      </c>
      <c r="B165" s="286"/>
      <c r="C165" s="286" t="s">
        <v>5</v>
      </c>
      <c r="D165" s="289">
        <f>VLOOKUP($K164,임금대장!$A$3:$AH$86,5,0)</f>
        <v>45499</v>
      </c>
      <c r="E165" s="289"/>
      <c r="F165" s="114" t="s">
        <v>88</v>
      </c>
      <c r="G165" s="292">
        <f>VLOOKUP(K164,임금대장!$A$3:$AH$86,15,0)</f>
        <v>31</v>
      </c>
      <c r="H165" s="293"/>
      <c r="I165" s="286" t="s">
        <v>89</v>
      </c>
      <c r="J165" s="290">
        <f>VLOOKUP(K164,임금대장!$A$3:$AH$86,17,0)</f>
        <v>0</v>
      </c>
    </row>
    <row r="166" spans="1:13" ht="20.45" customHeight="1" x14ac:dyDescent="0.6">
      <c r="A166" s="294">
        <f>VLOOKUP($K164,임금대장!$A$3:$AH$86,7,0)</f>
        <v>2300000</v>
      </c>
      <c r="B166" s="294"/>
      <c r="C166" s="286"/>
      <c r="D166" s="289"/>
      <c r="E166" s="289"/>
      <c r="F166" s="115" t="s">
        <v>90</v>
      </c>
      <c r="G166" s="284">
        <f>VLOOKUP(K164,임금대장!$A$3:$AH$86,16,0)</f>
        <v>0</v>
      </c>
      <c r="H166" s="285"/>
      <c r="I166" s="286"/>
      <c r="J166" s="290"/>
    </row>
    <row r="167" spans="1:13" ht="20.45" customHeight="1" x14ac:dyDescent="0.6">
      <c r="F167" s="250"/>
      <c r="G167" s="250"/>
    </row>
    <row r="168" spans="1:13" ht="20.45" customHeight="1" x14ac:dyDescent="0.6">
      <c r="A168" s="251" t="s">
        <v>91</v>
      </c>
      <c r="B168" s="69" t="s">
        <v>20</v>
      </c>
      <c r="C168" s="25">
        <f>VLOOKUP($K164,임금대장!$A$3:$AH$86,9,0)</f>
        <v>1651890</v>
      </c>
      <c r="D168" s="33"/>
      <c r="E168" s="69"/>
      <c r="F168" s="254"/>
      <c r="G168" s="255"/>
      <c r="H168" s="168"/>
      <c r="I168" s="33"/>
      <c r="J168" s="34"/>
    </row>
    <row r="169" spans="1:13" ht="20.45" customHeight="1" x14ac:dyDescent="0.6">
      <c r="A169" s="252"/>
      <c r="B169" s="67" t="s">
        <v>21</v>
      </c>
      <c r="C169" s="35">
        <f>VLOOKUP($K164,임금대장!$A$3:$AH$86,10,0)</f>
        <v>515326</v>
      </c>
      <c r="D169" s="36"/>
      <c r="E169" s="67"/>
      <c r="F169" s="256"/>
      <c r="G169" s="257"/>
      <c r="H169" s="169"/>
      <c r="I169" s="36"/>
      <c r="J169" s="37"/>
    </row>
    <row r="170" spans="1:13" ht="20.45" customHeight="1" x14ac:dyDescent="0.6">
      <c r="A170" s="252"/>
      <c r="B170" s="52" t="s">
        <v>92</v>
      </c>
      <c r="C170" s="35">
        <f>VLOOKUP($K164,임금대장!$A$3:$AH$86,11,0)</f>
        <v>69554</v>
      </c>
      <c r="D170" s="36"/>
      <c r="E170" s="67"/>
      <c r="F170" s="256"/>
      <c r="G170" s="257"/>
      <c r="H170" s="169"/>
      <c r="I170" s="36"/>
      <c r="J170" s="37"/>
      <c r="L170" s="38"/>
      <c r="M170" s="38"/>
    </row>
    <row r="171" spans="1:13" ht="20.45" customHeight="1" x14ac:dyDescent="0.6">
      <c r="A171" s="252"/>
      <c r="B171" s="67" t="s">
        <v>93</v>
      </c>
      <c r="C171" s="35">
        <f>VLOOKUP($K164,임금대장!$A$3:$AH$86,12,0)</f>
        <v>0</v>
      </c>
      <c r="D171" s="36"/>
      <c r="E171" s="67"/>
      <c r="F171" s="256"/>
      <c r="G171" s="257"/>
      <c r="H171" s="169"/>
      <c r="I171" s="36"/>
      <c r="J171" s="37"/>
    </row>
    <row r="172" spans="1:13" ht="20.45" customHeight="1" x14ac:dyDescent="0.6">
      <c r="A172" s="252"/>
      <c r="B172" s="67" t="s">
        <v>94</v>
      </c>
      <c r="C172" s="35">
        <f>VLOOKUP($K164,임금대장!$A$3:$AH$86,13,0)</f>
        <v>63230</v>
      </c>
      <c r="D172" s="36"/>
      <c r="E172" s="36"/>
      <c r="F172" s="258"/>
      <c r="G172" s="259"/>
      <c r="H172" s="169"/>
      <c r="I172" s="36"/>
      <c r="J172" s="37"/>
    </row>
    <row r="173" spans="1:13" ht="20.45" customHeight="1" x14ac:dyDescent="0.6">
      <c r="A173" s="252"/>
      <c r="B173" s="67" t="s">
        <v>24</v>
      </c>
      <c r="C173" s="102">
        <f>VLOOKUP($K164,임금대장!$A$3:$AH$86,14,0)</f>
        <v>37096.774193548386</v>
      </c>
      <c r="D173" s="36"/>
      <c r="E173" s="36"/>
      <c r="F173" s="258"/>
      <c r="G173" s="259"/>
      <c r="H173" s="169"/>
      <c r="I173" s="36"/>
      <c r="J173" s="37"/>
    </row>
    <row r="174" spans="1:13" ht="20.45" customHeight="1" x14ac:dyDescent="0.6">
      <c r="A174" s="252"/>
      <c r="B174" s="67"/>
      <c r="C174" s="35"/>
      <c r="D174" s="36"/>
      <c r="E174" s="36"/>
      <c r="F174" s="258"/>
      <c r="G174" s="259"/>
      <c r="H174" s="169"/>
      <c r="I174" s="36"/>
      <c r="J174" s="37"/>
    </row>
    <row r="175" spans="1:13" ht="20.45" customHeight="1" x14ac:dyDescent="0.6">
      <c r="A175" s="252"/>
      <c r="B175" s="67"/>
      <c r="C175" s="35"/>
      <c r="D175" s="36"/>
      <c r="E175" s="36"/>
      <c r="F175" s="258"/>
      <c r="G175" s="259"/>
      <c r="H175" s="169"/>
      <c r="I175" s="36"/>
      <c r="J175" s="37"/>
    </row>
    <row r="176" spans="1:13" ht="20.45" customHeight="1" x14ac:dyDescent="0.6">
      <c r="A176" s="253"/>
      <c r="B176" s="68"/>
      <c r="C176" s="39"/>
      <c r="D176" s="40"/>
      <c r="E176" s="40"/>
      <c r="F176" s="260"/>
      <c r="G176" s="261"/>
      <c r="H176" s="170"/>
      <c r="I176" s="68" t="s">
        <v>95</v>
      </c>
      <c r="J176" s="41">
        <f>SUM(C168:H174)</f>
        <v>2337096.7741935486</v>
      </c>
    </row>
    <row r="177" spans="1:11" ht="20.45" customHeight="1" x14ac:dyDescent="0.6">
      <c r="A177" s="251" t="s">
        <v>96</v>
      </c>
      <c r="B177" s="36" t="s">
        <v>97</v>
      </c>
      <c r="C177" s="35">
        <f>VLOOKUP($K164,임금대장!$A$3:$AH$86,25,0)</f>
        <v>29810</v>
      </c>
      <c r="D177" s="33"/>
      <c r="E177" s="42"/>
      <c r="F177" s="262" t="s">
        <v>14</v>
      </c>
      <c r="G177" s="263"/>
      <c r="H177" s="169">
        <f>VLOOKUP($K164,임금대장!$A$3:$AH$86,19,0)</f>
        <v>0</v>
      </c>
      <c r="I177" s="33"/>
      <c r="J177" s="34"/>
    </row>
    <row r="178" spans="1:11" ht="20.45" customHeight="1" x14ac:dyDescent="0.6">
      <c r="A178" s="252"/>
      <c r="B178" s="36" t="s">
        <v>98</v>
      </c>
      <c r="C178" s="35">
        <f>VLOOKUP($K164,임금대장!$A$3:$AH$86,26,0)</f>
        <v>2980</v>
      </c>
      <c r="D178" s="36"/>
      <c r="E178" s="43"/>
      <c r="F178" s="258" t="s">
        <v>12</v>
      </c>
      <c r="G178" s="259"/>
      <c r="H178" s="169">
        <f>VLOOKUP($K164,임금대장!$A$3:$AH$86,17,0)</f>
        <v>0</v>
      </c>
      <c r="I178" s="36"/>
      <c r="J178" s="37"/>
    </row>
    <row r="179" spans="1:11" ht="20.45" customHeight="1" x14ac:dyDescent="0.6">
      <c r="A179" s="252"/>
      <c r="B179" s="36" t="s">
        <v>99</v>
      </c>
      <c r="C179" s="35">
        <f>VLOOKUP($K164,임금대장!$A$3:$AH$86,27,0)</f>
        <v>112290</v>
      </c>
      <c r="D179" s="36"/>
      <c r="E179" s="44"/>
      <c r="F179" s="258" t="s">
        <v>100</v>
      </c>
      <c r="G179" s="259"/>
      <c r="H179" s="169">
        <f>VLOOKUP($K164,임금대장!$A$3:$AH$86,31,0)</f>
        <v>0</v>
      </c>
      <c r="I179" s="36"/>
      <c r="J179" s="37"/>
    </row>
    <row r="180" spans="1:11" ht="20.45" customHeight="1" x14ac:dyDescent="0.6">
      <c r="A180" s="252"/>
      <c r="B180" s="36" t="s">
        <v>101</v>
      </c>
      <c r="C180" s="35">
        <f>VLOOKUP($K164,임금대장!$A$3:$AH$86,28,0)</f>
        <v>84010</v>
      </c>
      <c r="D180" s="36"/>
      <c r="E180" s="43"/>
      <c r="F180" s="258" t="s">
        <v>102</v>
      </c>
      <c r="G180" s="259"/>
      <c r="H180" s="169">
        <f>VLOOKUP($K164,임금대장!$A$3:$AH$86,30,0)</f>
        <v>21030</v>
      </c>
      <c r="I180" s="36"/>
      <c r="J180" s="37"/>
    </row>
    <row r="181" spans="1:11" ht="20.45" customHeight="1" x14ac:dyDescent="0.6">
      <c r="A181" s="252"/>
      <c r="B181" s="36" t="s">
        <v>31</v>
      </c>
      <c r="C181" s="35">
        <f>VLOOKUP($K164,임금대장!$A$3:$AH$86,29,0)</f>
        <v>11030</v>
      </c>
      <c r="D181" s="36"/>
      <c r="E181" s="43"/>
      <c r="F181" s="258" t="s">
        <v>328</v>
      </c>
      <c r="G181" s="259"/>
      <c r="H181" s="169">
        <f>VLOOKUP($K164,임금대장!$A$3:$AH$86,32,0)</f>
        <v>0</v>
      </c>
      <c r="I181" s="67" t="s">
        <v>103</v>
      </c>
      <c r="J181" s="47">
        <f>SUM(C177:H182)</f>
        <v>261150</v>
      </c>
    </row>
    <row r="182" spans="1:11" ht="20.45" customHeight="1" x14ac:dyDescent="0.6">
      <c r="A182" s="253"/>
      <c r="B182" s="40"/>
      <c r="C182" s="101"/>
      <c r="D182" s="40"/>
      <c r="E182" s="48"/>
      <c r="F182" s="260"/>
      <c r="G182" s="261"/>
      <c r="H182" s="170"/>
      <c r="I182" s="68" t="s">
        <v>104</v>
      </c>
      <c r="J182" s="49">
        <f>J176-J181</f>
        <v>2075946.7741935486</v>
      </c>
    </row>
    <row r="183" spans="1:11" ht="20.45" customHeight="1" x14ac:dyDescent="0.6">
      <c r="A183" s="50" t="s">
        <v>105</v>
      </c>
      <c r="J183" s="51" t="s">
        <v>0</v>
      </c>
    </row>
    <row r="184" spans="1:11" ht="20.45" customHeight="1" x14ac:dyDescent="0.6">
      <c r="A184" s="50"/>
      <c r="J184" s="51"/>
    </row>
    <row r="185" spans="1:11" ht="20.45" customHeight="1" x14ac:dyDescent="0.6">
      <c r="A185" s="264" t="s">
        <v>399</v>
      </c>
      <c r="B185" s="264"/>
      <c r="C185" s="264"/>
      <c r="D185" s="264"/>
      <c r="E185" s="264"/>
      <c r="F185" s="264"/>
      <c r="G185" s="264"/>
      <c r="H185" s="264"/>
      <c r="I185" s="264"/>
      <c r="J185" s="264"/>
    </row>
    <row r="186" spans="1:11" ht="20.45" customHeight="1" x14ac:dyDescent="0.6">
      <c r="A186" s="286" t="s">
        <v>83</v>
      </c>
      <c r="B186" s="286"/>
      <c r="C186" s="286"/>
      <c r="D186" s="286" t="s">
        <v>84</v>
      </c>
      <c r="E186" s="286"/>
      <c r="F186" s="265" t="s">
        <v>85</v>
      </c>
      <c r="G186" s="250"/>
      <c r="H186" s="266"/>
      <c r="I186" s="286" t="s">
        <v>86</v>
      </c>
      <c r="J186" s="286"/>
    </row>
    <row r="187" spans="1:11" ht="20.45" customHeight="1" x14ac:dyDescent="0.6">
      <c r="A187" s="286">
        <f>VLOOKUP(K187,임금대장!$A$3:$AH$86,3,0)</f>
        <v>0</v>
      </c>
      <c r="B187" s="286"/>
      <c r="C187" s="286"/>
      <c r="D187" s="287" t="str">
        <f>VLOOKUP(K187,임금대장!$A$3:$AH$86,2,0)</f>
        <v>서헌규</v>
      </c>
      <c r="E187" s="287"/>
      <c r="F187" s="267">
        <f>임금대장!$O$3</f>
        <v>31</v>
      </c>
      <c r="G187" s="269"/>
      <c r="H187" s="268"/>
      <c r="I187" s="288">
        <f>VLOOKUP(K187,임금대장!$A$3:$AH$86,16,0)</f>
        <v>0</v>
      </c>
      <c r="J187" s="288"/>
      <c r="K187" s="30">
        <v>9</v>
      </c>
    </row>
    <row r="188" spans="1:11" ht="20.45" customHeight="1" x14ac:dyDescent="0.6">
      <c r="A188" s="286" t="s">
        <v>87</v>
      </c>
      <c r="B188" s="286"/>
      <c r="C188" s="286" t="s">
        <v>5</v>
      </c>
      <c r="D188" s="289">
        <f>VLOOKUP($K187,임금대장!$A$3:$AH$86,5,0)</f>
        <v>45502</v>
      </c>
      <c r="E188" s="289"/>
      <c r="F188" s="114" t="s">
        <v>88</v>
      </c>
      <c r="G188" s="292">
        <f>VLOOKUP(K187,임금대장!$A$3:$AH$86,15,0)</f>
        <v>31</v>
      </c>
      <c r="H188" s="293"/>
      <c r="I188" s="286" t="s">
        <v>89</v>
      </c>
      <c r="J188" s="290">
        <f>VLOOKUP(K187,임금대장!$A$3:$AH$86,17,0)</f>
        <v>0</v>
      </c>
    </row>
    <row r="189" spans="1:11" ht="20.45" customHeight="1" x14ac:dyDescent="0.6">
      <c r="A189" s="294">
        <f>VLOOKUP($K187,임금대장!$A$3:$AH$86,7,0)</f>
        <v>3400000</v>
      </c>
      <c r="B189" s="294"/>
      <c r="C189" s="286"/>
      <c r="D189" s="289"/>
      <c r="E189" s="289"/>
      <c r="F189" s="115" t="s">
        <v>90</v>
      </c>
      <c r="G189" s="284">
        <f>VLOOKUP(K187,임금대장!$A$3:$AH$86,16,0)</f>
        <v>0</v>
      </c>
      <c r="H189" s="285"/>
      <c r="I189" s="286"/>
      <c r="J189" s="290"/>
    </row>
    <row r="190" spans="1:11" ht="20.45" customHeight="1" x14ac:dyDescent="0.6">
      <c r="F190" s="250"/>
      <c r="G190" s="250"/>
    </row>
    <row r="191" spans="1:11" ht="20.45" customHeight="1" x14ac:dyDescent="0.6">
      <c r="A191" s="251" t="s">
        <v>91</v>
      </c>
      <c r="B191" s="69" t="s">
        <v>20</v>
      </c>
      <c r="C191" s="25">
        <f>VLOOKUP($K187,임금대장!$A$3:$AH$86,9,0)</f>
        <v>2441924</v>
      </c>
      <c r="D191" s="33"/>
      <c r="E191" s="69"/>
      <c r="F191" s="254"/>
      <c r="G191" s="255"/>
      <c r="H191" s="168"/>
      <c r="I191" s="33"/>
      <c r="J191" s="34"/>
    </row>
    <row r="192" spans="1:11" ht="20.45" customHeight="1" x14ac:dyDescent="0.6">
      <c r="A192" s="252"/>
      <c r="B192" s="67" t="s">
        <v>21</v>
      </c>
      <c r="C192" s="35">
        <f>VLOOKUP($K187,임금대장!$A$3:$AH$86,10,0)</f>
        <v>761787</v>
      </c>
      <c r="D192" s="36"/>
      <c r="E192" s="67"/>
      <c r="F192" s="256"/>
      <c r="G192" s="257"/>
      <c r="H192" s="169"/>
      <c r="I192" s="36"/>
      <c r="J192" s="37"/>
    </row>
    <row r="193" spans="1:13" ht="20.45" customHeight="1" x14ac:dyDescent="0.6">
      <c r="A193" s="252"/>
      <c r="B193" s="52" t="s">
        <v>92</v>
      </c>
      <c r="C193" s="35">
        <f>VLOOKUP($K187,임금대장!$A$3:$AH$86,11,0)</f>
        <v>102818</v>
      </c>
      <c r="D193" s="36"/>
      <c r="E193" s="67"/>
      <c r="F193" s="256"/>
      <c r="G193" s="257"/>
      <c r="H193" s="169"/>
      <c r="I193" s="36"/>
      <c r="J193" s="37"/>
      <c r="L193" s="38"/>
      <c r="M193" s="38"/>
    </row>
    <row r="194" spans="1:13" ht="20.45" customHeight="1" x14ac:dyDescent="0.6">
      <c r="A194" s="252"/>
      <c r="B194" s="67" t="s">
        <v>93</v>
      </c>
      <c r="C194" s="35">
        <f>VLOOKUP($K187,임금대장!$A$3:$AH$86,12,0)</f>
        <v>0</v>
      </c>
      <c r="D194" s="36"/>
      <c r="E194" s="67"/>
      <c r="F194" s="256"/>
      <c r="G194" s="257"/>
      <c r="H194" s="169"/>
      <c r="I194" s="36"/>
      <c r="J194" s="37"/>
    </row>
    <row r="195" spans="1:13" ht="20.45" customHeight="1" x14ac:dyDescent="0.6">
      <c r="A195" s="252"/>
      <c r="B195" s="67" t="s">
        <v>94</v>
      </c>
      <c r="C195" s="35">
        <f>VLOOKUP($K187,임금대장!$A$3:$AH$86,13,0)</f>
        <v>93471</v>
      </c>
      <c r="D195" s="36"/>
      <c r="E195" s="36"/>
      <c r="F195" s="258"/>
      <c r="G195" s="259"/>
      <c r="H195" s="169"/>
      <c r="I195" s="36"/>
      <c r="J195" s="37"/>
    </row>
    <row r="196" spans="1:13" ht="20.45" customHeight="1" x14ac:dyDescent="0.6">
      <c r="A196" s="252"/>
      <c r="B196" s="67" t="s">
        <v>24</v>
      </c>
      <c r="C196" s="102">
        <f>VLOOKUP($K187,임금대장!$A$3:$AH$86,14,0)</f>
        <v>164516.12903225806</v>
      </c>
      <c r="D196" s="36"/>
      <c r="E196" s="36"/>
      <c r="F196" s="258"/>
      <c r="G196" s="259"/>
      <c r="H196" s="169"/>
      <c r="I196" s="36"/>
      <c r="J196" s="37"/>
    </row>
    <row r="197" spans="1:13" ht="20.45" customHeight="1" x14ac:dyDescent="0.6">
      <c r="A197" s="252"/>
      <c r="B197" s="67"/>
      <c r="C197" s="35"/>
      <c r="D197" s="36"/>
      <c r="E197" s="36"/>
      <c r="F197" s="258"/>
      <c r="G197" s="259"/>
      <c r="H197" s="169"/>
      <c r="I197" s="36"/>
      <c r="J197" s="37"/>
    </row>
    <row r="198" spans="1:13" ht="20.45" customHeight="1" x14ac:dyDescent="0.6">
      <c r="A198" s="252"/>
      <c r="B198" s="67"/>
      <c r="C198" s="35"/>
      <c r="D198" s="36"/>
      <c r="E198" s="36"/>
      <c r="F198" s="258"/>
      <c r="G198" s="259"/>
      <c r="H198" s="169"/>
      <c r="I198" s="36"/>
      <c r="J198" s="37"/>
    </row>
    <row r="199" spans="1:13" ht="20.45" customHeight="1" x14ac:dyDescent="0.6">
      <c r="A199" s="253"/>
      <c r="B199" s="68"/>
      <c r="C199" s="39"/>
      <c r="D199" s="40"/>
      <c r="E199" s="40"/>
      <c r="F199" s="260"/>
      <c r="G199" s="261"/>
      <c r="H199" s="170"/>
      <c r="I199" s="68" t="s">
        <v>95</v>
      </c>
      <c r="J199" s="41">
        <f>SUM(C191:H197)</f>
        <v>3564516.1290322579</v>
      </c>
    </row>
    <row r="200" spans="1:13" ht="20.45" customHeight="1" x14ac:dyDescent="0.6">
      <c r="A200" s="251" t="s">
        <v>96</v>
      </c>
      <c r="B200" s="36" t="s">
        <v>97</v>
      </c>
      <c r="C200" s="35">
        <f>VLOOKUP($K187,임금대장!$A$3:$AH$86,25,0)</f>
        <v>132110</v>
      </c>
      <c r="D200" s="33"/>
      <c r="E200" s="42"/>
      <c r="F200" s="262" t="s">
        <v>14</v>
      </c>
      <c r="G200" s="263"/>
      <c r="H200" s="169">
        <f>VLOOKUP($K187,임금대장!$A$3:$AH$86,19,0)</f>
        <v>0</v>
      </c>
      <c r="I200" s="33"/>
      <c r="J200" s="34"/>
    </row>
    <row r="201" spans="1:13" ht="20.45" customHeight="1" x14ac:dyDescent="0.6">
      <c r="A201" s="252"/>
      <c r="B201" s="36" t="s">
        <v>98</v>
      </c>
      <c r="C201" s="35">
        <f>VLOOKUP($K187,임금대장!$A$3:$AH$86,26,0)</f>
        <v>13210</v>
      </c>
      <c r="D201" s="36"/>
      <c r="E201" s="43"/>
      <c r="F201" s="258" t="s">
        <v>12</v>
      </c>
      <c r="G201" s="259"/>
      <c r="H201" s="169">
        <f>VLOOKUP($K187,임금대장!$A$3:$AH$86,17,0)</f>
        <v>0</v>
      </c>
      <c r="I201" s="36"/>
      <c r="J201" s="37"/>
    </row>
    <row r="202" spans="1:13" ht="20.45" customHeight="1" x14ac:dyDescent="0.6">
      <c r="A202" s="252"/>
      <c r="B202" s="36" t="s">
        <v>99</v>
      </c>
      <c r="C202" s="35">
        <f>VLOOKUP($K187,임금대장!$A$3:$AH$86,27,0)</f>
        <v>160020</v>
      </c>
      <c r="D202" s="36"/>
      <c r="E202" s="44"/>
      <c r="F202" s="258" t="s">
        <v>100</v>
      </c>
      <c r="G202" s="259"/>
      <c r="H202" s="169">
        <f>VLOOKUP($K187,임금대장!$A$3:$AH$86,31,0)</f>
        <v>0</v>
      </c>
      <c r="I202" s="36"/>
      <c r="J202" s="37"/>
    </row>
    <row r="203" spans="1:13" ht="20.45" customHeight="1" x14ac:dyDescent="0.6">
      <c r="A203" s="252"/>
      <c r="B203" s="36" t="s">
        <v>101</v>
      </c>
      <c r="C203" s="35">
        <f>VLOOKUP($K187,임금대장!$A$3:$AH$86,28,0)</f>
        <v>128140</v>
      </c>
      <c r="D203" s="36"/>
      <c r="E203" s="43"/>
      <c r="F203" s="258" t="s">
        <v>102</v>
      </c>
      <c r="G203" s="259"/>
      <c r="H203" s="169">
        <f>VLOOKUP($K187,임금대장!$A$3:$AH$86,30,0)</f>
        <v>32080</v>
      </c>
      <c r="I203" s="36"/>
      <c r="J203" s="37"/>
    </row>
    <row r="204" spans="1:13" ht="20.45" customHeight="1" x14ac:dyDescent="0.6">
      <c r="A204" s="252"/>
      <c r="B204" s="36" t="s">
        <v>31</v>
      </c>
      <c r="C204" s="35">
        <f>VLOOKUP($K187,임금대장!$A$3:$AH$86,29,0)</f>
        <v>16830</v>
      </c>
      <c r="D204" s="36"/>
      <c r="E204" s="43"/>
      <c r="F204" s="258" t="s">
        <v>328</v>
      </c>
      <c r="G204" s="259"/>
      <c r="H204" s="169">
        <f>VLOOKUP($K187,임금대장!$A$3:$AH$86,32,0)</f>
        <v>0</v>
      </c>
      <c r="I204" s="67" t="s">
        <v>103</v>
      </c>
      <c r="J204" s="47">
        <f>SUM(C200:H205)</f>
        <v>482390</v>
      </c>
    </row>
    <row r="205" spans="1:13" ht="20.45" customHeight="1" x14ac:dyDescent="0.6">
      <c r="A205" s="253"/>
      <c r="B205" s="40"/>
      <c r="C205" s="101"/>
      <c r="D205" s="40"/>
      <c r="E205" s="48"/>
      <c r="F205" s="260"/>
      <c r="G205" s="261"/>
      <c r="H205" s="170"/>
      <c r="I205" s="68" t="s">
        <v>104</v>
      </c>
      <c r="J205" s="49">
        <f>J199-J204</f>
        <v>3082126.1290322579</v>
      </c>
    </row>
    <row r="206" spans="1:13" ht="20.45" customHeight="1" x14ac:dyDescent="0.6">
      <c r="A206" s="50" t="s">
        <v>105</v>
      </c>
      <c r="J206" s="51" t="s">
        <v>0</v>
      </c>
    </row>
    <row r="207" spans="1:13" ht="20.45" customHeight="1" x14ac:dyDescent="0.6">
      <c r="A207" s="50"/>
      <c r="J207" s="51"/>
    </row>
    <row r="208" spans="1:13" ht="20.45" customHeight="1" x14ac:dyDescent="0.6">
      <c r="A208" s="264" t="s">
        <v>399</v>
      </c>
      <c r="B208" s="264"/>
      <c r="C208" s="264"/>
      <c r="D208" s="264"/>
      <c r="E208" s="264"/>
      <c r="F208" s="264"/>
      <c r="G208" s="264"/>
      <c r="H208" s="264"/>
      <c r="I208" s="264"/>
      <c r="J208" s="264"/>
    </row>
    <row r="209" spans="1:13" ht="20.45" customHeight="1" x14ac:dyDescent="0.6">
      <c r="A209" s="286" t="s">
        <v>83</v>
      </c>
      <c r="B209" s="286"/>
      <c r="C209" s="286"/>
      <c r="D209" s="286" t="s">
        <v>84</v>
      </c>
      <c r="E209" s="286"/>
      <c r="F209" s="265" t="s">
        <v>85</v>
      </c>
      <c r="G209" s="250"/>
      <c r="H209" s="266"/>
      <c r="I209" s="286" t="s">
        <v>86</v>
      </c>
      <c r="J209" s="286"/>
    </row>
    <row r="210" spans="1:13" ht="20.45" customHeight="1" x14ac:dyDescent="0.6">
      <c r="A210" s="286" t="str">
        <f>VLOOKUP(K210,임금대장!$A$3:$AH$86,3,0)</f>
        <v>샐러드</v>
      </c>
      <c r="B210" s="286"/>
      <c r="C210" s="286"/>
      <c r="D210" s="287" t="str">
        <f>VLOOKUP(K210,임금대장!$A$3:$AH$86,2,0)</f>
        <v>김선월</v>
      </c>
      <c r="E210" s="287"/>
      <c r="F210" s="267">
        <f>임금대장!$O$3</f>
        <v>31</v>
      </c>
      <c r="G210" s="269"/>
      <c r="H210" s="268"/>
      <c r="I210" s="288">
        <f>VLOOKUP(K210,임금대장!$A$3:$AH$86,16,0)</f>
        <v>0</v>
      </c>
      <c r="J210" s="288"/>
      <c r="K210" s="30">
        <v>10</v>
      </c>
    </row>
    <row r="211" spans="1:13" ht="20.45" customHeight="1" x14ac:dyDescent="0.6">
      <c r="A211" s="286" t="s">
        <v>87</v>
      </c>
      <c r="B211" s="286"/>
      <c r="C211" s="286" t="s">
        <v>5</v>
      </c>
      <c r="D211" s="289">
        <f>VLOOKUP($K210,임금대장!$A$3:$AH$86,5,0)</f>
        <v>45610</v>
      </c>
      <c r="E211" s="289"/>
      <c r="F211" s="114" t="s">
        <v>88</v>
      </c>
      <c r="G211" s="292">
        <f>VLOOKUP(K210,임금대장!$A$3:$AH$86,15,0)</f>
        <v>31</v>
      </c>
      <c r="H211" s="293"/>
      <c r="I211" s="286" t="s">
        <v>89</v>
      </c>
      <c r="J211" s="290">
        <f>VLOOKUP(K210,임금대장!$A$3:$AH$86,17,0)</f>
        <v>0</v>
      </c>
    </row>
    <row r="212" spans="1:13" ht="20.45" customHeight="1" x14ac:dyDescent="0.6">
      <c r="A212" s="294">
        <f>VLOOKUP($K210,임금대장!$A$3:$AH$86,7,0)</f>
        <v>3300000</v>
      </c>
      <c r="B212" s="294"/>
      <c r="C212" s="286"/>
      <c r="D212" s="289"/>
      <c r="E212" s="289"/>
      <c r="F212" s="115" t="s">
        <v>90</v>
      </c>
      <c r="G212" s="284">
        <f>VLOOKUP(K210,임금대장!$A$3:$AH$86,16,0)</f>
        <v>0</v>
      </c>
      <c r="H212" s="285"/>
      <c r="I212" s="286"/>
      <c r="J212" s="290"/>
    </row>
    <row r="213" spans="1:13" ht="20.45" customHeight="1" x14ac:dyDescent="0.6">
      <c r="F213" s="250"/>
      <c r="G213" s="250"/>
    </row>
    <row r="214" spans="1:13" ht="20.45" customHeight="1" x14ac:dyDescent="0.6">
      <c r="A214" s="251" t="s">
        <v>91</v>
      </c>
      <c r="B214" s="69" t="s">
        <v>20</v>
      </c>
      <c r="C214" s="25">
        <f>VLOOKUP($K210,임금대장!$A$3:$AH$86,9,0)</f>
        <v>2370103</v>
      </c>
      <c r="D214" s="33"/>
      <c r="E214" s="69"/>
      <c r="F214" s="254"/>
      <c r="G214" s="255"/>
      <c r="H214" s="168"/>
      <c r="I214" s="33"/>
      <c r="J214" s="34"/>
    </row>
    <row r="215" spans="1:13" ht="20.45" customHeight="1" x14ac:dyDescent="0.6">
      <c r="A215" s="252"/>
      <c r="B215" s="67" t="s">
        <v>21</v>
      </c>
      <c r="C215" s="35">
        <f>VLOOKUP($K210,임금대장!$A$3:$AH$86,10,0)</f>
        <v>739381</v>
      </c>
      <c r="D215" s="36"/>
      <c r="E215" s="67"/>
      <c r="F215" s="256"/>
      <c r="G215" s="257"/>
      <c r="H215" s="169"/>
      <c r="I215" s="36"/>
      <c r="J215" s="37"/>
    </row>
    <row r="216" spans="1:13" ht="20.45" customHeight="1" x14ac:dyDescent="0.6">
      <c r="A216" s="252"/>
      <c r="B216" s="52" t="s">
        <v>92</v>
      </c>
      <c r="C216" s="35">
        <f>VLOOKUP($K210,임금대장!$A$3:$AH$86,11,0)</f>
        <v>99794</v>
      </c>
      <c r="D216" s="36"/>
      <c r="E216" s="67"/>
      <c r="F216" s="256"/>
      <c r="G216" s="257"/>
      <c r="H216" s="169"/>
      <c r="I216" s="36"/>
      <c r="J216" s="37"/>
      <c r="L216" s="38"/>
      <c r="M216" s="38"/>
    </row>
    <row r="217" spans="1:13" ht="20.45" customHeight="1" x14ac:dyDescent="0.6">
      <c r="A217" s="252"/>
      <c r="B217" s="67" t="s">
        <v>93</v>
      </c>
      <c r="C217" s="35">
        <f>VLOOKUP($K210,임금대장!$A$3:$AH$86,12,0)</f>
        <v>0</v>
      </c>
      <c r="D217" s="36"/>
      <c r="E217" s="67"/>
      <c r="F217" s="256"/>
      <c r="G217" s="257"/>
      <c r="H217" s="169"/>
      <c r="I217" s="36"/>
      <c r="J217" s="37"/>
    </row>
    <row r="218" spans="1:13" ht="20.45" customHeight="1" x14ac:dyDescent="0.6">
      <c r="A218" s="252"/>
      <c r="B218" s="67" t="s">
        <v>94</v>
      </c>
      <c r="C218" s="35">
        <f>VLOOKUP($K210,임금대장!$A$3:$AH$86,13,0)</f>
        <v>90722</v>
      </c>
      <c r="D218" s="36"/>
      <c r="E218" s="36"/>
      <c r="F218" s="258"/>
      <c r="G218" s="259"/>
      <c r="H218" s="169"/>
      <c r="I218" s="36"/>
      <c r="J218" s="37"/>
    </row>
    <row r="219" spans="1:13" ht="20.45" customHeight="1" x14ac:dyDescent="0.6">
      <c r="A219" s="252"/>
      <c r="B219" s="67" t="s">
        <v>24</v>
      </c>
      <c r="C219" s="102">
        <f>VLOOKUP($K210,임금대장!$A$3:$AH$86,14,0)</f>
        <v>53225.806451612902</v>
      </c>
      <c r="D219" s="36"/>
      <c r="E219" s="36"/>
      <c r="F219" s="258"/>
      <c r="G219" s="259"/>
      <c r="H219" s="169"/>
      <c r="I219" s="36"/>
      <c r="J219" s="37"/>
    </row>
    <row r="220" spans="1:13" ht="20.45" customHeight="1" x14ac:dyDescent="0.6">
      <c r="A220" s="252"/>
      <c r="B220" s="67"/>
      <c r="C220" s="35"/>
      <c r="D220" s="36"/>
      <c r="E220" s="36"/>
      <c r="F220" s="258"/>
      <c r="G220" s="259"/>
      <c r="H220" s="169"/>
      <c r="I220" s="36"/>
      <c r="J220" s="37"/>
    </row>
    <row r="221" spans="1:13" ht="20.45" customHeight="1" x14ac:dyDescent="0.6">
      <c r="A221" s="252"/>
      <c r="B221" s="67"/>
      <c r="C221" s="35"/>
      <c r="D221" s="36"/>
      <c r="E221" s="36"/>
      <c r="F221" s="258"/>
      <c r="G221" s="259"/>
      <c r="H221" s="169"/>
      <c r="I221" s="36"/>
      <c r="J221" s="37"/>
    </row>
    <row r="222" spans="1:13" ht="20.45" customHeight="1" x14ac:dyDescent="0.6">
      <c r="A222" s="253"/>
      <c r="B222" s="68"/>
      <c r="C222" s="39"/>
      <c r="D222" s="40"/>
      <c r="E222" s="40"/>
      <c r="F222" s="260"/>
      <c r="G222" s="261"/>
      <c r="H222" s="170"/>
      <c r="I222" s="68" t="s">
        <v>95</v>
      </c>
      <c r="J222" s="41">
        <f>SUM(C214:H220)</f>
        <v>3353225.8064516131</v>
      </c>
    </row>
    <row r="223" spans="1:13" ht="20.45" customHeight="1" x14ac:dyDescent="0.6">
      <c r="A223" s="251" t="s">
        <v>96</v>
      </c>
      <c r="B223" s="36" t="s">
        <v>97</v>
      </c>
      <c r="C223" s="35">
        <f>VLOOKUP($K210,임금대장!$A$3:$AH$86,25,0)</f>
        <v>105210</v>
      </c>
      <c r="D223" s="33"/>
      <c r="E223" s="42"/>
      <c r="F223" s="262" t="s">
        <v>14</v>
      </c>
      <c r="G223" s="263"/>
      <c r="H223" s="169">
        <f>VLOOKUP($K210,임금대장!$A$3:$AH$86,19,0)</f>
        <v>0</v>
      </c>
      <c r="I223" s="33"/>
      <c r="J223" s="34"/>
    </row>
    <row r="224" spans="1:13" ht="20.45" customHeight="1" x14ac:dyDescent="0.6">
      <c r="A224" s="252"/>
      <c r="B224" s="36" t="s">
        <v>98</v>
      </c>
      <c r="C224" s="35">
        <f>VLOOKUP($K210,임금대장!$A$3:$AH$86,26,0)</f>
        <v>10520</v>
      </c>
      <c r="D224" s="36"/>
      <c r="E224" s="43"/>
      <c r="F224" s="258" t="s">
        <v>12</v>
      </c>
      <c r="G224" s="259"/>
      <c r="H224" s="169">
        <f>VLOOKUP($K210,임금대장!$A$3:$AH$86,17,0)</f>
        <v>0</v>
      </c>
      <c r="I224" s="36"/>
      <c r="J224" s="37"/>
    </row>
    <row r="225" spans="1:13" ht="20.45" customHeight="1" x14ac:dyDescent="0.6">
      <c r="A225" s="252"/>
      <c r="B225" s="36" t="s">
        <v>99</v>
      </c>
      <c r="C225" s="35">
        <f>VLOOKUP($K210,임금대장!$A$3:$AH$86,27,0)</f>
        <v>0</v>
      </c>
      <c r="D225" s="36"/>
      <c r="E225" s="44"/>
      <c r="F225" s="258" t="s">
        <v>100</v>
      </c>
      <c r="G225" s="259"/>
      <c r="H225" s="169">
        <f>VLOOKUP($K210,임금대장!$A$3:$AH$86,31,0)</f>
        <v>0</v>
      </c>
      <c r="I225" s="36"/>
      <c r="J225" s="37"/>
    </row>
    <row r="226" spans="1:13" ht="20.45" customHeight="1" x14ac:dyDescent="0.6">
      <c r="A226" s="252"/>
      <c r="B226" s="36" t="s">
        <v>101</v>
      </c>
      <c r="C226" s="35">
        <f>VLOOKUP($K210,임금대장!$A$3:$AH$86,28,0)</f>
        <v>120540</v>
      </c>
      <c r="D226" s="36"/>
      <c r="E226" s="43"/>
      <c r="F226" s="258" t="s">
        <v>102</v>
      </c>
      <c r="G226" s="259"/>
      <c r="H226" s="169">
        <f>VLOOKUP($K210,임금대장!$A$3:$AH$86,30,0)</f>
        <v>0</v>
      </c>
      <c r="I226" s="36"/>
      <c r="J226" s="37"/>
    </row>
    <row r="227" spans="1:13" ht="20.45" customHeight="1" x14ac:dyDescent="0.6">
      <c r="A227" s="252"/>
      <c r="B227" s="36" t="s">
        <v>31</v>
      </c>
      <c r="C227" s="35">
        <f>VLOOKUP($K210,임금대장!$A$3:$AH$86,29,0)</f>
        <v>15830</v>
      </c>
      <c r="D227" s="36"/>
      <c r="E227" s="43"/>
      <c r="F227" s="258" t="s">
        <v>328</v>
      </c>
      <c r="G227" s="259"/>
      <c r="H227" s="169">
        <f>VLOOKUP($K210,임금대장!$A$3:$AH$86,32,0)</f>
        <v>0</v>
      </c>
      <c r="I227" s="67" t="s">
        <v>103</v>
      </c>
      <c r="J227" s="47">
        <f>SUM(C223:H228)</f>
        <v>252100</v>
      </c>
    </row>
    <row r="228" spans="1:13" ht="20.45" customHeight="1" x14ac:dyDescent="0.6">
      <c r="A228" s="253"/>
      <c r="B228" s="40"/>
      <c r="C228" s="101"/>
      <c r="D228" s="40"/>
      <c r="E228" s="48"/>
      <c r="F228" s="260"/>
      <c r="G228" s="261"/>
      <c r="H228" s="170"/>
      <c r="I228" s="68" t="s">
        <v>104</v>
      </c>
      <c r="J228" s="49">
        <f>J222-J227</f>
        <v>3101125.8064516131</v>
      </c>
    </row>
    <row r="229" spans="1:13" ht="20.45" customHeight="1" x14ac:dyDescent="0.6">
      <c r="A229" s="50" t="s">
        <v>105</v>
      </c>
      <c r="J229" s="51" t="s">
        <v>0</v>
      </c>
    </row>
    <row r="230" spans="1:13" ht="20.45" customHeight="1" x14ac:dyDescent="0.6">
      <c r="A230" s="50"/>
      <c r="J230" s="51"/>
    </row>
    <row r="231" spans="1:13" ht="20.45" customHeight="1" x14ac:dyDescent="0.6">
      <c r="A231" s="264" t="s">
        <v>399</v>
      </c>
      <c r="B231" s="264"/>
      <c r="C231" s="264"/>
      <c r="D231" s="264"/>
      <c r="E231" s="264"/>
      <c r="F231" s="264"/>
      <c r="G231" s="264"/>
      <c r="H231" s="264"/>
      <c r="I231" s="264"/>
      <c r="J231" s="264"/>
    </row>
    <row r="232" spans="1:13" ht="20.45" customHeight="1" x14ac:dyDescent="0.6">
      <c r="A232" s="286" t="s">
        <v>83</v>
      </c>
      <c r="B232" s="286"/>
      <c r="C232" s="286"/>
      <c r="D232" s="286" t="s">
        <v>84</v>
      </c>
      <c r="E232" s="286"/>
      <c r="F232" s="265" t="s">
        <v>85</v>
      </c>
      <c r="G232" s="250"/>
      <c r="H232" s="266"/>
      <c r="I232" s="286" t="s">
        <v>86</v>
      </c>
      <c r="J232" s="286"/>
    </row>
    <row r="233" spans="1:13" ht="20.45" customHeight="1" x14ac:dyDescent="0.6">
      <c r="A233" s="286">
        <f>VLOOKUP(K233,임금대장!$A$3:$AH$86,3,0)</f>
        <v>0</v>
      </c>
      <c r="B233" s="286"/>
      <c r="C233" s="286"/>
      <c r="D233" s="287" t="str">
        <f>VLOOKUP(K233,임금대장!$A$3:$AH$86,2,0)</f>
        <v>유용복</v>
      </c>
      <c r="E233" s="287"/>
      <c r="F233" s="267">
        <f>임금대장!$O$3</f>
        <v>31</v>
      </c>
      <c r="G233" s="269"/>
      <c r="H233" s="268"/>
      <c r="I233" s="288">
        <f>VLOOKUP(K233,임금대장!$A$3:$AH$86,16,0)</f>
        <v>0</v>
      </c>
      <c r="J233" s="288"/>
      <c r="K233" s="30">
        <v>11</v>
      </c>
    </row>
    <row r="234" spans="1:13" ht="20.45" customHeight="1" x14ac:dyDescent="0.6">
      <c r="A234" s="286" t="s">
        <v>87</v>
      </c>
      <c r="B234" s="286"/>
      <c r="C234" s="286" t="s">
        <v>5</v>
      </c>
      <c r="D234" s="289">
        <f>VLOOKUP($K233,임금대장!$A$3:$AH$86,5,0)</f>
        <v>45649</v>
      </c>
      <c r="E234" s="289"/>
      <c r="F234" s="114" t="s">
        <v>88</v>
      </c>
      <c r="G234" s="292">
        <f>VLOOKUP(K233,임금대장!$A$3:$AH$86,15,0)</f>
        <v>31</v>
      </c>
      <c r="H234" s="293"/>
      <c r="I234" s="286" t="s">
        <v>89</v>
      </c>
      <c r="J234" s="290">
        <f>VLOOKUP(K233,임금대장!$A$3:$AH$86,17,0)</f>
        <v>0</v>
      </c>
    </row>
    <row r="235" spans="1:13" ht="20.45" customHeight="1" x14ac:dyDescent="0.6">
      <c r="A235" s="294">
        <f>VLOOKUP($K233,임금대장!$A$3:$AH$86,7,0)</f>
        <v>3400000</v>
      </c>
      <c r="B235" s="294"/>
      <c r="C235" s="286"/>
      <c r="D235" s="289"/>
      <c r="E235" s="289"/>
      <c r="F235" s="115" t="s">
        <v>90</v>
      </c>
      <c r="G235" s="284">
        <f>VLOOKUP(K233,임금대장!$A$3:$AH$86,16,0)</f>
        <v>0</v>
      </c>
      <c r="H235" s="285"/>
      <c r="I235" s="286"/>
      <c r="J235" s="290"/>
    </row>
    <row r="236" spans="1:13" ht="20.45" customHeight="1" x14ac:dyDescent="0.6">
      <c r="F236" s="250"/>
      <c r="G236" s="250"/>
    </row>
    <row r="237" spans="1:13" ht="20.45" customHeight="1" x14ac:dyDescent="0.6">
      <c r="A237" s="251" t="s">
        <v>91</v>
      </c>
      <c r="B237" s="69" t="s">
        <v>20</v>
      </c>
      <c r="C237" s="25">
        <f>VLOOKUP($K233,임금대장!$A$3:$AH$86,9,0)</f>
        <v>2441925</v>
      </c>
      <c r="D237" s="33"/>
      <c r="E237" s="69"/>
      <c r="F237" s="254"/>
      <c r="G237" s="255"/>
      <c r="H237" s="168"/>
      <c r="I237" s="33"/>
      <c r="J237" s="34"/>
    </row>
    <row r="238" spans="1:13" ht="20.45" customHeight="1" x14ac:dyDescent="0.6">
      <c r="A238" s="252"/>
      <c r="B238" s="67" t="s">
        <v>21</v>
      </c>
      <c r="C238" s="35">
        <f>VLOOKUP($K233,임금대장!$A$3:$AH$86,10,0)</f>
        <v>761786</v>
      </c>
      <c r="D238" s="36"/>
      <c r="E238" s="67"/>
      <c r="F238" s="256"/>
      <c r="G238" s="257"/>
      <c r="H238" s="169"/>
      <c r="I238" s="36"/>
      <c r="J238" s="37"/>
    </row>
    <row r="239" spans="1:13" ht="20.45" customHeight="1" x14ac:dyDescent="0.6">
      <c r="A239" s="252"/>
      <c r="B239" s="52" t="s">
        <v>92</v>
      </c>
      <c r="C239" s="35">
        <f>VLOOKUP($K233,임금대장!$A$3:$AH$86,11,0)</f>
        <v>102818</v>
      </c>
      <c r="D239" s="36"/>
      <c r="E239" s="67"/>
      <c r="F239" s="256"/>
      <c r="G239" s="257"/>
      <c r="H239" s="169"/>
      <c r="I239" s="36"/>
      <c r="J239" s="37"/>
      <c r="L239" s="38"/>
      <c r="M239" s="38"/>
    </row>
    <row r="240" spans="1:13" ht="20.45" customHeight="1" x14ac:dyDescent="0.6">
      <c r="A240" s="252"/>
      <c r="B240" s="67" t="s">
        <v>93</v>
      </c>
      <c r="C240" s="35">
        <f>VLOOKUP($K233,임금대장!$A$3:$AH$86,12,0)</f>
        <v>0</v>
      </c>
      <c r="D240" s="36"/>
      <c r="E240" s="67"/>
      <c r="F240" s="256"/>
      <c r="G240" s="257"/>
      <c r="H240" s="169"/>
      <c r="I240" s="36"/>
      <c r="J240" s="37"/>
    </row>
    <row r="241" spans="1:11" ht="20.45" customHeight="1" x14ac:dyDescent="0.6">
      <c r="A241" s="252"/>
      <c r="B241" s="67" t="s">
        <v>94</v>
      </c>
      <c r="C241" s="35">
        <f>VLOOKUP($K233,임금대장!$A$3:$AH$86,13,0)</f>
        <v>93471</v>
      </c>
      <c r="D241" s="36"/>
      <c r="E241" s="36"/>
      <c r="F241" s="258"/>
      <c r="G241" s="259"/>
      <c r="H241" s="169"/>
      <c r="I241" s="36"/>
      <c r="J241" s="37"/>
    </row>
    <row r="242" spans="1:11" ht="20.45" customHeight="1" x14ac:dyDescent="0.6">
      <c r="A242" s="252"/>
      <c r="B242" s="67" t="s">
        <v>24</v>
      </c>
      <c r="C242" s="102">
        <f>VLOOKUP($K233,임금대장!$A$3:$AH$86,14,0)</f>
        <v>54838.709677419356</v>
      </c>
      <c r="D242" s="36"/>
      <c r="E242" s="36"/>
      <c r="F242" s="258"/>
      <c r="G242" s="259"/>
      <c r="H242" s="169"/>
      <c r="I242" s="36"/>
      <c r="J242" s="37"/>
    </row>
    <row r="243" spans="1:11" ht="20.45" customHeight="1" x14ac:dyDescent="0.6">
      <c r="A243" s="252"/>
      <c r="B243" s="67"/>
      <c r="C243" s="35"/>
      <c r="D243" s="36"/>
      <c r="E243" s="36"/>
      <c r="F243" s="258"/>
      <c r="G243" s="259"/>
      <c r="H243" s="169"/>
      <c r="I243" s="36"/>
      <c r="J243" s="37"/>
    </row>
    <row r="244" spans="1:11" ht="20.45" customHeight="1" x14ac:dyDescent="0.6">
      <c r="A244" s="252"/>
      <c r="B244" s="67"/>
      <c r="C244" s="35"/>
      <c r="D244" s="36"/>
      <c r="E244" s="36"/>
      <c r="F244" s="258"/>
      <c r="G244" s="259"/>
      <c r="H244" s="169"/>
      <c r="I244" s="36"/>
      <c r="J244" s="37"/>
    </row>
    <row r="245" spans="1:11" ht="20.45" customHeight="1" x14ac:dyDescent="0.6">
      <c r="A245" s="253"/>
      <c r="B245" s="68"/>
      <c r="C245" s="39"/>
      <c r="D245" s="40"/>
      <c r="E245" s="40"/>
      <c r="F245" s="260"/>
      <c r="G245" s="261"/>
      <c r="H245" s="170"/>
      <c r="I245" s="68" t="s">
        <v>95</v>
      </c>
      <c r="J245" s="41">
        <f>SUM(C237:H243)</f>
        <v>3454838.7096774192</v>
      </c>
    </row>
    <row r="246" spans="1:11" ht="20.45" customHeight="1" x14ac:dyDescent="0.6">
      <c r="A246" s="251" t="s">
        <v>96</v>
      </c>
      <c r="B246" s="36" t="s">
        <v>97</v>
      </c>
      <c r="C246" s="35">
        <f>VLOOKUP($K233,임금대장!$A$3:$AH$86,25,0)</f>
        <v>117440</v>
      </c>
      <c r="D246" s="33"/>
      <c r="E246" s="42"/>
      <c r="F246" s="262" t="s">
        <v>14</v>
      </c>
      <c r="G246" s="263"/>
      <c r="H246" s="169">
        <f>VLOOKUP($K233,임금대장!$A$3:$AH$86,19,0)</f>
        <v>0</v>
      </c>
      <c r="I246" s="33"/>
      <c r="J246" s="34"/>
    </row>
    <row r="247" spans="1:11" ht="20.45" customHeight="1" x14ac:dyDescent="0.6">
      <c r="A247" s="252"/>
      <c r="B247" s="36" t="s">
        <v>98</v>
      </c>
      <c r="C247" s="35">
        <f>VLOOKUP($K233,임금대장!$A$3:$AH$86,26,0)</f>
        <v>11740</v>
      </c>
      <c r="D247" s="36"/>
      <c r="E247" s="43"/>
      <c r="F247" s="258" t="s">
        <v>12</v>
      </c>
      <c r="G247" s="259"/>
      <c r="H247" s="169">
        <f>VLOOKUP($K233,임금대장!$A$3:$AH$86,17,0)</f>
        <v>0</v>
      </c>
      <c r="I247" s="36"/>
      <c r="J247" s="37"/>
    </row>
    <row r="248" spans="1:11" ht="20.45" customHeight="1" x14ac:dyDescent="0.6">
      <c r="A248" s="252"/>
      <c r="B248" s="36" t="s">
        <v>99</v>
      </c>
      <c r="C248" s="35">
        <f>VLOOKUP($K233,임금대장!$A$3:$AH$86,27,0)</f>
        <v>85500</v>
      </c>
      <c r="D248" s="36"/>
      <c r="E248" s="44"/>
      <c r="F248" s="258" t="s">
        <v>100</v>
      </c>
      <c r="G248" s="259"/>
      <c r="H248" s="169">
        <f>VLOOKUP($K233,임금대장!$A$3:$AH$86,31,0)</f>
        <v>0</v>
      </c>
      <c r="I248" s="36"/>
      <c r="J248" s="37"/>
    </row>
    <row r="249" spans="1:11" ht="20.45" customHeight="1" x14ac:dyDescent="0.6">
      <c r="A249" s="252"/>
      <c r="B249" s="36" t="s">
        <v>101</v>
      </c>
      <c r="C249" s="35">
        <f>VLOOKUP($K233,임금대장!$A$3:$AH$86,28,0)</f>
        <v>124200</v>
      </c>
      <c r="D249" s="36"/>
      <c r="E249" s="43"/>
      <c r="F249" s="258" t="s">
        <v>102</v>
      </c>
      <c r="G249" s="259"/>
      <c r="H249" s="169">
        <f>VLOOKUP($K233,임금대장!$A$3:$AH$86,30,0)</f>
        <v>31090</v>
      </c>
      <c r="I249" s="36"/>
      <c r="J249" s="37"/>
    </row>
    <row r="250" spans="1:11" ht="20.45" customHeight="1" x14ac:dyDescent="0.6">
      <c r="A250" s="252"/>
      <c r="B250" s="36" t="s">
        <v>31</v>
      </c>
      <c r="C250" s="35">
        <f>VLOOKUP($K233,임금대장!$A$3:$AH$86,29,0)</f>
        <v>16310</v>
      </c>
      <c r="D250" s="36"/>
      <c r="E250" s="43"/>
      <c r="F250" s="258" t="s">
        <v>328</v>
      </c>
      <c r="G250" s="259"/>
      <c r="H250" s="169">
        <f>VLOOKUP($K233,임금대장!$A$3:$AH$86,32,0)</f>
        <v>0</v>
      </c>
      <c r="I250" s="67" t="s">
        <v>103</v>
      </c>
      <c r="J250" s="47">
        <f>SUM(C246:H251)</f>
        <v>386280</v>
      </c>
    </row>
    <row r="251" spans="1:11" ht="20.45" customHeight="1" x14ac:dyDescent="0.6">
      <c r="A251" s="253"/>
      <c r="B251" s="40"/>
      <c r="C251" s="101"/>
      <c r="D251" s="40"/>
      <c r="E251" s="48"/>
      <c r="F251" s="260"/>
      <c r="G251" s="261"/>
      <c r="H251" s="170"/>
      <c r="I251" s="68" t="s">
        <v>104</v>
      </c>
      <c r="J251" s="49">
        <f>J245-J250</f>
        <v>3068558.7096774192</v>
      </c>
    </row>
    <row r="252" spans="1:11" ht="20.45" customHeight="1" x14ac:dyDescent="0.6">
      <c r="A252" s="50" t="s">
        <v>105</v>
      </c>
      <c r="J252" s="51" t="s">
        <v>0</v>
      </c>
    </row>
    <row r="253" spans="1:11" ht="20.45" customHeight="1" x14ac:dyDescent="0.6">
      <c r="A253" s="50"/>
      <c r="J253" s="51"/>
    </row>
    <row r="254" spans="1:11" ht="20.45" customHeight="1" x14ac:dyDescent="0.6">
      <c r="A254" s="264" t="s">
        <v>399</v>
      </c>
      <c r="B254" s="264"/>
      <c r="C254" s="264"/>
      <c r="D254" s="264"/>
      <c r="E254" s="264"/>
      <c r="F254" s="264"/>
      <c r="G254" s="264"/>
      <c r="H254" s="264"/>
      <c r="I254" s="264"/>
      <c r="J254" s="264"/>
    </row>
    <row r="255" spans="1:11" ht="20.45" customHeight="1" x14ac:dyDescent="0.6">
      <c r="A255" s="286" t="s">
        <v>83</v>
      </c>
      <c r="B255" s="286"/>
      <c r="C255" s="286"/>
      <c r="D255" s="286" t="s">
        <v>84</v>
      </c>
      <c r="E255" s="286"/>
      <c r="F255" s="265" t="s">
        <v>85</v>
      </c>
      <c r="G255" s="250"/>
      <c r="H255" s="266"/>
      <c r="I255" s="286" t="s">
        <v>86</v>
      </c>
      <c r="J255" s="286"/>
    </row>
    <row r="256" spans="1:11" ht="20.45" customHeight="1" x14ac:dyDescent="0.6">
      <c r="A256" s="286" t="str">
        <f>VLOOKUP(K256,임금대장!$A$3:$AH$86,3,0)</f>
        <v>롤</v>
      </c>
      <c r="B256" s="286"/>
      <c r="C256" s="286"/>
      <c r="D256" s="287" t="str">
        <f>VLOOKUP(K256,임금대장!$A$3:$AH$86,2,0)</f>
        <v>안동화</v>
      </c>
      <c r="E256" s="287"/>
      <c r="F256" s="267">
        <f>임금대장!$O$3</f>
        <v>31</v>
      </c>
      <c r="G256" s="269"/>
      <c r="H256" s="268"/>
      <c r="I256" s="288">
        <f>VLOOKUP(K256,임금대장!$A$3:$AH$86,16,0)</f>
        <v>0</v>
      </c>
      <c r="J256" s="288"/>
      <c r="K256" s="30">
        <v>12</v>
      </c>
    </row>
    <row r="257" spans="1:13" ht="20.45" customHeight="1" x14ac:dyDescent="0.6">
      <c r="A257" s="286" t="s">
        <v>87</v>
      </c>
      <c r="B257" s="286"/>
      <c r="C257" s="286" t="s">
        <v>5</v>
      </c>
      <c r="D257" s="289">
        <f>VLOOKUP($K256,임금대장!$A$3:$AH$86,5,0)</f>
        <v>45682</v>
      </c>
      <c r="E257" s="289"/>
      <c r="F257" s="114" t="s">
        <v>88</v>
      </c>
      <c r="G257" s="292">
        <f>VLOOKUP(K256,임금대장!$A$3:$AH$86,15,0)</f>
        <v>31</v>
      </c>
      <c r="H257" s="293"/>
      <c r="I257" s="286" t="s">
        <v>89</v>
      </c>
      <c r="J257" s="290">
        <f>VLOOKUP(K256,임금대장!$A$3:$AH$86,17,0)</f>
        <v>0</v>
      </c>
    </row>
    <row r="258" spans="1:13" ht="20.45" customHeight="1" x14ac:dyDescent="0.6">
      <c r="A258" s="294">
        <f>VLOOKUP($K256,임금대장!$A$3:$AH$86,7,0)</f>
        <v>3400000</v>
      </c>
      <c r="B258" s="294"/>
      <c r="C258" s="286"/>
      <c r="D258" s="289"/>
      <c r="E258" s="289"/>
      <c r="F258" s="115" t="s">
        <v>90</v>
      </c>
      <c r="G258" s="284">
        <f>VLOOKUP(K256,임금대장!$A$3:$AH$86,16,0)</f>
        <v>0</v>
      </c>
      <c r="H258" s="285"/>
      <c r="I258" s="286"/>
      <c r="J258" s="290"/>
    </row>
    <row r="259" spans="1:13" ht="20.45" customHeight="1" x14ac:dyDescent="0.6">
      <c r="F259" s="250"/>
      <c r="G259" s="250"/>
    </row>
    <row r="260" spans="1:13" ht="20.45" customHeight="1" x14ac:dyDescent="0.6">
      <c r="A260" s="251" t="s">
        <v>91</v>
      </c>
      <c r="B260" s="69" t="s">
        <v>20</v>
      </c>
      <c r="C260" s="25">
        <f>VLOOKUP($K256,임금대장!$A$3:$AH$86,9,0)</f>
        <v>2441925</v>
      </c>
      <c r="D260" s="33"/>
      <c r="E260" s="69"/>
      <c r="F260" s="254"/>
      <c r="G260" s="255"/>
      <c r="H260" s="168"/>
      <c r="I260" s="33"/>
      <c r="J260" s="34"/>
    </row>
    <row r="261" spans="1:13" ht="20.45" customHeight="1" x14ac:dyDescent="0.6">
      <c r="A261" s="252"/>
      <c r="B261" s="67" t="s">
        <v>21</v>
      </c>
      <c r="C261" s="35">
        <f>VLOOKUP($K256,임금대장!$A$3:$AH$86,10,0)</f>
        <v>761786</v>
      </c>
      <c r="D261" s="36"/>
      <c r="E261" s="67"/>
      <c r="F261" s="256"/>
      <c r="G261" s="257"/>
      <c r="H261" s="169"/>
      <c r="I261" s="36"/>
      <c r="J261" s="37"/>
    </row>
    <row r="262" spans="1:13" ht="20.45" customHeight="1" x14ac:dyDescent="0.6">
      <c r="A262" s="252"/>
      <c r="B262" s="52" t="s">
        <v>92</v>
      </c>
      <c r="C262" s="35">
        <f>VLOOKUP($K256,임금대장!$A$3:$AH$86,11,0)</f>
        <v>102818</v>
      </c>
      <c r="D262" s="36"/>
      <c r="E262" s="67"/>
      <c r="F262" s="256"/>
      <c r="G262" s="257"/>
      <c r="H262" s="169"/>
      <c r="I262" s="36"/>
      <c r="J262" s="37"/>
      <c r="L262" s="38"/>
      <c r="M262" s="38"/>
    </row>
    <row r="263" spans="1:13" ht="20.45" customHeight="1" x14ac:dyDescent="0.6">
      <c r="A263" s="252"/>
      <c r="B263" s="67" t="s">
        <v>93</v>
      </c>
      <c r="C263" s="35">
        <f>VLOOKUP($K256,임금대장!$A$3:$AH$86,12,0)</f>
        <v>0</v>
      </c>
      <c r="D263" s="36"/>
      <c r="E263" s="67"/>
      <c r="F263" s="256"/>
      <c r="G263" s="257"/>
      <c r="H263" s="169"/>
      <c r="I263" s="36"/>
      <c r="J263" s="37"/>
    </row>
    <row r="264" spans="1:13" ht="20.45" customHeight="1" x14ac:dyDescent="0.6">
      <c r="A264" s="252"/>
      <c r="B264" s="67" t="s">
        <v>94</v>
      </c>
      <c r="C264" s="35">
        <f>VLOOKUP($K256,임금대장!$A$3:$AH$86,13,0)</f>
        <v>93471</v>
      </c>
      <c r="D264" s="36"/>
      <c r="E264" s="36"/>
      <c r="F264" s="258"/>
      <c r="G264" s="259"/>
      <c r="H264" s="169"/>
      <c r="I264" s="36"/>
      <c r="J264" s="37"/>
    </row>
    <row r="265" spans="1:13" ht="20.45" customHeight="1" x14ac:dyDescent="0.6">
      <c r="A265" s="252"/>
      <c r="B265" s="67" t="s">
        <v>24</v>
      </c>
      <c r="C265" s="102">
        <f>VLOOKUP($K256,임금대장!$A$3:$AH$86,14,0)</f>
        <v>54838.709677419356</v>
      </c>
      <c r="D265" s="36"/>
      <c r="E265" s="36"/>
      <c r="F265" s="258"/>
      <c r="G265" s="259"/>
      <c r="H265" s="169"/>
      <c r="I265" s="36"/>
      <c r="J265" s="37"/>
    </row>
    <row r="266" spans="1:13" ht="20.45" customHeight="1" x14ac:dyDescent="0.6">
      <c r="A266" s="252"/>
      <c r="B266" s="67"/>
      <c r="C266" s="35"/>
      <c r="D266" s="36"/>
      <c r="E266" s="36"/>
      <c r="F266" s="258"/>
      <c r="G266" s="259"/>
      <c r="H266" s="169"/>
      <c r="I266" s="36"/>
      <c r="J266" s="37"/>
    </row>
    <row r="267" spans="1:13" ht="20.45" customHeight="1" x14ac:dyDescent="0.6">
      <c r="A267" s="252"/>
      <c r="B267" s="67"/>
      <c r="C267" s="35"/>
      <c r="D267" s="36"/>
      <c r="E267" s="36"/>
      <c r="F267" s="258"/>
      <c r="G267" s="259"/>
      <c r="H267" s="169"/>
      <c r="I267" s="36"/>
      <c r="J267" s="37"/>
    </row>
    <row r="268" spans="1:13" ht="20.45" customHeight="1" x14ac:dyDescent="0.6">
      <c r="A268" s="253"/>
      <c r="B268" s="68"/>
      <c r="C268" s="39"/>
      <c r="D268" s="40"/>
      <c r="E268" s="40"/>
      <c r="F268" s="260"/>
      <c r="G268" s="261"/>
      <c r="H268" s="170"/>
      <c r="I268" s="68" t="s">
        <v>95</v>
      </c>
      <c r="J268" s="41">
        <f>SUM(C260:H266)</f>
        <v>3454838.7096774192</v>
      </c>
    </row>
    <row r="269" spans="1:13" ht="20.45" customHeight="1" x14ac:dyDescent="0.6">
      <c r="A269" s="251" t="s">
        <v>96</v>
      </c>
      <c r="B269" s="36" t="s">
        <v>97</v>
      </c>
      <c r="C269" s="35">
        <f>VLOOKUP($K256,임금대장!$A$3:$AH$86,25,0)</f>
        <v>117440</v>
      </c>
      <c r="D269" s="33"/>
      <c r="E269" s="42"/>
      <c r="F269" s="262" t="s">
        <v>14</v>
      </c>
      <c r="G269" s="263"/>
      <c r="H269" s="169">
        <f>VLOOKUP($K256,임금대장!$A$3:$AH$86,19,0)</f>
        <v>0</v>
      </c>
      <c r="I269" s="33"/>
      <c r="J269" s="34"/>
    </row>
    <row r="270" spans="1:13" ht="20.45" customHeight="1" x14ac:dyDescent="0.6">
      <c r="A270" s="252"/>
      <c r="B270" s="36" t="s">
        <v>98</v>
      </c>
      <c r="C270" s="35">
        <f>VLOOKUP($K256,임금대장!$A$3:$AH$86,26,0)</f>
        <v>11740</v>
      </c>
      <c r="D270" s="36"/>
      <c r="E270" s="43"/>
      <c r="F270" s="258" t="s">
        <v>12</v>
      </c>
      <c r="G270" s="259"/>
      <c r="H270" s="169">
        <f>VLOOKUP($K256,임금대장!$A$3:$AH$86,17,0)</f>
        <v>0</v>
      </c>
      <c r="I270" s="36"/>
      <c r="J270" s="37"/>
    </row>
    <row r="271" spans="1:13" ht="20.45" customHeight="1" x14ac:dyDescent="0.6">
      <c r="A271" s="252"/>
      <c r="B271" s="36" t="s">
        <v>99</v>
      </c>
      <c r="C271" s="35">
        <f>VLOOKUP($K256,임금대장!$A$3:$AH$86,27,0)</f>
        <v>85500</v>
      </c>
      <c r="D271" s="36"/>
      <c r="E271" s="44"/>
      <c r="F271" s="258" t="s">
        <v>100</v>
      </c>
      <c r="G271" s="259"/>
      <c r="H271" s="169">
        <f>VLOOKUP($K256,임금대장!$A$3:$AH$86,31,0)</f>
        <v>0</v>
      </c>
      <c r="I271" s="36"/>
      <c r="J271" s="37"/>
    </row>
    <row r="272" spans="1:13" ht="20.45" customHeight="1" x14ac:dyDescent="0.6">
      <c r="A272" s="252"/>
      <c r="B272" s="36" t="s">
        <v>101</v>
      </c>
      <c r="C272" s="35">
        <f>VLOOKUP($K256,임금대장!$A$3:$AH$86,28,0)</f>
        <v>124200</v>
      </c>
      <c r="D272" s="36"/>
      <c r="E272" s="43"/>
      <c r="F272" s="258" t="s">
        <v>102</v>
      </c>
      <c r="G272" s="259"/>
      <c r="H272" s="169">
        <f>VLOOKUP($K256,임금대장!$A$3:$AH$86,30,0)</f>
        <v>31090</v>
      </c>
      <c r="I272" s="36"/>
      <c r="J272" s="37"/>
    </row>
    <row r="273" spans="1:13" ht="20.45" customHeight="1" x14ac:dyDescent="0.6">
      <c r="A273" s="252"/>
      <c r="B273" s="36" t="s">
        <v>31</v>
      </c>
      <c r="C273" s="35">
        <f>VLOOKUP($K256,임금대장!$A$3:$AH$86,29,0)</f>
        <v>16310</v>
      </c>
      <c r="D273" s="36"/>
      <c r="E273" s="43"/>
      <c r="F273" s="258" t="s">
        <v>328</v>
      </c>
      <c r="G273" s="259"/>
      <c r="H273" s="169">
        <f>VLOOKUP($K256,임금대장!$A$3:$AH$86,32,0)</f>
        <v>0</v>
      </c>
      <c r="I273" s="67" t="s">
        <v>103</v>
      </c>
      <c r="J273" s="47">
        <f>SUM(C269:H274)</f>
        <v>386280</v>
      </c>
    </row>
    <row r="274" spans="1:13" ht="20.45" customHeight="1" x14ac:dyDescent="0.6">
      <c r="A274" s="253"/>
      <c r="B274" s="40"/>
      <c r="C274" s="101"/>
      <c r="D274" s="40"/>
      <c r="E274" s="48"/>
      <c r="F274" s="260"/>
      <c r="G274" s="261"/>
      <c r="H274" s="170"/>
      <c r="I274" s="68" t="s">
        <v>104</v>
      </c>
      <c r="J274" s="49">
        <f>J268-J273</f>
        <v>3068558.7096774192</v>
      </c>
    </row>
    <row r="275" spans="1:13" ht="20.45" customHeight="1" x14ac:dyDescent="0.6">
      <c r="A275" s="50" t="s">
        <v>105</v>
      </c>
      <c r="J275" s="51" t="s">
        <v>0</v>
      </c>
    </row>
    <row r="276" spans="1:13" ht="20.45" customHeight="1" x14ac:dyDescent="0.6">
      <c r="A276" s="50"/>
      <c r="J276" s="51"/>
    </row>
    <row r="277" spans="1:13" ht="20.45" customHeight="1" x14ac:dyDescent="0.6">
      <c r="A277" s="264" t="s">
        <v>399</v>
      </c>
      <c r="B277" s="264"/>
      <c r="C277" s="264"/>
      <c r="D277" s="264"/>
      <c r="E277" s="264"/>
      <c r="F277" s="264"/>
      <c r="G277" s="264"/>
      <c r="H277" s="264"/>
      <c r="I277" s="264"/>
      <c r="J277" s="264"/>
    </row>
    <row r="278" spans="1:13" ht="20.45" customHeight="1" x14ac:dyDescent="0.6">
      <c r="A278" s="286" t="s">
        <v>83</v>
      </c>
      <c r="B278" s="286"/>
      <c r="C278" s="286"/>
      <c r="D278" s="286" t="s">
        <v>84</v>
      </c>
      <c r="E278" s="286"/>
      <c r="F278" s="265" t="s">
        <v>85</v>
      </c>
      <c r="G278" s="250"/>
      <c r="H278" s="266"/>
      <c r="I278" s="286" t="s">
        <v>86</v>
      </c>
      <c r="J278" s="286"/>
    </row>
    <row r="279" spans="1:13" ht="20.45" customHeight="1" x14ac:dyDescent="0.6">
      <c r="A279" s="286" t="str">
        <f>VLOOKUP(K279,임금대장!$A$3:$AH$86,3,0)</f>
        <v>초다이</v>
      </c>
      <c r="B279" s="286"/>
      <c r="C279" s="286"/>
      <c r="D279" s="287" t="str">
        <f>VLOOKUP(K279,임금대장!$A$3:$AH$86,2,0)</f>
        <v>최장현</v>
      </c>
      <c r="E279" s="287"/>
      <c r="F279" s="267">
        <f>임금대장!$O$3</f>
        <v>31</v>
      </c>
      <c r="G279" s="269"/>
      <c r="H279" s="268"/>
      <c r="I279" s="288">
        <f>VLOOKUP(K279,임금대장!$A$3:$AH$86,16,0)</f>
        <v>0</v>
      </c>
      <c r="J279" s="288"/>
      <c r="K279" s="30">
        <v>13</v>
      </c>
    </row>
    <row r="280" spans="1:13" ht="20.45" customHeight="1" x14ac:dyDescent="0.6">
      <c r="A280" s="286" t="s">
        <v>87</v>
      </c>
      <c r="B280" s="286"/>
      <c r="C280" s="286" t="s">
        <v>5</v>
      </c>
      <c r="D280" s="289">
        <f>VLOOKUP($K279,임금대장!$A$3:$AH$86,5,0)</f>
        <v>45693</v>
      </c>
      <c r="E280" s="289"/>
      <c r="F280" s="114" t="s">
        <v>88</v>
      </c>
      <c r="G280" s="292">
        <f>VLOOKUP(K279,임금대장!$A$3:$AH$86,15,0)</f>
        <v>31</v>
      </c>
      <c r="H280" s="293"/>
      <c r="I280" s="286" t="s">
        <v>89</v>
      </c>
      <c r="J280" s="290">
        <f>VLOOKUP(K279,임금대장!$A$3:$AH$86,17,0)</f>
        <v>0</v>
      </c>
    </row>
    <row r="281" spans="1:13" ht="20.45" customHeight="1" x14ac:dyDescent="0.6">
      <c r="A281" s="294">
        <f>VLOOKUP($K279,임금대장!$A$3:$AH$86,7,0)</f>
        <v>3800000</v>
      </c>
      <c r="B281" s="294"/>
      <c r="C281" s="286"/>
      <c r="D281" s="289"/>
      <c r="E281" s="289"/>
      <c r="F281" s="115" t="s">
        <v>90</v>
      </c>
      <c r="G281" s="284">
        <f>VLOOKUP(K279,임금대장!$A$3:$AH$86,16,0)</f>
        <v>0</v>
      </c>
      <c r="H281" s="285"/>
      <c r="I281" s="286"/>
      <c r="J281" s="290"/>
    </row>
    <row r="282" spans="1:13" ht="20.45" customHeight="1" x14ac:dyDescent="0.6">
      <c r="F282" s="250"/>
      <c r="G282" s="250"/>
    </row>
    <row r="283" spans="1:13" ht="20.45" customHeight="1" x14ac:dyDescent="0.6">
      <c r="A283" s="251" t="s">
        <v>91</v>
      </c>
      <c r="B283" s="69" t="s">
        <v>20</v>
      </c>
      <c r="C283" s="25">
        <f>VLOOKUP($K279,임금대장!$A$3:$AH$86,9,0)</f>
        <v>2729210</v>
      </c>
      <c r="D283" s="33"/>
      <c r="E283" s="69"/>
      <c r="F283" s="254"/>
      <c r="G283" s="255"/>
      <c r="H283" s="168"/>
      <c r="I283" s="33"/>
      <c r="J283" s="34"/>
    </row>
    <row r="284" spans="1:13" ht="20.45" customHeight="1" x14ac:dyDescent="0.6">
      <c r="A284" s="252"/>
      <c r="B284" s="67" t="s">
        <v>21</v>
      </c>
      <c r="C284" s="35">
        <f>VLOOKUP($K279,임금대장!$A$3:$AH$86,10,0)</f>
        <v>851408</v>
      </c>
      <c r="D284" s="36"/>
      <c r="E284" s="67"/>
      <c r="F284" s="256"/>
      <c r="G284" s="257"/>
      <c r="H284" s="169"/>
      <c r="I284" s="36"/>
      <c r="J284" s="37"/>
    </row>
    <row r="285" spans="1:13" ht="20.45" customHeight="1" x14ac:dyDescent="0.6">
      <c r="A285" s="252"/>
      <c r="B285" s="52" t="s">
        <v>92</v>
      </c>
      <c r="C285" s="35">
        <f>VLOOKUP($K279,임금대장!$A$3:$AH$86,11,0)</f>
        <v>114915</v>
      </c>
      <c r="D285" s="36"/>
      <c r="E285" s="67"/>
      <c r="F285" s="256"/>
      <c r="G285" s="257"/>
      <c r="H285" s="169"/>
      <c r="I285" s="36"/>
      <c r="J285" s="37"/>
      <c r="L285" s="38"/>
      <c r="M285" s="38"/>
    </row>
    <row r="286" spans="1:13" ht="20.45" customHeight="1" x14ac:dyDescent="0.6">
      <c r="A286" s="252"/>
      <c r="B286" s="67" t="s">
        <v>93</v>
      </c>
      <c r="C286" s="35">
        <f>VLOOKUP($K279,임금대장!$A$3:$AH$86,12,0)</f>
        <v>0</v>
      </c>
      <c r="D286" s="36"/>
      <c r="E286" s="67"/>
      <c r="F286" s="256"/>
      <c r="G286" s="257"/>
      <c r="H286" s="169"/>
      <c r="I286" s="36"/>
      <c r="J286" s="37"/>
    </row>
    <row r="287" spans="1:13" ht="20.45" customHeight="1" x14ac:dyDescent="0.6">
      <c r="A287" s="252"/>
      <c r="B287" s="67" t="s">
        <v>94</v>
      </c>
      <c r="C287" s="35">
        <f>VLOOKUP($K279,임금대장!$A$3:$AH$86,13,0)</f>
        <v>104468</v>
      </c>
      <c r="D287" s="36"/>
      <c r="E287" s="36"/>
      <c r="F287" s="258"/>
      <c r="G287" s="259"/>
      <c r="H287" s="169"/>
      <c r="I287" s="36"/>
      <c r="J287" s="37"/>
    </row>
    <row r="288" spans="1:13" ht="20.45" customHeight="1" x14ac:dyDescent="0.6">
      <c r="A288" s="252"/>
      <c r="B288" s="67" t="s">
        <v>24</v>
      </c>
      <c r="C288" s="102">
        <f>VLOOKUP($K279,임금대장!$A$3:$AH$86,14,0)</f>
        <v>183870.96774193548</v>
      </c>
      <c r="D288" s="36"/>
      <c r="E288" s="36"/>
      <c r="F288" s="258"/>
      <c r="G288" s="259"/>
      <c r="H288" s="169"/>
      <c r="I288" s="36"/>
      <c r="J288" s="37"/>
    </row>
    <row r="289" spans="1:11" ht="20.45" customHeight="1" x14ac:dyDescent="0.6">
      <c r="A289" s="252"/>
      <c r="B289" s="67"/>
      <c r="C289" s="35"/>
      <c r="D289" s="36"/>
      <c r="E289" s="36"/>
      <c r="F289" s="258"/>
      <c r="G289" s="259"/>
      <c r="H289" s="169"/>
      <c r="I289" s="36"/>
      <c r="J289" s="37"/>
    </row>
    <row r="290" spans="1:11" ht="20.45" customHeight="1" x14ac:dyDescent="0.6">
      <c r="A290" s="252"/>
      <c r="B290" s="67"/>
      <c r="C290" s="35"/>
      <c r="D290" s="36"/>
      <c r="E290" s="36"/>
      <c r="F290" s="258"/>
      <c r="G290" s="259"/>
      <c r="H290" s="169"/>
      <c r="I290" s="36"/>
      <c r="J290" s="37"/>
    </row>
    <row r="291" spans="1:11" ht="20.45" customHeight="1" x14ac:dyDescent="0.6">
      <c r="A291" s="253"/>
      <c r="B291" s="68"/>
      <c r="C291" s="39"/>
      <c r="D291" s="40"/>
      <c r="E291" s="40"/>
      <c r="F291" s="260"/>
      <c r="G291" s="261"/>
      <c r="H291" s="170"/>
      <c r="I291" s="68" t="s">
        <v>95</v>
      </c>
      <c r="J291" s="41">
        <f>SUM(C283:H289)</f>
        <v>3983871.9677419355</v>
      </c>
    </row>
    <row r="292" spans="1:11" ht="20.45" customHeight="1" x14ac:dyDescent="0.6">
      <c r="A292" s="251" t="s">
        <v>96</v>
      </c>
      <c r="B292" s="36" t="s">
        <v>97</v>
      </c>
      <c r="C292" s="35">
        <f>VLOOKUP($K279,임금대장!$A$3:$AH$86,25,0)</f>
        <v>190620</v>
      </c>
      <c r="D292" s="33"/>
      <c r="E292" s="42"/>
      <c r="F292" s="262" t="s">
        <v>14</v>
      </c>
      <c r="G292" s="263"/>
      <c r="H292" s="169">
        <f>VLOOKUP($K279,임금대장!$A$3:$AH$86,19,0)</f>
        <v>0</v>
      </c>
      <c r="I292" s="33"/>
      <c r="J292" s="34"/>
    </row>
    <row r="293" spans="1:11" ht="20.45" customHeight="1" x14ac:dyDescent="0.6">
      <c r="A293" s="252"/>
      <c r="B293" s="36" t="s">
        <v>98</v>
      </c>
      <c r="C293" s="35">
        <f>VLOOKUP($K279,임금대장!$A$3:$AH$86,26,0)</f>
        <v>19060</v>
      </c>
      <c r="D293" s="36"/>
      <c r="E293" s="43"/>
      <c r="F293" s="258" t="s">
        <v>12</v>
      </c>
      <c r="G293" s="259"/>
      <c r="H293" s="169">
        <f>VLOOKUP($K279,임금대장!$A$3:$AH$86,17,0)</f>
        <v>0</v>
      </c>
      <c r="I293" s="36"/>
      <c r="J293" s="37"/>
    </row>
    <row r="294" spans="1:11" ht="20.45" customHeight="1" x14ac:dyDescent="0.6">
      <c r="A294" s="252"/>
      <c r="B294" s="36" t="s">
        <v>99</v>
      </c>
      <c r="C294" s="35">
        <f>VLOOKUP($K279,임금대장!$A$3:$AH$86,27,0)</f>
        <v>85500</v>
      </c>
      <c r="D294" s="36"/>
      <c r="E294" s="44"/>
      <c r="F294" s="258" t="s">
        <v>100</v>
      </c>
      <c r="G294" s="259"/>
      <c r="H294" s="169">
        <f>VLOOKUP($K279,임금대장!$A$3:$AH$86,31,0)</f>
        <v>0</v>
      </c>
      <c r="I294" s="36"/>
      <c r="J294" s="37"/>
    </row>
    <row r="295" spans="1:11" ht="20.45" customHeight="1" x14ac:dyDescent="0.6">
      <c r="A295" s="252"/>
      <c r="B295" s="36" t="s">
        <v>101</v>
      </c>
      <c r="C295" s="35">
        <f>VLOOKUP($K279,임금대장!$A$3:$AH$86,28,0)</f>
        <v>143220</v>
      </c>
      <c r="D295" s="36"/>
      <c r="E295" s="43"/>
      <c r="F295" s="258" t="s">
        <v>102</v>
      </c>
      <c r="G295" s="259"/>
      <c r="H295" s="169">
        <f>VLOOKUP($K279,임금대장!$A$3:$AH$86,30,0)</f>
        <v>35850</v>
      </c>
      <c r="I295" s="36"/>
      <c r="J295" s="37"/>
    </row>
    <row r="296" spans="1:11" ht="20.45" customHeight="1" x14ac:dyDescent="0.6">
      <c r="A296" s="252"/>
      <c r="B296" s="36" t="s">
        <v>31</v>
      </c>
      <c r="C296" s="35">
        <f>VLOOKUP($K279,임금대장!$A$3:$AH$86,29,0)</f>
        <v>18810</v>
      </c>
      <c r="D296" s="36"/>
      <c r="E296" s="43"/>
      <c r="F296" s="258" t="s">
        <v>328</v>
      </c>
      <c r="G296" s="259"/>
      <c r="H296" s="169">
        <f>VLOOKUP($K279,임금대장!$A$3:$AH$86,32,0)</f>
        <v>0</v>
      </c>
      <c r="I296" s="67" t="s">
        <v>103</v>
      </c>
      <c r="J296" s="47">
        <f>SUM(C292:H297)</f>
        <v>493060</v>
      </c>
    </row>
    <row r="297" spans="1:11" ht="20.45" customHeight="1" x14ac:dyDescent="0.6">
      <c r="A297" s="253"/>
      <c r="B297" s="40"/>
      <c r="C297" s="101"/>
      <c r="D297" s="40"/>
      <c r="E297" s="48"/>
      <c r="F297" s="260"/>
      <c r="G297" s="261"/>
      <c r="H297" s="170"/>
      <c r="I297" s="68" t="s">
        <v>104</v>
      </c>
      <c r="J297" s="49">
        <f>J291-J296</f>
        <v>3490811.9677419355</v>
      </c>
    </row>
    <row r="298" spans="1:11" ht="20.45" customHeight="1" x14ac:dyDescent="0.6">
      <c r="A298" s="50" t="s">
        <v>105</v>
      </c>
      <c r="J298" s="51" t="s">
        <v>0</v>
      </c>
    </row>
    <row r="299" spans="1:11" ht="20.45" customHeight="1" x14ac:dyDescent="0.6">
      <c r="A299" s="50"/>
      <c r="J299" s="51"/>
    </row>
    <row r="300" spans="1:11" ht="20.45" customHeight="1" x14ac:dyDescent="0.6">
      <c r="A300" s="264" t="s">
        <v>399</v>
      </c>
      <c r="B300" s="264"/>
      <c r="C300" s="264"/>
      <c r="D300" s="264"/>
      <c r="E300" s="264"/>
      <c r="F300" s="264"/>
      <c r="G300" s="264"/>
      <c r="H300" s="264"/>
      <c r="I300" s="264"/>
      <c r="J300" s="264"/>
    </row>
    <row r="301" spans="1:11" ht="20.45" customHeight="1" x14ac:dyDescent="0.6">
      <c r="A301" s="286" t="s">
        <v>83</v>
      </c>
      <c r="B301" s="286"/>
      <c r="C301" s="286"/>
      <c r="D301" s="286" t="s">
        <v>84</v>
      </c>
      <c r="E301" s="286"/>
      <c r="F301" s="265" t="s">
        <v>85</v>
      </c>
      <c r="G301" s="250"/>
      <c r="H301" s="266"/>
      <c r="I301" s="286" t="s">
        <v>86</v>
      </c>
      <c r="J301" s="286"/>
    </row>
    <row r="302" spans="1:11" ht="20.45" customHeight="1" x14ac:dyDescent="0.6">
      <c r="A302" s="286" t="str">
        <f>VLOOKUP(K302,임금대장!$A$3:$AH$86,3,0)</f>
        <v>홀</v>
      </c>
      <c r="B302" s="286"/>
      <c r="C302" s="286"/>
      <c r="D302" s="287" t="str">
        <f>VLOOKUP(K302,임금대장!$A$3:$AH$86,2,0)</f>
        <v>이준수</v>
      </c>
      <c r="E302" s="287"/>
      <c r="F302" s="267">
        <f>임금대장!$O$3</f>
        <v>31</v>
      </c>
      <c r="G302" s="269"/>
      <c r="H302" s="268"/>
      <c r="I302" s="288">
        <f>VLOOKUP(K302,임금대장!$A$3:$AH$86,16,0)</f>
        <v>0</v>
      </c>
      <c r="J302" s="288"/>
      <c r="K302" s="30">
        <v>14</v>
      </c>
    </row>
    <row r="303" spans="1:11" ht="20.45" customHeight="1" x14ac:dyDescent="0.6">
      <c r="A303" s="286" t="s">
        <v>87</v>
      </c>
      <c r="B303" s="286"/>
      <c r="C303" s="286" t="s">
        <v>5</v>
      </c>
      <c r="D303" s="289">
        <f>VLOOKUP($K302,임금대장!$A$3:$AH$86,5,0)</f>
        <v>45709</v>
      </c>
      <c r="E303" s="289"/>
      <c r="F303" s="114" t="s">
        <v>88</v>
      </c>
      <c r="G303" s="292">
        <f>VLOOKUP(K302,임금대장!$A$3:$AH$86,15,0)</f>
        <v>31</v>
      </c>
      <c r="H303" s="293"/>
      <c r="I303" s="286" t="s">
        <v>89</v>
      </c>
      <c r="J303" s="290">
        <f>VLOOKUP(K302,임금대장!$A$3:$AH$86,17,0)</f>
        <v>0</v>
      </c>
    </row>
    <row r="304" spans="1:11" ht="20.45" customHeight="1" x14ac:dyDescent="0.6">
      <c r="A304" s="294">
        <f>VLOOKUP($K302,임금대장!$A$3:$AH$86,7,0)</f>
        <v>3500000</v>
      </c>
      <c r="B304" s="294"/>
      <c r="C304" s="286"/>
      <c r="D304" s="289"/>
      <c r="E304" s="289"/>
      <c r="F304" s="115" t="s">
        <v>90</v>
      </c>
      <c r="G304" s="284">
        <f>VLOOKUP(K302,임금대장!$A$3:$AH$86,16,0)</f>
        <v>0</v>
      </c>
      <c r="H304" s="285"/>
      <c r="I304" s="286"/>
      <c r="J304" s="290"/>
    </row>
    <row r="305" spans="1:13" ht="20.45" customHeight="1" x14ac:dyDescent="0.6">
      <c r="F305" s="250"/>
      <c r="G305" s="250"/>
    </row>
    <row r="306" spans="1:13" ht="20.45" customHeight="1" x14ac:dyDescent="0.6">
      <c r="A306" s="251" t="s">
        <v>91</v>
      </c>
      <c r="B306" s="69" t="s">
        <v>20</v>
      </c>
      <c r="C306" s="25">
        <f>VLOOKUP($K302,임금대장!$A$3:$AH$86,9,0)</f>
        <v>2513745</v>
      </c>
      <c r="D306" s="33"/>
      <c r="E306" s="69"/>
      <c r="F306" s="254"/>
      <c r="G306" s="255"/>
      <c r="H306" s="168"/>
      <c r="I306" s="33"/>
      <c r="J306" s="34"/>
    </row>
    <row r="307" spans="1:13" ht="20.45" customHeight="1" x14ac:dyDescent="0.6">
      <c r="A307" s="252"/>
      <c r="B307" s="67" t="s">
        <v>21</v>
      </c>
      <c r="C307" s="35">
        <f>VLOOKUP($K302,임금대장!$A$3:$AH$86,10,0)</f>
        <v>784192</v>
      </c>
      <c r="D307" s="36"/>
      <c r="E307" s="67"/>
      <c r="F307" s="256"/>
      <c r="G307" s="257"/>
      <c r="H307" s="169"/>
      <c r="I307" s="36"/>
      <c r="J307" s="37"/>
    </row>
    <row r="308" spans="1:13" ht="20.45" customHeight="1" x14ac:dyDescent="0.6">
      <c r="A308" s="252"/>
      <c r="B308" s="52" t="s">
        <v>92</v>
      </c>
      <c r="C308" s="35">
        <f>VLOOKUP($K302,임금대장!$A$3:$AH$86,11,0)</f>
        <v>105842</v>
      </c>
      <c r="D308" s="36"/>
      <c r="E308" s="67"/>
      <c r="F308" s="256"/>
      <c r="G308" s="257"/>
      <c r="H308" s="169"/>
      <c r="I308" s="36"/>
      <c r="J308" s="37"/>
      <c r="L308" s="38"/>
      <c r="M308" s="38"/>
    </row>
    <row r="309" spans="1:13" ht="20.45" customHeight="1" x14ac:dyDescent="0.6">
      <c r="A309" s="252"/>
      <c r="B309" s="67" t="s">
        <v>93</v>
      </c>
      <c r="C309" s="35">
        <f>VLOOKUP($K302,임금대장!$A$3:$AH$86,12,0)</f>
        <v>0</v>
      </c>
      <c r="D309" s="36"/>
      <c r="E309" s="67"/>
      <c r="F309" s="256"/>
      <c r="G309" s="257"/>
      <c r="H309" s="169"/>
      <c r="I309" s="36"/>
      <c r="J309" s="37"/>
    </row>
    <row r="310" spans="1:13" ht="20.45" customHeight="1" x14ac:dyDescent="0.6">
      <c r="A310" s="252"/>
      <c r="B310" s="67" t="s">
        <v>94</v>
      </c>
      <c r="C310" s="35">
        <f>VLOOKUP($K302,임금대장!$A$3:$AH$86,13,0)</f>
        <v>96220</v>
      </c>
      <c r="D310" s="36"/>
      <c r="E310" s="36"/>
      <c r="F310" s="258"/>
      <c r="G310" s="259"/>
      <c r="H310" s="169"/>
      <c r="I310" s="36"/>
      <c r="J310" s="37"/>
    </row>
    <row r="311" spans="1:13" ht="20.45" customHeight="1" x14ac:dyDescent="0.6">
      <c r="A311" s="252"/>
      <c r="B311" s="67" t="s">
        <v>24</v>
      </c>
      <c r="C311" s="102">
        <f>VLOOKUP($K302,임금대장!$A$3:$AH$86,14,0)</f>
        <v>169354.83870967739</v>
      </c>
      <c r="D311" s="36"/>
      <c r="E311" s="36"/>
      <c r="F311" s="258"/>
      <c r="G311" s="259"/>
      <c r="H311" s="169"/>
      <c r="I311" s="36"/>
      <c r="J311" s="37"/>
    </row>
    <row r="312" spans="1:13" ht="20.45" customHeight="1" x14ac:dyDescent="0.6">
      <c r="A312" s="252"/>
      <c r="B312" s="67"/>
      <c r="C312" s="35"/>
      <c r="D312" s="36"/>
      <c r="E312" s="36"/>
      <c r="F312" s="258"/>
      <c r="G312" s="259"/>
      <c r="H312" s="169"/>
      <c r="I312" s="36"/>
      <c r="J312" s="37"/>
    </row>
    <row r="313" spans="1:13" ht="20.45" customHeight="1" x14ac:dyDescent="0.6">
      <c r="A313" s="252"/>
      <c r="B313" s="67"/>
      <c r="C313" s="35"/>
      <c r="D313" s="36"/>
      <c r="E313" s="36"/>
      <c r="F313" s="258"/>
      <c r="G313" s="259"/>
      <c r="H313" s="169"/>
      <c r="I313" s="36"/>
      <c r="J313" s="37"/>
    </row>
    <row r="314" spans="1:13" ht="20.45" customHeight="1" x14ac:dyDescent="0.6">
      <c r="A314" s="253"/>
      <c r="B314" s="68"/>
      <c r="C314" s="39"/>
      <c r="D314" s="40"/>
      <c r="E314" s="40"/>
      <c r="F314" s="260"/>
      <c r="G314" s="261"/>
      <c r="H314" s="170"/>
      <c r="I314" s="68" t="s">
        <v>95</v>
      </c>
      <c r="J314" s="41">
        <f>SUM(C306:H312)</f>
        <v>3669353.8387096776</v>
      </c>
    </row>
    <row r="315" spans="1:13" ht="20.45" customHeight="1" x14ac:dyDescent="0.6">
      <c r="A315" s="251" t="s">
        <v>96</v>
      </c>
      <c r="B315" s="36" t="s">
        <v>97</v>
      </c>
      <c r="C315" s="35">
        <f>VLOOKUP($K302,임금대장!$A$3:$AH$86,25,0)</f>
        <v>144330</v>
      </c>
      <c r="D315" s="33"/>
      <c r="E315" s="42"/>
      <c r="F315" s="262" t="s">
        <v>14</v>
      </c>
      <c r="G315" s="263"/>
      <c r="H315" s="169">
        <f>VLOOKUP($K302,임금대장!$A$3:$AH$86,19,0)</f>
        <v>0</v>
      </c>
      <c r="I315" s="33"/>
      <c r="J315" s="34"/>
    </row>
    <row r="316" spans="1:13" ht="20.45" customHeight="1" x14ac:dyDescent="0.6">
      <c r="A316" s="252"/>
      <c r="B316" s="36" t="s">
        <v>98</v>
      </c>
      <c r="C316" s="35">
        <f>VLOOKUP($K302,임금대장!$A$3:$AH$86,26,0)</f>
        <v>14430</v>
      </c>
      <c r="D316" s="36"/>
      <c r="E316" s="43"/>
      <c r="F316" s="258" t="s">
        <v>12</v>
      </c>
      <c r="G316" s="259"/>
      <c r="H316" s="169">
        <f>VLOOKUP($K302,임금대장!$A$3:$AH$86,17,0)</f>
        <v>0</v>
      </c>
      <c r="I316" s="36"/>
      <c r="J316" s="37"/>
    </row>
    <row r="317" spans="1:13" ht="20.45" customHeight="1" x14ac:dyDescent="0.6">
      <c r="A317" s="252"/>
      <c r="B317" s="36" t="s">
        <v>99</v>
      </c>
      <c r="C317" s="35">
        <f>VLOOKUP($K302,임금대장!$A$3:$AH$86,27,0)</f>
        <v>85500</v>
      </c>
      <c r="D317" s="36"/>
      <c r="E317" s="44"/>
      <c r="F317" s="258" t="s">
        <v>100</v>
      </c>
      <c r="G317" s="259"/>
      <c r="H317" s="169">
        <f>VLOOKUP($K302,임금대장!$A$3:$AH$86,31,0)</f>
        <v>0</v>
      </c>
      <c r="I317" s="36"/>
      <c r="J317" s="37"/>
    </row>
    <row r="318" spans="1:13" ht="20.45" customHeight="1" x14ac:dyDescent="0.6">
      <c r="A318" s="252"/>
      <c r="B318" s="36" t="s">
        <v>101</v>
      </c>
      <c r="C318" s="35">
        <f>VLOOKUP($K302,임금대장!$A$3:$AH$86,28,0)</f>
        <v>131910</v>
      </c>
      <c r="D318" s="36"/>
      <c r="E318" s="43"/>
      <c r="F318" s="258" t="s">
        <v>102</v>
      </c>
      <c r="G318" s="259"/>
      <c r="H318" s="169">
        <f>VLOOKUP($K302,임금대장!$A$3:$AH$86,30,0)</f>
        <v>33020</v>
      </c>
      <c r="I318" s="36"/>
      <c r="J318" s="37"/>
    </row>
    <row r="319" spans="1:13" ht="20.45" customHeight="1" x14ac:dyDescent="0.6">
      <c r="A319" s="252"/>
      <c r="B319" s="36" t="s">
        <v>31</v>
      </c>
      <c r="C319" s="35">
        <f>VLOOKUP($K302,임금대장!$A$3:$AH$86,29,0)</f>
        <v>17330</v>
      </c>
      <c r="D319" s="36"/>
      <c r="E319" s="43"/>
      <c r="F319" s="258" t="s">
        <v>328</v>
      </c>
      <c r="G319" s="259"/>
      <c r="H319" s="169">
        <f>VLOOKUP($K302,임금대장!$A$3:$AH$86,32,0)</f>
        <v>0</v>
      </c>
      <c r="I319" s="67" t="s">
        <v>103</v>
      </c>
      <c r="J319" s="47">
        <f>SUM(C315:H320)</f>
        <v>426520</v>
      </c>
    </row>
    <row r="320" spans="1:13" ht="20.45" customHeight="1" x14ac:dyDescent="0.6">
      <c r="A320" s="253"/>
      <c r="B320" s="40"/>
      <c r="C320" s="101"/>
      <c r="D320" s="40"/>
      <c r="E320" s="48"/>
      <c r="F320" s="260"/>
      <c r="G320" s="261"/>
      <c r="H320" s="170"/>
      <c r="I320" s="68" t="s">
        <v>104</v>
      </c>
      <c r="J320" s="49">
        <f>J314-J319</f>
        <v>3242833.8387096776</v>
      </c>
    </row>
    <row r="321" spans="1:13" ht="20.45" customHeight="1" x14ac:dyDescent="0.6">
      <c r="A321" s="50" t="s">
        <v>105</v>
      </c>
      <c r="J321" s="51" t="s">
        <v>0</v>
      </c>
    </row>
    <row r="322" spans="1:13" ht="20.45" customHeight="1" x14ac:dyDescent="0.6">
      <c r="A322" s="50"/>
      <c r="J322" s="51"/>
    </row>
    <row r="323" spans="1:13" ht="20.45" customHeight="1" x14ac:dyDescent="0.6">
      <c r="A323" s="264" t="s">
        <v>399</v>
      </c>
      <c r="B323" s="264"/>
      <c r="C323" s="264"/>
      <c r="D323" s="264"/>
      <c r="E323" s="264"/>
      <c r="F323" s="264"/>
      <c r="G323" s="264"/>
      <c r="H323" s="264"/>
      <c r="I323" s="264"/>
      <c r="J323" s="264"/>
    </row>
    <row r="324" spans="1:13" ht="20.45" customHeight="1" x14ac:dyDescent="0.6">
      <c r="A324" s="286" t="s">
        <v>83</v>
      </c>
      <c r="B324" s="286"/>
      <c r="C324" s="286"/>
      <c r="D324" s="286" t="s">
        <v>84</v>
      </c>
      <c r="E324" s="286"/>
      <c r="F324" s="265" t="s">
        <v>85</v>
      </c>
      <c r="G324" s="250"/>
      <c r="H324" s="266"/>
      <c r="I324" s="286" t="s">
        <v>86</v>
      </c>
      <c r="J324" s="286"/>
    </row>
    <row r="325" spans="1:13" ht="20.45" customHeight="1" x14ac:dyDescent="0.6">
      <c r="A325" s="286" t="str">
        <f>VLOOKUP(K325,임금대장!$A$3:$AH$86,3,0)</f>
        <v>롤</v>
      </c>
      <c r="B325" s="286"/>
      <c r="C325" s="286"/>
      <c r="D325" s="287" t="str">
        <f>VLOOKUP(K325,임금대장!$A$3:$AH$86,2,0)</f>
        <v>이부순</v>
      </c>
      <c r="E325" s="287"/>
      <c r="F325" s="267">
        <f>임금대장!$O$3</f>
        <v>31</v>
      </c>
      <c r="G325" s="269"/>
      <c r="H325" s="268"/>
      <c r="I325" s="288">
        <f>VLOOKUP(K325,임금대장!$A$3:$AH$86,16,0)</f>
        <v>0</v>
      </c>
      <c r="J325" s="288"/>
      <c r="K325" s="30">
        <v>15</v>
      </c>
    </row>
    <row r="326" spans="1:13" ht="20.45" customHeight="1" x14ac:dyDescent="0.6">
      <c r="A326" s="286" t="s">
        <v>87</v>
      </c>
      <c r="B326" s="286"/>
      <c r="C326" s="286" t="s">
        <v>5</v>
      </c>
      <c r="D326" s="289">
        <f>VLOOKUP($K325,임금대장!$A$3:$AH$86,5,0)</f>
        <v>45720</v>
      </c>
      <c r="E326" s="289"/>
      <c r="F326" s="114" t="s">
        <v>88</v>
      </c>
      <c r="G326" s="292">
        <f>VLOOKUP(K325,임금대장!$A$3:$AH$86,15,0)</f>
        <v>31</v>
      </c>
      <c r="H326" s="293"/>
      <c r="I326" s="286" t="s">
        <v>89</v>
      </c>
      <c r="J326" s="290">
        <f>VLOOKUP(K325,임금대장!$A$3:$AH$86,17,0)</f>
        <v>0</v>
      </c>
    </row>
    <row r="327" spans="1:13" ht="20.45" customHeight="1" x14ac:dyDescent="0.6">
      <c r="A327" s="294">
        <f>VLOOKUP($K325,임금대장!$A$3:$AH$86,7,0)</f>
        <v>3300000</v>
      </c>
      <c r="B327" s="294"/>
      <c r="C327" s="286"/>
      <c r="D327" s="289"/>
      <c r="E327" s="289"/>
      <c r="F327" s="115" t="s">
        <v>90</v>
      </c>
      <c r="G327" s="284">
        <f>VLOOKUP(K325,임금대장!$A$3:$AH$86,16,0)</f>
        <v>0</v>
      </c>
      <c r="H327" s="285"/>
      <c r="I327" s="286"/>
      <c r="J327" s="290"/>
    </row>
    <row r="328" spans="1:13" ht="20.45" customHeight="1" x14ac:dyDescent="0.6">
      <c r="F328" s="250"/>
      <c r="G328" s="250"/>
    </row>
    <row r="329" spans="1:13" ht="20.45" customHeight="1" x14ac:dyDescent="0.6">
      <c r="A329" s="251" t="s">
        <v>91</v>
      </c>
      <c r="B329" s="69" t="s">
        <v>20</v>
      </c>
      <c r="C329" s="25">
        <f>VLOOKUP($K325,임금대장!$A$3:$AH$86,9,0)</f>
        <v>2370103</v>
      </c>
      <c r="D329" s="33"/>
      <c r="E329" s="69"/>
      <c r="F329" s="254"/>
      <c r="G329" s="255"/>
      <c r="H329" s="168"/>
      <c r="I329" s="33"/>
      <c r="J329" s="34"/>
    </row>
    <row r="330" spans="1:13" ht="20.45" customHeight="1" x14ac:dyDescent="0.6">
      <c r="A330" s="252"/>
      <c r="B330" s="67" t="s">
        <v>21</v>
      </c>
      <c r="C330" s="35">
        <f>VLOOKUP($K325,임금대장!$A$3:$AH$86,10,0)</f>
        <v>739381</v>
      </c>
      <c r="D330" s="36"/>
      <c r="E330" s="67"/>
      <c r="F330" s="256"/>
      <c r="G330" s="257"/>
      <c r="H330" s="169"/>
      <c r="I330" s="36"/>
      <c r="J330" s="37"/>
    </row>
    <row r="331" spans="1:13" ht="20.45" customHeight="1" x14ac:dyDescent="0.6">
      <c r="A331" s="252"/>
      <c r="B331" s="52" t="s">
        <v>92</v>
      </c>
      <c r="C331" s="35">
        <f>VLOOKUP($K325,임금대장!$A$3:$AH$86,11,0)</f>
        <v>99794</v>
      </c>
      <c r="D331" s="36"/>
      <c r="E331" s="67"/>
      <c r="F331" s="256"/>
      <c r="G331" s="257"/>
      <c r="H331" s="169"/>
      <c r="I331" s="36"/>
      <c r="J331" s="37"/>
      <c r="L331" s="38"/>
      <c r="M331" s="38"/>
    </row>
    <row r="332" spans="1:13" ht="20.45" customHeight="1" x14ac:dyDescent="0.6">
      <c r="A332" s="252"/>
      <c r="B332" s="67" t="s">
        <v>93</v>
      </c>
      <c r="C332" s="35">
        <f>VLOOKUP($K325,임금대장!$A$3:$AH$86,12,0)</f>
        <v>0</v>
      </c>
      <c r="D332" s="36"/>
      <c r="E332" s="67"/>
      <c r="F332" s="256"/>
      <c r="G332" s="257"/>
      <c r="H332" s="169"/>
      <c r="I332" s="36"/>
      <c r="J332" s="37"/>
    </row>
    <row r="333" spans="1:13" ht="20.45" customHeight="1" x14ac:dyDescent="0.6">
      <c r="A333" s="252"/>
      <c r="B333" s="67" t="s">
        <v>94</v>
      </c>
      <c r="C333" s="35">
        <f>VLOOKUP($K325,임금대장!$A$3:$AH$86,13,0)</f>
        <v>90722</v>
      </c>
      <c r="D333" s="36"/>
      <c r="E333" s="36"/>
      <c r="F333" s="258"/>
      <c r="G333" s="259"/>
      <c r="H333" s="169"/>
      <c r="I333" s="36"/>
      <c r="J333" s="37"/>
    </row>
    <row r="334" spans="1:13" ht="20.45" customHeight="1" x14ac:dyDescent="0.6">
      <c r="A334" s="252"/>
      <c r="B334" s="67" t="s">
        <v>24</v>
      </c>
      <c r="C334" s="102">
        <f>VLOOKUP($K325,임금대장!$A$3:$AH$86,14,0)</f>
        <v>53225.806451612902</v>
      </c>
      <c r="D334" s="36"/>
      <c r="E334" s="36"/>
      <c r="F334" s="258"/>
      <c r="G334" s="259"/>
      <c r="H334" s="169"/>
      <c r="I334" s="36"/>
      <c r="J334" s="37"/>
    </row>
    <row r="335" spans="1:13" ht="20.45" customHeight="1" x14ac:dyDescent="0.6">
      <c r="A335" s="252"/>
      <c r="B335" s="67"/>
      <c r="C335" s="35"/>
      <c r="D335" s="36"/>
      <c r="E335" s="36"/>
      <c r="F335" s="258"/>
      <c r="G335" s="259"/>
      <c r="H335" s="169"/>
      <c r="I335" s="36"/>
      <c r="J335" s="37"/>
    </row>
    <row r="336" spans="1:13" ht="20.45" customHeight="1" x14ac:dyDescent="0.6">
      <c r="A336" s="252"/>
      <c r="B336" s="67"/>
      <c r="C336" s="35"/>
      <c r="D336" s="36"/>
      <c r="E336" s="36"/>
      <c r="F336" s="258"/>
      <c r="G336" s="259"/>
      <c r="H336" s="169"/>
      <c r="I336" s="36"/>
      <c r="J336" s="37"/>
    </row>
    <row r="337" spans="1:11" ht="20.45" customHeight="1" x14ac:dyDescent="0.6">
      <c r="A337" s="253"/>
      <c r="B337" s="68"/>
      <c r="C337" s="39"/>
      <c r="D337" s="40"/>
      <c r="E337" s="40"/>
      <c r="F337" s="260"/>
      <c r="G337" s="261"/>
      <c r="H337" s="170"/>
      <c r="I337" s="68" t="s">
        <v>95</v>
      </c>
      <c r="J337" s="41">
        <f>SUM(C329:H335)</f>
        <v>3353225.8064516131</v>
      </c>
    </row>
    <row r="338" spans="1:11" ht="20.45" customHeight="1" x14ac:dyDescent="0.6">
      <c r="A338" s="251" t="s">
        <v>96</v>
      </c>
      <c r="B338" s="36" t="s">
        <v>97</v>
      </c>
      <c r="C338" s="35">
        <f>VLOOKUP($K325,임금대장!$A$3:$AH$86,25,0)</f>
        <v>105210</v>
      </c>
      <c r="D338" s="33"/>
      <c r="E338" s="42"/>
      <c r="F338" s="262" t="s">
        <v>14</v>
      </c>
      <c r="G338" s="263"/>
      <c r="H338" s="169">
        <f>VLOOKUP($K325,임금대장!$A$3:$AH$86,19,0)</f>
        <v>0</v>
      </c>
      <c r="I338" s="33"/>
      <c r="J338" s="34"/>
    </row>
    <row r="339" spans="1:11" ht="20.45" customHeight="1" x14ac:dyDescent="0.6">
      <c r="A339" s="252"/>
      <c r="B339" s="36" t="s">
        <v>98</v>
      </c>
      <c r="C339" s="35">
        <f>VLOOKUP($K325,임금대장!$A$3:$AH$86,26,0)</f>
        <v>10520</v>
      </c>
      <c r="D339" s="36"/>
      <c r="E339" s="43"/>
      <c r="F339" s="258" t="s">
        <v>12</v>
      </c>
      <c r="G339" s="259"/>
      <c r="H339" s="169">
        <f>VLOOKUP($K325,임금대장!$A$3:$AH$86,17,0)</f>
        <v>0</v>
      </c>
      <c r="I339" s="36"/>
      <c r="J339" s="37"/>
    </row>
    <row r="340" spans="1:11" ht="20.45" customHeight="1" x14ac:dyDescent="0.6">
      <c r="A340" s="252"/>
      <c r="B340" s="36" t="s">
        <v>99</v>
      </c>
      <c r="C340" s="35">
        <f>VLOOKUP($K325,임금대장!$A$3:$AH$86,27,0)</f>
        <v>85500</v>
      </c>
      <c r="D340" s="36"/>
      <c r="E340" s="44"/>
      <c r="F340" s="258" t="s">
        <v>100</v>
      </c>
      <c r="G340" s="259"/>
      <c r="H340" s="169">
        <f>VLOOKUP($K325,임금대장!$A$3:$AH$86,31,0)</f>
        <v>0</v>
      </c>
      <c r="I340" s="36"/>
      <c r="J340" s="37"/>
    </row>
    <row r="341" spans="1:11" ht="20.45" customHeight="1" x14ac:dyDescent="0.6">
      <c r="A341" s="252"/>
      <c r="B341" s="36" t="s">
        <v>101</v>
      </c>
      <c r="C341" s="35">
        <f>VLOOKUP($K325,임금대장!$A$3:$AH$86,28,0)</f>
        <v>120540</v>
      </c>
      <c r="D341" s="36"/>
      <c r="E341" s="43"/>
      <c r="F341" s="258" t="s">
        <v>102</v>
      </c>
      <c r="G341" s="259"/>
      <c r="H341" s="169">
        <f>VLOOKUP($K325,임금대장!$A$3:$AH$86,30,0)</f>
        <v>30170</v>
      </c>
      <c r="I341" s="36"/>
      <c r="J341" s="37"/>
    </row>
    <row r="342" spans="1:11" ht="20.45" customHeight="1" x14ac:dyDescent="0.6">
      <c r="A342" s="252"/>
      <c r="B342" s="36" t="s">
        <v>31</v>
      </c>
      <c r="C342" s="35">
        <f>VLOOKUP($K325,임금대장!$A$3:$AH$86,29,0)</f>
        <v>15830</v>
      </c>
      <c r="D342" s="36"/>
      <c r="E342" s="43"/>
      <c r="F342" s="258" t="s">
        <v>328</v>
      </c>
      <c r="G342" s="259"/>
      <c r="H342" s="169">
        <f>VLOOKUP($K325,임금대장!$A$3:$AH$86,32,0)</f>
        <v>0</v>
      </c>
      <c r="I342" s="67" t="s">
        <v>103</v>
      </c>
      <c r="J342" s="47">
        <f>SUM(C338:H343)</f>
        <v>367770</v>
      </c>
    </row>
    <row r="343" spans="1:11" ht="20.45" customHeight="1" x14ac:dyDescent="0.6">
      <c r="A343" s="253"/>
      <c r="B343" s="40"/>
      <c r="C343" s="101"/>
      <c r="D343" s="40"/>
      <c r="E343" s="48"/>
      <c r="F343" s="260"/>
      <c r="G343" s="261"/>
      <c r="H343" s="170"/>
      <c r="I343" s="68" t="s">
        <v>104</v>
      </c>
      <c r="J343" s="49">
        <f>J337-J342</f>
        <v>2985455.8064516131</v>
      </c>
    </row>
    <row r="344" spans="1:11" ht="20.45" customHeight="1" x14ac:dyDescent="0.6">
      <c r="A344" s="50" t="s">
        <v>105</v>
      </c>
      <c r="J344" s="51" t="s">
        <v>0</v>
      </c>
    </row>
    <row r="345" spans="1:11" ht="20.45" customHeight="1" x14ac:dyDescent="0.6">
      <c r="A345" s="50"/>
      <c r="J345" s="51"/>
    </row>
    <row r="346" spans="1:11" ht="20.45" customHeight="1" x14ac:dyDescent="0.6">
      <c r="A346" s="264" t="s">
        <v>399</v>
      </c>
      <c r="B346" s="264"/>
      <c r="C346" s="264"/>
      <c r="D346" s="264"/>
      <c r="E346" s="264"/>
      <c r="F346" s="264"/>
      <c r="G346" s="264"/>
      <c r="H346" s="264"/>
      <c r="I346" s="264"/>
      <c r="J346" s="264"/>
    </row>
    <row r="347" spans="1:11" ht="20.45" customHeight="1" x14ac:dyDescent="0.6">
      <c r="A347" s="286" t="s">
        <v>83</v>
      </c>
      <c r="B347" s="286"/>
      <c r="C347" s="286"/>
      <c r="D347" s="286" t="s">
        <v>84</v>
      </c>
      <c r="E347" s="286"/>
      <c r="F347" s="265" t="s">
        <v>85</v>
      </c>
      <c r="G347" s="250"/>
      <c r="H347" s="266"/>
      <c r="I347" s="286" t="s">
        <v>86</v>
      </c>
      <c r="J347" s="286"/>
    </row>
    <row r="348" spans="1:11" ht="20.45" customHeight="1" x14ac:dyDescent="0.6">
      <c r="A348" s="286" t="str">
        <f>VLOOKUP(K348,임금대장!$A$3:$AH$86,3,0)</f>
        <v>핫/즉석</v>
      </c>
      <c r="B348" s="286"/>
      <c r="C348" s="286"/>
      <c r="D348" s="287" t="str">
        <f>VLOOKUP(K348,임금대장!$A$3:$AH$86,2,0)</f>
        <v>김예찬</v>
      </c>
      <c r="E348" s="287"/>
      <c r="F348" s="267">
        <f>임금대장!$O$3</f>
        <v>31</v>
      </c>
      <c r="G348" s="269"/>
      <c r="H348" s="268"/>
      <c r="I348" s="288">
        <f>VLOOKUP(K348,임금대장!$A$3:$AH$86,16,0)</f>
        <v>0</v>
      </c>
      <c r="J348" s="288"/>
      <c r="K348" s="30">
        <v>16</v>
      </c>
    </row>
    <row r="349" spans="1:11" ht="20.45" customHeight="1" x14ac:dyDescent="0.6">
      <c r="A349" s="286" t="s">
        <v>87</v>
      </c>
      <c r="B349" s="286"/>
      <c r="C349" s="286" t="s">
        <v>5</v>
      </c>
      <c r="D349" s="289">
        <f>VLOOKUP($K348,임금대장!$A$3:$AH$86,5,0)</f>
        <v>45771</v>
      </c>
      <c r="E349" s="289"/>
      <c r="F349" s="114" t="s">
        <v>88</v>
      </c>
      <c r="G349" s="292">
        <f>VLOOKUP(K348,임금대장!$A$3:$AH$86,15,0)</f>
        <v>31</v>
      </c>
      <c r="H349" s="293"/>
      <c r="I349" s="286" t="s">
        <v>89</v>
      </c>
      <c r="J349" s="290">
        <f>VLOOKUP(K348,임금대장!$A$3:$AH$86,17,0)</f>
        <v>0</v>
      </c>
    </row>
    <row r="350" spans="1:11" ht="20.45" customHeight="1" x14ac:dyDescent="0.6">
      <c r="A350" s="294">
        <f>VLOOKUP($K348,임금대장!$A$3:$AH$86,7,0)</f>
        <v>3400000</v>
      </c>
      <c r="B350" s="294"/>
      <c r="C350" s="286"/>
      <c r="D350" s="289"/>
      <c r="E350" s="289"/>
      <c r="F350" s="115" t="s">
        <v>90</v>
      </c>
      <c r="G350" s="284">
        <f>VLOOKUP(K348,임금대장!$A$3:$AH$86,16,0)</f>
        <v>0</v>
      </c>
      <c r="H350" s="285"/>
      <c r="I350" s="286"/>
      <c r="J350" s="290"/>
    </row>
    <row r="351" spans="1:11" ht="20.45" customHeight="1" x14ac:dyDescent="0.6">
      <c r="F351" s="250"/>
      <c r="G351" s="250"/>
    </row>
    <row r="352" spans="1:11" ht="20.45" customHeight="1" x14ac:dyDescent="0.6">
      <c r="A352" s="251" t="s">
        <v>91</v>
      </c>
      <c r="B352" s="69" t="s">
        <v>20</v>
      </c>
      <c r="C352" s="25">
        <f>VLOOKUP($K348,임금대장!$A$3:$AH$86,9,0)</f>
        <v>2441925</v>
      </c>
      <c r="D352" s="33"/>
      <c r="E352" s="69"/>
      <c r="F352" s="254"/>
      <c r="G352" s="255"/>
      <c r="H352" s="168"/>
      <c r="I352" s="33"/>
      <c r="J352" s="34"/>
    </row>
    <row r="353" spans="1:13" ht="20.45" customHeight="1" x14ac:dyDescent="0.6">
      <c r="A353" s="252"/>
      <c r="B353" s="67" t="s">
        <v>21</v>
      </c>
      <c r="C353" s="35">
        <f>VLOOKUP($K348,임금대장!$A$3:$AH$86,10,0)</f>
        <v>761786</v>
      </c>
      <c r="D353" s="36"/>
      <c r="E353" s="67"/>
      <c r="F353" s="256"/>
      <c r="G353" s="257"/>
      <c r="H353" s="169"/>
      <c r="I353" s="36"/>
      <c r="J353" s="37"/>
    </row>
    <row r="354" spans="1:13" ht="20.45" customHeight="1" x14ac:dyDescent="0.6">
      <c r="A354" s="252"/>
      <c r="B354" s="52" t="s">
        <v>92</v>
      </c>
      <c r="C354" s="35">
        <f>VLOOKUP($K348,임금대장!$A$3:$AH$86,11,0)</f>
        <v>102818</v>
      </c>
      <c r="D354" s="36"/>
      <c r="E354" s="67"/>
      <c r="F354" s="256"/>
      <c r="G354" s="257"/>
      <c r="H354" s="169"/>
      <c r="I354" s="36"/>
      <c r="J354" s="37"/>
      <c r="L354" s="38"/>
      <c r="M354" s="38"/>
    </row>
    <row r="355" spans="1:13" ht="20.45" customHeight="1" x14ac:dyDescent="0.6">
      <c r="A355" s="252"/>
      <c r="B355" s="67" t="s">
        <v>93</v>
      </c>
      <c r="C355" s="35">
        <f>VLOOKUP($K348,임금대장!$A$3:$AH$86,12,0)</f>
        <v>0</v>
      </c>
      <c r="D355" s="36"/>
      <c r="E355" s="67"/>
      <c r="F355" s="256"/>
      <c r="G355" s="257"/>
      <c r="H355" s="169"/>
      <c r="I355" s="36"/>
      <c r="J355" s="37"/>
    </row>
    <row r="356" spans="1:13" ht="20.45" customHeight="1" x14ac:dyDescent="0.6">
      <c r="A356" s="252"/>
      <c r="B356" s="67" t="s">
        <v>94</v>
      </c>
      <c r="C356" s="35">
        <f>VLOOKUP($K348,임금대장!$A$3:$AH$86,13,0)</f>
        <v>93471</v>
      </c>
      <c r="D356" s="36"/>
      <c r="E356" s="36"/>
      <c r="F356" s="258"/>
      <c r="G356" s="259"/>
      <c r="H356" s="169"/>
      <c r="I356" s="36"/>
      <c r="J356" s="37"/>
    </row>
    <row r="357" spans="1:13" ht="20.45" customHeight="1" x14ac:dyDescent="0.6">
      <c r="A357" s="252"/>
      <c r="B357" s="67" t="s">
        <v>24</v>
      </c>
      <c r="C357" s="102">
        <f>VLOOKUP($K348,임금대장!$A$3:$AH$86,14,0)</f>
        <v>164516.12903225806</v>
      </c>
      <c r="D357" s="36"/>
      <c r="E357" s="36"/>
      <c r="F357" s="258"/>
      <c r="G357" s="259"/>
      <c r="H357" s="169"/>
      <c r="I357" s="36"/>
      <c r="J357" s="37"/>
    </row>
    <row r="358" spans="1:13" ht="20.45" customHeight="1" x14ac:dyDescent="0.6">
      <c r="A358" s="252"/>
      <c r="B358" s="67"/>
      <c r="C358" s="35"/>
      <c r="D358" s="36"/>
      <c r="E358" s="36"/>
      <c r="F358" s="258"/>
      <c r="G358" s="259"/>
      <c r="H358" s="169"/>
      <c r="I358" s="36"/>
      <c r="J358" s="37"/>
    </row>
    <row r="359" spans="1:13" ht="20.45" customHeight="1" x14ac:dyDescent="0.6">
      <c r="A359" s="252"/>
      <c r="B359" s="67"/>
      <c r="C359" s="35"/>
      <c r="D359" s="36"/>
      <c r="E359" s="36"/>
      <c r="F359" s="258"/>
      <c r="G359" s="259"/>
      <c r="H359" s="169"/>
      <c r="I359" s="36"/>
      <c r="J359" s="37"/>
    </row>
    <row r="360" spans="1:13" ht="20.45" customHeight="1" x14ac:dyDescent="0.6">
      <c r="A360" s="253"/>
      <c r="B360" s="68"/>
      <c r="C360" s="39"/>
      <c r="D360" s="40"/>
      <c r="E360" s="40"/>
      <c r="F360" s="260"/>
      <c r="G360" s="261"/>
      <c r="H360" s="170"/>
      <c r="I360" s="68" t="s">
        <v>95</v>
      </c>
      <c r="J360" s="41">
        <f>SUM(C352:H358)</f>
        <v>3564516.1290322579</v>
      </c>
    </row>
    <row r="361" spans="1:13" ht="20.45" customHeight="1" x14ac:dyDescent="0.6">
      <c r="A361" s="251" t="s">
        <v>96</v>
      </c>
      <c r="B361" s="36" t="s">
        <v>97</v>
      </c>
      <c r="C361" s="35">
        <f>VLOOKUP($K348,임금대장!$A$3:$AH$86,25,0)</f>
        <v>132110</v>
      </c>
      <c r="D361" s="33"/>
      <c r="E361" s="42"/>
      <c r="F361" s="262" t="s">
        <v>14</v>
      </c>
      <c r="G361" s="263"/>
      <c r="H361" s="169">
        <f>VLOOKUP($K348,임금대장!$A$3:$AH$86,19,0)</f>
        <v>0</v>
      </c>
      <c r="I361" s="33"/>
      <c r="J361" s="34"/>
    </row>
    <row r="362" spans="1:13" ht="20.45" customHeight="1" x14ac:dyDescent="0.6">
      <c r="A362" s="252"/>
      <c r="B362" s="36" t="s">
        <v>98</v>
      </c>
      <c r="C362" s="35">
        <f>VLOOKUP($K348,임금대장!$A$3:$AH$86,26,0)</f>
        <v>13210</v>
      </c>
      <c r="D362" s="36"/>
      <c r="E362" s="43"/>
      <c r="F362" s="258" t="s">
        <v>12</v>
      </c>
      <c r="G362" s="259"/>
      <c r="H362" s="169">
        <f>VLOOKUP($K348,임금대장!$A$3:$AH$86,17,0)</f>
        <v>0</v>
      </c>
      <c r="I362" s="36"/>
      <c r="J362" s="37"/>
    </row>
    <row r="363" spans="1:13" ht="20.45" customHeight="1" x14ac:dyDescent="0.6">
      <c r="A363" s="252"/>
      <c r="B363" s="36" t="s">
        <v>99</v>
      </c>
      <c r="C363" s="35">
        <f>VLOOKUP($K348,임금대장!$A$3:$AH$86,27,0)</f>
        <v>85500</v>
      </c>
      <c r="D363" s="36"/>
      <c r="E363" s="44"/>
      <c r="F363" s="258" t="s">
        <v>100</v>
      </c>
      <c r="G363" s="259"/>
      <c r="H363" s="169">
        <f>VLOOKUP($K348,임금대장!$A$3:$AH$86,31,0)</f>
        <v>0</v>
      </c>
      <c r="I363" s="36"/>
      <c r="J363" s="37"/>
    </row>
    <row r="364" spans="1:13" ht="20.45" customHeight="1" x14ac:dyDescent="0.6">
      <c r="A364" s="252"/>
      <c r="B364" s="36" t="s">
        <v>101</v>
      </c>
      <c r="C364" s="35">
        <f>VLOOKUP($K348,임금대장!$A$3:$AH$86,28,0)</f>
        <v>128140</v>
      </c>
      <c r="D364" s="36"/>
      <c r="E364" s="43"/>
      <c r="F364" s="258" t="s">
        <v>102</v>
      </c>
      <c r="G364" s="259"/>
      <c r="H364" s="169">
        <f>VLOOKUP($K348,임금대장!$A$3:$AH$86,30,0)</f>
        <v>32080</v>
      </c>
      <c r="I364" s="36"/>
      <c r="J364" s="37"/>
    </row>
    <row r="365" spans="1:13" ht="20.45" customHeight="1" x14ac:dyDescent="0.6">
      <c r="A365" s="252"/>
      <c r="B365" s="36" t="s">
        <v>31</v>
      </c>
      <c r="C365" s="35">
        <f>VLOOKUP($K348,임금대장!$A$3:$AH$86,29,0)</f>
        <v>16830</v>
      </c>
      <c r="D365" s="36"/>
      <c r="E365" s="43"/>
      <c r="F365" s="258" t="s">
        <v>328</v>
      </c>
      <c r="G365" s="259"/>
      <c r="H365" s="169">
        <f>VLOOKUP($K348,임금대장!$A$3:$AH$86,32,0)</f>
        <v>0</v>
      </c>
      <c r="I365" s="67" t="s">
        <v>103</v>
      </c>
      <c r="J365" s="47">
        <f>SUM(C361:H366)</f>
        <v>407870</v>
      </c>
    </row>
    <row r="366" spans="1:13" ht="20.45" customHeight="1" x14ac:dyDescent="0.6">
      <c r="A366" s="253"/>
      <c r="B366" s="40"/>
      <c r="C366" s="101"/>
      <c r="D366" s="40"/>
      <c r="E366" s="48"/>
      <c r="F366" s="260"/>
      <c r="G366" s="261"/>
      <c r="H366" s="170"/>
      <c r="I366" s="68" t="s">
        <v>104</v>
      </c>
      <c r="J366" s="49">
        <f>J360-J365</f>
        <v>3156646.1290322579</v>
      </c>
    </row>
    <row r="367" spans="1:13" ht="20.45" customHeight="1" x14ac:dyDescent="0.6">
      <c r="A367" s="50" t="s">
        <v>105</v>
      </c>
      <c r="J367" s="51" t="s">
        <v>0</v>
      </c>
    </row>
    <row r="368" spans="1:13" ht="20.45" customHeight="1" x14ac:dyDescent="0.6">
      <c r="A368" s="50"/>
      <c r="J368" s="51"/>
    </row>
    <row r="369" spans="1:11" ht="20.45" customHeight="1" x14ac:dyDescent="0.6">
      <c r="A369" s="264" t="s">
        <v>399</v>
      </c>
      <c r="B369" s="264"/>
      <c r="C369" s="264"/>
      <c r="D369" s="264"/>
      <c r="E369" s="264"/>
      <c r="F369" s="264"/>
      <c r="G369" s="264"/>
      <c r="H369" s="264"/>
      <c r="I369" s="264"/>
      <c r="J369" s="264"/>
    </row>
    <row r="370" spans="1:11" ht="20.45" customHeight="1" x14ac:dyDescent="0.6">
      <c r="A370" s="286" t="s">
        <v>83</v>
      </c>
      <c r="B370" s="286"/>
      <c r="C370" s="286"/>
      <c r="D370" s="286" t="s">
        <v>84</v>
      </c>
      <c r="E370" s="286"/>
      <c r="F370" s="265" t="s">
        <v>85</v>
      </c>
      <c r="G370" s="250"/>
      <c r="H370" s="266"/>
      <c r="I370" s="286" t="s">
        <v>86</v>
      </c>
      <c r="J370" s="286"/>
    </row>
    <row r="371" spans="1:11" ht="20.45" customHeight="1" x14ac:dyDescent="0.6">
      <c r="A371" s="286">
        <f>VLOOKUP(K371,임금대장!$A$3:$AH$86,3,0)</f>
        <v>0</v>
      </c>
      <c r="B371" s="286"/>
      <c r="C371" s="286"/>
      <c r="D371" s="287" t="str">
        <f>VLOOKUP(K371,임금대장!$A$3:$AH$86,2,0)</f>
        <v>조윤희</v>
      </c>
      <c r="E371" s="287"/>
      <c r="F371" s="267">
        <f>임금대장!$O$3</f>
        <v>31</v>
      </c>
      <c r="G371" s="269"/>
      <c r="H371" s="268"/>
      <c r="I371" s="288">
        <f>VLOOKUP(K371,임금대장!$A$3:$AH$86,16,0)</f>
        <v>0</v>
      </c>
      <c r="J371" s="288"/>
      <c r="K371" s="30">
        <v>17</v>
      </c>
    </row>
    <row r="372" spans="1:11" ht="20.45" customHeight="1" x14ac:dyDescent="0.6">
      <c r="A372" s="286" t="s">
        <v>87</v>
      </c>
      <c r="B372" s="286"/>
      <c r="C372" s="286" t="s">
        <v>5</v>
      </c>
      <c r="D372" s="289">
        <f>VLOOKUP($K371,임금대장!$A$3:$AH$86,5,0)</f>
        <v>45809</v>
      </c>
      <c r="E372" s="289"/>
      <c r="F372" s="114" t="s">
        <v>88</v>
      </c>
      <c r="G372" s="292">
        <f>VLOOKUP(K371,임금대장!$A$3:$AH$86,15,0)</f>
        <v>31</v>
      </c>
      <c r="H372" s="293"/>
      <c r="I372" s="286" t="s">
        <v>89</v>
      </c>
      <c r="J372" s="290">
        <f>VLOOKUP(K371,임금대장!$A$3:$AH$86,17,0)</f>
        <v>0</v>
      </c>
    </row>
    <row r="373" spans="1:11" ht="20.45" customHeight="1" x14ac:dyDescent="0.6">
      <c r="A373" s="294">
        <f>VLOOKUP($K371,임금대장!$A$3:$AH$86,7,0)</f>
        <v>3371380</v>
      </c>
      <c r="B373" s="294"/>
      <c r="C373" s="286"/>
      <c r="D373" s="289"/>
      <c r="E373" s="289"/>
      <c r="F373" s="115" t="s">
        <v>90</v>
      </c>
      <c r="G373" s="284">
        <f>VLOOKUP(K371,임금대장!$A$3:$AH$86,16,0)</f>
        <v>0</v>
      </c>
      <c r="H373" s="285"/>
      <c r="I373" s="286"/>
      <c r="J373" s="290"/>
    </row>
    <row r="374" spans="1:11" ht="20.45" customHeight="1" x14ac:dyDescent="0.6">
      <c r="F374" s="250"/>
      <c r="G374" s="250"/>
    </row>
    <row r="375" spans="1:11" ht="20.45" customHeight="1" x14ac:dyDescent="0.6">
      <c r="A375" s="251" t="s">
        <v>91</v>
      </c>
      <c r="B375" s="69" t="s">
        <v>20</v>
      </c>
      <c r="C375" s="25">
        <f>VLOOKUP($K371,임금대장!$A$3:$AH$86,9,0)</f>
        <v>2421369</v>
      </c>
      <c r="D375" s="33"/>
      <c r="E375" s="69"/>
      <c r="F375" s="254"/>
      <c r="G375" s="255"/>
      <c r="H375" s="168"/>
      <c r="I375" s="33"/>
      <c r="J375" s="34"/>
    </row>
    <row r="376" spans="1:11" ht="20.45" customHeight="1" x14ac:dyDescent="0.6">
      <c r="A376" s="252"/>
      <c r="B376" s="67" t="s">
        <v>21</v>
      </c>
      <c r="C376" s="35">
        <f>VLOOKUP($K371,임금대장!$A$3:$AH$86,10,0)</f>
        <v>755374</v>
      </c>
      <c r="D376" s="36"/>
      <c r="E376" s="67"/>
      <c r="F376" s="256"/>
      <c r="G376" s="257"/>
      <c r="H376" s="169"/>
      <c r="I376" s="36"/>
      <c r="J376" s="37"/>
    </row>
    <row r="377" spans="1:11" ht="20.45" customHeight="1" x14ac:dyDescent="0.6">
      <c r="A377" s="252"/>
      <c r="B377" s="52" t="s">
        <v>92</v>
      </c>
      <c r="C377" s="35">
        <f>VLOOKUP($K371,임금대장!$A$3:$AH$86,11,0)</f>
        <v>101953</v>
      </c>
      <c r="D377" s="36"/>
      <c r="E377" s="67"/>
      <c r="F377" s="256"/>
      <c r="G377" s="257"/>
      <c r="H377" s="169"/>
      <c r="I377" s="36"/>
      <c r="J377" s="37"/>
    </row>
    <row r="378" spans="1:11" ht="20.45" customHeight="1" x14ac:dyDescent="0.6">
      <c r="A378" s="252"/>
      <c r="B378" s="67" t="s">
        <v>93</v>
      </c>
      <c r="C378" s="35">
        <f>VLOOKUP($K371,임금대장!$A$3:$AH$86,12,0)</f>
        <v>0</v>
      </c>
      <c r="D378" s="36"/>
      <c r="E378" s="67"/>
      <c r="F378" s="256"/>
      <c r="G378" s="257"/>
      <c r="H378" s="169"/>
      <c r="I378" s="36"/>
      <c r="J378" s="37"/>
    </row>
    <row r="379" spans="1:11" ht="20.45" customHeight="1" x14ac:dyDescent="0.6">
      <c r="A379" s="252"/>
      <c r="B379" s="67" t="s">
        <v>94</v>
      </c>
      <c r="C379" s="35">
        <f>VLOOKUP($K371,임금대장!$A$3:$AH$86,13,0)</f>
        <v>92684</v>
      </c>
      <c r="D379" s="36"/>
      <c r="E379" s="36"/>
      <c r="F379" s="258"/>
      <c r="G379" s="259"/>
      <c r="H379" s="169"/>
      <c r="I379" s="36"/>
      <c r="J379" s="37"/>
    </row>
    <row r="380" spans="1:11" ht="20.45" customHeight="1" x14ac:dyDescent="0.6">
      <c r="A380" s="252"/>
      <c r="B380" s="67" t="s">
        <v>24</v>
      </c>
      <c r="C380" s="102">
        <f>VLOOKUP($K371,임금대장!$A$3:$AH$86,14,0)</f>
        <v>0</v>
      </c>
      <c r="D380" s="36"/>
      <c r="E380" s="36"/>
      <c r="F380" s="258"/>
      <c r="G380" s="259"/>
      <c r="H380" s="169"/>
      <c r="I380" s="36"/>
      <c r="J380" s="37"/>
    </row>
    <row r="381" spans="1:11" ht="20.45" customHeight="1" x14ac:dyDescent="0.6">
      <c r="A381" s="252"/>
      <c r="B381" s="67"/>
      <c r="C381" s="35"/>
      <c r="D381" s="36"/>
      <c r="E381" s="36"/>
      <c r="F381" s="258"/>
      <c r="G381" s="259"/>
      <c r="H381" s="169"/>
      <c r="I381" s="36"/>
      <c r="J381" s="37"/>
    </row>
    <row r="382" spans="1:11" ht="20.45" customHeight="1" x14ac:dyDescent="0.6">
      <c r="A382" s="252"/>
      <c r="B382" s="67"/>
      <c r="C382" s="35"/>
      <c r="D382" s="36"/>
      <c r="E382" s="36"/>
      <c r="F382" s="258"/>
      <c r="G382" s="259"/>
      <c r="H382" s="169"/>
      <c r="I382" s="36"/>
      <c r="J382" s="37"/>
    </row>
    <row r="383" spans="1:11" ht="20.45" customHeight="1" x14ac:dyDescent="0.6">
      <c r="A383" s="253"/>
      <c r="B383" s="68"/>
      <c r="C383" s="39"/>
      <c r="D383" s="40"/>
      <c r="E383" s="40"/>
      <c r="F383" s="260"/>
      <c r="G383" s="261"/>
      <c r="H383" s="170"/>
      <c r="I383" s="68" t="s">
        <v>95</v>
      </c>
      <c r="J383" s="41">
        <f>SUM(C375:H381)</f>
        <v>3371380</v>
      </c>
    </row>
    <row r="384" spans="1:11" ht="20.45" customHeight="1" x14ac:dyDescent="0.6">
      <c r="A384" s="251" t="s">
        <v>96</v>
      </c>
      <c r="B384" s="36" t="s">
        <v>97</v>
      </c>
      <c r="C384" s="35">
        <f>VLOOKUP($K371,임금대장!$A$3:$AH$86,25,0)</f>
        <v>107660</v>
      </c>
      <c r="D384" s="33"/>
      <c r="E384" s="42"/>
      <c r="F384" s="262" t="s">
        <v>14</v>
      </c>
      <c r="G384" s="263"/>
      <c r="H384" s="169">
        <f>VLOOKUP($K371,임금대장!$A$3:$AH$86,19,0)</f>
        <v>0</v>
      </c>
      <c r="I384" s="33"/>
      <c r="J384" s="34"/>
    </row>
    <row r="385" spans="1:13" ht="20.45" customHeight="1" x14ac:dyDescent="0.6">
      <c r="A385" s="252"/>
      <c r="B385" s="36" t="s">
        <v>98</v>
      </c>
      <c r="C385" s="35">
        <f>VLOOKUP($K371,임금대장!$A$3:$AH$86,26,0)</f>
        <v>10760</v>
      </c>
      <c r="D385" s="36"/>
      <c r="E385" s="43"/>
      <c r="F385" s="258" t="s">
        <v>12</v>
      </c>
      <c r="G385" s="259"/>
      <c r="H385" s="169">
        <f>VLOOKUP($K371,임금대장!$A$3:$AH$86,17,0)</f>
        <v>0</v>
      </c>
      <c r="I385" s="36"/>
      <c r="J385" s="37"/>
    </row>
    <row r="386" spans="1:13" ht="20.45" customHeight="1" x14ac:dyDescent="0.6">
      <c r="A386" s="252"/>
      <c r="B386" s="36" t="s">
        <v>99</v>
      </c>
      <c r="C386" s="35">
        <f>VLOOKUP($K371,임금대장!$A$3:$AH$86,27,0)</f>
        <v>85500</v>
      </c>
      <c r="D386" s="36"/>
      <c r="E386" s="44"/>
      <c r="F386" s="258" t="s">
        <v>100</v>
      </c>
      <c r="G386" s="259"/>
      <c r="H386" s="169">
        <f>VLOOKUP($K371,임금대장!$A$3:$AH$86,31,0)</f>
        <v>0</v>
      </c>
      <c r="I386" s="36"/>
      <c r="J386" s="37"/>
    </row>
    <row r="387" spans="1:13" ht="20.45" customHeight="1" x14ac:dyDescent="0.6">
      <c r="A387" s="252"/>
      <c r="B387" s="36" t="s">
        <v>101</v>
      </c>
      <c r="C387" s="35">
        <f>VLOOKUP($K371,임금대장!$A$3:$AH$86,28,0)</f>
        <v>121200</v>
      </c>
      <c r="D387" s="36"/>
      <c r="E387" s="43"/>
      <c r="F387" s="258" t="s">
        <v>102</v>
      </c>
      <c r="G387" s="259"/>
      <c r="H387" s="169">
        <f>VLOOKUP($K371,임금대장!$A$3:$AH$86,30,0)</f>
        <v>30340</v>
      </c>
      <c r="I387" s="36"/>
      <c r="J387" s="37"/>
    </row>
    <row r="388" spans="1:13" ht="20.45" customHeight="1" x14ac:dyDescent="0.6">
      <c r="A388" s="252"/>
      <c r="B388" s="36" t="s">
        <v>31</v>
      </c>
      <c r="C388" s="35">
        <f>VLOOKUP($K371,임금대장!$A$3:$AH$86,29,0)</f>
        <v>15920</v>
      </c>
      <c r="D388" s="36"/>
      <c r="E388" s="43"/>
      <c r="F388" s="258" t="s">
        <v>328</v>
      </c>
      <c r="G388" s="259"/>
      <c r="H388" s="169">
        <f>VLOOKUP($K371,임금대장!$A$3:$AH$86,32,0)</f>
        <v>0</v>
      </c>
      <c r="I388" s="67" t="s">
        <v>103</v>
      </c>
      <c r="J388" s="47">
        <f>SUM(C384:H389)</f>
        <v>371380</v>
      </c>
    </row>
    <row r="389" spans="1:13" ht="20.45" customHeight="1" x14ac:dyDescent="0.6">
      <c r="A389" s="253"/>
      <c r="B389" s="40"/>
      <c r="C389" s="101"/>
      <c r="D389" s="40"/>
      <c r="E389" s="48"/>
      <c r="F389" s="260"/>
      <c r="G389" s="261"/>
      <c r="H389" s="170"/>
      <c r="I389" s="68" t="s">
        <v>104</v>
      </c>
      <c r="J389" s="49">
        <f>J383-J388</f>
        <v>3000000</v>
      </c>
    </row>
    <row r="390" spans="1:13" ht="20.45" customHeight="1" x14ac:dyDescent="0.6">
      <c r="A390" s="50" t="s">
        <v>105</v>
      </c>
      <c r="J390" s="51" t="s">
        <v>0</v>
      </c>
    </row>
    <row r="391" spans="1:13" ht="20.45" customHeight="1" x14ac:dyDescent="0.6">
      <c r="A391" s="50"/>
      <c r="J391" s="51"/>
    </row>
    <row r="392" spans="1:13" ht="20.45" customHeight="1" x14ac:dyDescent="0.6">
      <c r="A392" s="264" t="s">
        <v>399</v>
      </c>
      <c r="B392" s="264"/>
      <c r="C392" s="264"/>
      <c r="D392" s="264"/>
      <c r="E392" s="264"/>
      <c r="F392" s="264"/>
      <c r="G392" s="264"/>
      <c r="H392" s="264"/>
      <c r="I392" s="264"/>
      <c r="J392" s="264"/>
    </row>
    <row r="393" spans="1:13" ht="20.45" customHeight="1" x14ac:dyDescent="0.6">
      <c r="A393" s="286" t="s">
        <v>83</v>
      </c>
      <c r="B393" s="286"/>
      <c r="C393" s="286"/>
      <c r="D393" s="286" t="s">
        <v>84</v>
      </c>
      <c r="E393" s="286"/>
      <c r="F393" s="265" t="s">
        <v>85</v>
      </c>
      <c r="G393" s="250"/>
      <c r="H393" s="266"/>
      <c r="I393" s="286" t="s">
        <v>86</v>
      </c>
      <c r="J393" s="286"/>
    </row>
    <row r="394" spans="1:13" ht="20.45" customHeight="1" x14ac:dyDescent="0.6">
      <c r="A394" s="286" t="str">
        <f>VLOOKUP(K394,임금대장!$A$3:$AH$86,3,0)</f>
        <v>핫/즉석</v>
      </c>
      <c r="B394" s="286"/>
      <c r="C394" s="286"/>
      <c r="D394" s="287" t="str">
        <f>VLOOKUP(K394,임금대장!$A$3:$AH$86,2,0)</f>
        <v>나지훈</v>
      </c>
      <c r="E394" s="287"/>
      <c r="F394" s="267">
        <f>임금대장!$O$3</f>
        <v>31</v>
      </c>
      <c r="G394" s="269"/>
      <c r="H394" s="268"/>
      <c r="I394" s="288">
        <f>VLOOKUP(K394,임금대장!$A$3:$AH$86,16,0)</f>
        <v>0</v>
      </c>
      <c r="J394" s="288"/>
      <c r="K394" s="30">
        <v>18</v>
      </c>
    </row>
    <row r="395" spans="1:13" ht="20.45" customHeight="1" x14ac:dyDescent="0.6">
      <c r="A395" s="286" t="s">
        <v>87</v>
      </c>
      <c r="B395" s="286"/>
      <c r="C395" s="286" t="s">
        <v>5</v>
      </c>
      <c r="D395" s="289">
        <f>VLOOKUP($K394,임금대장!$A$3:$AH$86,5,0)</f>
        <v>45841</v>
      </c>
      <c r="E395" s="289"/>
      <c r="F395" s="114" t="s">
        <v>88</v>
      </c>
      <c r="G395" s="292">
        <f>VLOOKUP(K394,임금대장!$A$3:$AH$86,15,0)</f>
        <v>31</v>
      </c>
      <c r="H395" s="293"/>
      <c r="I395" s="286" t="s">
        <v>89</v>
      </c>
      <c r="J395" s="290">
        <f>VLOOKUP(K394,임금대장!$A$3:$AH$86,17,0)</f>
        <v>0</v>
      </c>
    </row>
    <row r="396" spans="1:13" ht="20.45" customHeight="1" x14ac:dyDescent="0.6">
      <c r="A396" s="294">
        <f>VLOOKUP($K394,임금대장!$A$3:$AH$86,7,0)</f>
        <v>3300000</v>
      </c>
      <c r="B396" s="294"/>
      <c r="C396" s="286"/>
      <c r="D396" s="289"/>
      <c r="E396" s="289"/>
      <c r="F396" s="115" t="s">
        <v>90</v>
      </c>
      <c r="G396" s="284">
        <f>VLOOKUP(K394,임금대장!$A$3:$AH$86,16,0)</f>
        <v>0</v>
      </c>
      <c r="H396" s="285"/>
      <c r="I396" s="286"/>
      <c r="J396" s="290"/>
    </row>
    <row r="397" spans="1:13" s="30" customFormat="1" ht="20.45" customHeight="1" x14ac:dyDescent="0.6">
      <c r="A397" s="31"/>
      <c r="B397" s="31"/>
      <c r="C397" s="31"/>
      <c r="D397" s="31"/>
      <c r="E397" s="31"/>
      <c r="F397" s="250"/>
      <c r="G397" s="250"/>
      <c r="H397" s="167"/>
      <c r="I397" s="31"/>
      <c r="J397" s="31"/>
      <c r="L397" s="31"/>
      <c r="M397" s="31"/>
    </row>
    <row r="398" spans="1:13" s="30" customFormat="1" ht="20.45" customHeight="1" x14ac:dyDescent="0.6">
      <c r="A398" s="251" t="s">
        <v>91</v>
      </c>
      <c r="B398" s="69" t="s">
        <v>20</v>
      </c>
      <c r="C398" s="25">
        <f>VLOOKUP($K394,임금대장!$A$3:$AH$86,9,0)</f>
        <v>2370103</v>
      </c>
      <c r="D398" s="33"/>
      <c r="E398" s="69"/>
      <c r="F398" s="254"/>
      <c r="G398" s="255"/>
      <c r="H398" s="168"/>
      <c r="I398" s="33"/>
      <c r="J398" s="34"/>
      <c r="L398" s="31"/>
      <c r="M398" s="31"/>
    </row>
    <row r="399" spans="1:13" s="30" customFormat="1" ht="20.45" customHeight="1" x14ac:dyDescent="0.6">
      <c r="A399" s="252"/>
      <c r="B399" s="67" t="s">
        <v>21</v>
      </c>
      <c r="C399" s="35">
        <f>VLOOKUP($K394,임금대장!$A$3:$AH$86,10,0)</f>
        <v>739381</v>
      </c>
      <c r="D399" s="36"/>
      <c r="E399" s="67"/>
      <c r="F399" s="256"/>
      <c r="G399" s="257"/>
      <c r="H399" s="169"/>
      <c r="I399" s="36"/>
      <c r="J399" s="37"/>
      <c r="L399" s="31"/>
      <c r="M399" s="31"/>
    </row>
    <row r="400" spans="1:13" s="30" customFormat="1" ht="20.45" customHeight="1" x14ac:dyDescent="0.6">
      <c r="A400" s="252"/>
      <c r="B400" s="52" t="s">
        <v>92</v>
      </c>
      <c r="C400" s="35">
        <f>VLOOKUP($K394,임금대장!$A$3:$AH$86,11,0)</f>
        <v>99794</v>
      </c>
      <c r="D400" s="36"/>
      <c r="E400" s="67"/>
      <c r="F400" s="256"/>
      <c r="G400" s="257"/>
      <c r="H400" s="169"/>
      <c r="I400" s="36"/>
      <c r="J400" s="37"/>
      <c r="L400" s="31"/>
      <c r="M400" s="31"/>
    </row>
    <row r="401" spans="1:13" s="30" customFormat="1" ht="20.45" customHeight="1" x14ac:dyDescent="0.6">
      <c r="A401" s="252"/>
      <c r="B401" s="67" t="s">
        <v>93</v>
      </c>
      <c r="C401" s="35">
        <f>VLOOKUP($K394,임금대장!$A$3:$AH$86,12,0)</f>
        <v>0</v>
      </c>
      <c r="D401" s="36"/>
      <c r="E401" s="67"/>
      <c r="F401" s="256"/>
      <c r="G401" s="257"/>
      <c r="H401" s="169"/>
      <c r="I401" s="36"/>
      <c r="J401" s="37"/>
      <c r="L401" s="31"/>
      <c r="M401" s="31"/>
    </row>
    <row r="402" spans="1:13" s="30" customFormat="1" ht="20.45" customHeight="1" x14ac:dyDescent="0.6">
      <c r="A402" s="252"/>
      <c r="B402" s="67" t="s">
        <v>94</v>
      </c>
      <c r="C402" s="35">
        <f>VLOOKUP($K394,임금대장!$A$3:$AH$86,13,0)</f>
        <v>90722</v>
      </c>
      <c r="D402" s="36"/>
      <c r="E402" s="36"/>
      <c r="F402" s="258"/>
      <c r="G402" s="259"/>
      <c r="H402" s="169"/>
      <c r="I402" s="36"/>
      <c r="J402" s="37"/>
      <c r="L402" s="31"/>
      <c r="M402" s="31"/>
    </row>
    <row r="403" spans="1:13" s="30" customFormat="1" ht="20.45" customHeight="1" x14ac:dyDescent="0.6">
      <c r="A403" s="252"/>
      <c r="B403" s="67" t="s">
        <v>24</v>
      </c>
      <c r="C403" s="102">
        <f>VLOOKUP($K394,임금대장!$A$3:$AH$86,14,0)</f>
        <v>372580.6451612903</v>
      </c>
      <c r="D403" s="36"/>
      <c r="E403" s="36"/>
      <c r="F403" s="258"/>
      <c r="G403" s="259"/>
      <c r="H403" s="169"/>
      <c r="I403" s="36"/>
      <c r="J403" s="37"/>
      <c r="L403" s="31"/>
      <c r="M403" s="31"/>
    </row>
    <row r="404" spans="1:13" s="30" customFormat="1" ht="20.45" customHeight="1" x14ac:dyDescent="0.6">
      <c r="A404" s="252"/>
      <c r="B404" s="67"/>
      <c r="C404" s="35"/>
      <c r="D404" s="36"/>
      <c r="E404" s="36"/>
      <c r="F404" s="258"/>
      <c r="G404" s="259"/>
      <c r="H404" s="169"/>
      <c r="I404" s="36"/>
      <c r="J404" s="37"/>
      <c r="L404" s="31"/>
      <c r="M404" s="31"/>
    </row>
    <row r="405" spans="1:13" s="30" customFormat="1" ht="20.45" customHeight="1" x14ac:dyDescent="0.6">
      <c r="A405" s="252"/>
      <c r="B405" s="67"/>
      <c r="C405" s="35"/>
      <c r="D405" s="36"/>
      <c r="E405" s="36"/>
      <c r="F405" s="258"/>
      <c r="G405" s="259"/>
      <c r="H405" s="169"/>
      <c r="I405" s="36"/>
      <c r="J405" s="37"/>
      <c r="L405" s="31"/>
      <c r="M405" s="31"/>
    </row>
    <row r="406" spans="1:13" s="30" customFormat="1" ht="20.45" customHeight="1" x14ac:dyDescent="0.6">
      <c r="A406" s="253"/>
      <c r="B406" s="68"/>
      <c r="C406" s="39"/>
      <c r="D406" s="40"/>
      <c r="E406" s="40"/>
      <c r="F406" s="260"/>
      <c r="G406" s="261"/>
      <c r="H406" s="170"/>
      <c r="I406" s="68" t="s">
        <v>95</v>
      </c>
      <c r="J406" s="41">
        <f>SUM(C398:H404)</f>
        <v>3672580.6451612902</v>
      </c>
      <c r="L406" s="31"/>
      <c r="M406" s="31"/>
    </row>
    <row r="407" spans="1:13" s="30" customFormat="1" ht="20.45" customHeight="1" x14ac:dyDescent="0.6">
      <c r="A407" s="251" t="s">
        <v>96</v>
      </c>
      <c r="B407" s="36" t="s">
        <v>97</v>
      </c>
      <c r="C407" s="35">
        <f>VLOOKUP($K394,임금대장!$A$3:$AH$86,25,0)</f>
        <v>144330</v>
      </c>
      <c r="D407" s="33"/>
      <c r="E407" s="42"/>
      <c r="F407" s="262" t="s">
        <v>14</v>
      </c>
      <c r="G407" s="263"/>
      <c r="H407" s="169">
        <f>VLOOKUP($K394,임금대장!$A$3:$AH$86,19,0)</f>
        <v>0</v>
      </c>
      <c r="I407" s="33"/>
      <c r="J407" s="34"/>
      <c r="L407" s="31"/>
      <c r="M407" s="31"/>
    </row>
    <row r="408" spans="1:13" s="30" customFormat="1" ht="20.45" customHeight="1" x14ac:dyDescent="0.6">
      <c r="A408" s="252"/>
      <c r="B408" s="36" t="s">
        <v>98</v>
      </c>
      <c r="C408" s="35">
        <f>VLOOKUP($K394,임금대장!$A$3:$AH$86,26,0)</f>
        <v>14430</v>
      </c>
      <c r="D408" s="36"/>
      <c r="E408" s="43"/>
      <c r="F408" s="258" t="s">
        <v>12</v>
      </c>
      <c r="G408" s="259"/>
      <c r="H408" s="169">
        <f>VLOOKUP($K394,임금대장!$A$3:$AH$86,17,0)</f>
        <v>0</v>
      </c>
      <c r="I408" s="36"/>
      <c r="J408" s="37"/>
      <c r="L408" s="31"/>
      <c r="M408" s="31"/>
    </row>
    <row r="409" spans="1:13" s="30" customFormat="1" ht="20.45" customHeight="1" x14ac:dyDescent="0.6">
      <c r="A409" s="252"/>
      <c r="B409" s="36" t="s">
        <v>99</v>
      </c>
      <c r="C409" s="35">
        <f>VLOOKUP($K394,임금대장!$A$3:$AH$86,27,0)</f>
        <v>85500</v>
      </c>
      <c r="D409" s="36"/>
      <c r="E409" s="44"/>
      <c r="F409" s="258" t="s">
        <v>100</v>
      </c>
      <c r="G409" s="259"/>
      <c r="H409" s="169">
        <f>VLOOKUP($K394,임금대장!$A$3:$AH$86,31,0)</f>
        <v>0</v>
      </c>
      <c r="I409" s="36"/>
      <c r="J409" s="37"/>
      <c r="L409" s="31"/>
      <c r="M409" s="31"/>
    </row>
    <row r="410" spans="1:13" s="30" customFormat="1" ht="20.45" customHeight="1" x14ac:dyDescent="0.6">
      <c r="A410" s="252"/>
      <c r="B410" s="36" t="s">
        <v>101</v>
      </c>
      <c r="C410" s="35">
        <f>VLOOKUP($K394,임금대장!$A$3:$AH$86,28,0)</f>
        <v>132020</v>
      </c>
      <c r="D410" s="36"/>
      <c r="E410" s="43"/>
      <c r="F410" s="258" t="s">
        <v>102</v>
      </c>
      <c r="G410" s="259"/>
      <c r="H410" s="169">
        <f>VLOOKUP($K394,임금대장!$A$3:$AH$86,30,0)</f>
        <v>33050</v>
      </c>
      <c r="I410" s="36"/>
      <c r="J410" s="37"/>
      <c r="L410" s="31"/>
      <c r="M410" s="31"/>
    </row>
    <row r="411" spans="1:13" s="30" customFormat="1" ht="20.45" customHeight="1" x14ac:dyDescent="0.6">
      <c r="A411" s="252"/>
      <c r="B411" s="36" t="s">
        <v>31</v>
      </c>
      <c r="C411" s="35">
        <f>VLOOKUP($K394,임금대장!$A$3:$AH$86,29,0)</f>
        <v>17340</v>
      </c>
      <c r="D411" s="36"/>
      <c r="E411" s="43"/>
      <c r="F411" s="258" t="s">
        <v>328</v>
      </c>
      <c r="G411" s="259"/>
      <c r="H411" s="169">
        <f>VLOOKUP($K394,임금대장!$A$3:$AH$86,32,0)</f>
        <v>0</v>
      </c>
      <c r="I411" s="67" t="s">
        <v>103</v>
      </c>
      <c r="J411" s="47">
        <f>SUM(C407:H412)</f>
        <v>426670</v>
      </c>
      <c r="L411" s="31"/>
      <c r="M411" s="31"/>
    </row>
    <row r="412" spans="1:13" s="30" customFormat="1" ht="20.45" customHeight="1" x14ac:dyDescent="0.6">
      <c r="A412" s="253"/>
      <c r="B412" s="40"/>
      <c r="C412" s="101"/>
      <c r="D412" s="40"/>
      <c r="E412" s="48"/>
      <c r="F412" s="260"/>
      <c r="G412" s="261"/>
      <c r="H412" s="170"/>
      <c r="I412" s="68" t="s">
        <v>104</v>
      </c>
      <c r="J412" s="49">
        <f>J406-J411</f>
        <v>3245910.6451612902</v>
      </c>
      <c r="L412" s="31"/>
      <c r="M412" s="31"/>
    </row>
    <row r="413" spans="1:13" s="30" customFormat="1" ht="20.45" customHeight="1" x14ac:dyDescent="0.6">
      <c r="A413" s="50" t="s">
        <v>105</v>
      </c>
      <c r="B413" s="31"/>
      <c r="C413" s="31"/>
      <c r="D413" s="31"/>
      <c r="E413" s="31"/>
      <c r="F413" s="31"/>
      <c r="G413" s="31"/>
      <c r="H413" s="167"/>
      <c r="I413" s="31"/>
      <c r="J413" s="51" t="s">
        <v>0</v>
      </c>
      <c r="L413" s="31"/>
      <c r="M413" s="31"/>
    </row>
    <row r="414" spans="1:13" ht="20.45" customHeight="1" x14ac:dyDescent="0.6">
      <c r="A414" s="50"/>
      <c r="J414" s="51"/>
    </row>
    <row r="415" spans="1:13" ht="20.45" customHeight="1" x14ac:dyDescent="0.6">
      <c r="A415" s="264" t="s">
        <v>399</v>
      </c>
      <c r="B415" s="264"/>
      <c r="C415" s="264"/>
      <c r="D415" s="264"/>
      <c r="E415" s="264"/>
      <c r="F415" s="264"/>
      <c r="G415" s="264"/>
      <c r="H415" s="264"/>
      <c r="I415" s="264"/>
      <c r="J415" s="264"/>
    </row>
    <row r="416" spans="1:13" ht="20.45" customHeight="1" x14ac:dyDescent="0.6">
      <c r="A416" s="286" t="s">
        <v>83</v>
      </c>
      <c r="B416" s="286"/>
      <c r="C416" s="286"/>
      <c r="D416" s="286" t="s">
        <v>84</v>
      </c>
      <c r="E416" s="286"/>
      <c r="F416" s="265" t="s">
        <v>85</v>
      </c>
      <c r="G416" s="250"/>
      <c r="H416" s="266"/>
      <c r="I416" s="286" t="s">
        <v>86</v>
      </c>
      <c r="J416" s="286"/>
    </row>
    <row r="417" spans="1:13" ht="20.45" customHeight="1" x14ac:dyDescent="0.6">
      <c r="A417" s="286" t="str">
        <f>VLOOKUP(K417,임금대장!$A$3:$AH$86,3,0)</f>
        <v>핫/즉석</v>
      </c>
      <c r="B417" s="286"/>
      <c r="C417" s="286"/>
      <c r="D417" s="287" t="str">
        <f>VLOOKUP(K417,임금대장!$A$3:$AH$86,2,0)</f>
        <v>박기호</v>
      </c>
      <c r="E417" s="287"/>
      <c r="F417" s="267">
        <f>임금대장!$O$3</f>
        <v>31</v>
      </c>
      <c r="G417" s="269"/>
      <c r="H417" s="268"/>
      <c r="I417" s="288">
        <f>VLOOKUP(K417,임금대장!$A$3:$AH$86,16,0)</f>
        <v>0</v>
      </c>
      <c r="J417" s="288"/>
      <c r="K417" s="30">
        <v>19</v>
      </c>
    </row>
    <row r="418" spans="1:13" ht="20.45" customHeight="1" x14ac:dyDescent="0.6">
      <c r="A418" s="286" t="s">
        <v>87</v>
      </c>
      <c r="B418" s="286"/>
      <c r="C418" s="286" t="s">
        <v>5</v>
      </c>
      <c r="D418" s="289">
        <f>VLOOKUP($K417,임금대장!$A$3:$AH$86,5,0)</f>
        <v>45861</v>
      </c>
      <c r="E418" s="289"/>
      <c r="F418" s="114" t="s">
        <v>88</v>
      </c>
      <c r="G418" s="292">
        <f>VLOOKUP(K417,임금대장!$A$3:$AH$86,15,0)</f>
        <v>31</v>
      </c>
      <c r="H418" s="293"/>
      <c r="I418" s="286" t="s">
        <v>89</v>
      </c>
      <c r="J418" s="290">
        <f>VLOOKUP(K417,임금대장!$A$3:$AH$86,17,0)</f>
        <v>0</v>
      </c>
    </row>
    <row r="419" spans="1:13" ht="20.45" customHeight="1" x14ac:dyDescent="0.6">
      <c r="A419" s="294">
        <f>VLOOKUP($K417,임금대장!$A$3:$AH$86,7,0)</f>
        <v>3400000</v>
      </c>
      <c r="B419" s="294"/>
      <c r="C419" s="286"/>
      <c r="D419" s="289"/>
      <c r="E419" s="289"/>
      <c r="F419" s="115" t="s">
        <v>90</v>
      </c>
      <c r="G419" s="284">
        <f>VLOOKUP(K417,임금대장!$A$3:$AH$86,16,0)</f>
        <v>0</v>
      </c>
      <c r="H419" s="285"/>
      <c r="I419" s="286"/>
      <c r="J419" s="290"/>
    </row>
    <row r="420" spans="1:13" ht="20.45" customHeight="1" x14ac:dyDescent="0.6">
      <c r="F420" s="250"/>
      <c r="G420" s="250"/>
    </row>
    <row r="421" spans="1:13" ht="20.45" customHeight="1" x14ac:dyDescent="0.6">
      <c r="A421" s="251" t="s">
        <v>91</v>
      </c>
      <c r="B421" s="69" t="s">
        <v>20</v>
      </c>
      <c r="C421" s="25">
        <f>VLOOKUP($K417,임금대장!$A$3:$AH$86,9,0)</f>
        <v>2441924</v>
      </c>
      <c r="D421" s="33"/>
      <c r="E421" s="69"/>
      <c r="F421" s="254"/>
      <c r="G421" s="255"/>
      <c r="H421" s="168"/>
      <c r="I421" s="33"/>
      <c r="J421" s="34"/>
    </row>
    <row r="422" spans="1:13" ht="20.45" customHeight="1" x14ac:dyDescent="0.6">
      <c r="A422" s="252"/>
      <c r="B422" s="67" t="s">
        <v>21</v>
      </c>
      <c r="C422" s="35">
        <f>VLOOKUP($K417,임금대장!$A$3:$AH$86,10,0)</f>
        <v>761786</v>
      </c>
      <c r="D422" s="36"/>
      <c r="E422" s="67"/>
      <c r="F422" s="256"/>
      <c r="G422" s="257"/>
      <c r="H422" s="169"/>
      <c r="I422" s="36"/>
      <c r="J422" s="37"/>
    </row>
    <row r="423" spans="1:13" ht="20.45" customHeight="1" x14ac:dyDescent="0.6">
      <c r="A423" s="252"/>
      <c r="B423" s="52" t="s">
        <v>92</v>
      </c>
      <c r="C423" s="35">
        <f>VLOOKUP($K417,임금대장!$A$3:$AH$86,11,0)</f>
        <v>102818</v>
      </c>
      <c r="D423" s="36"/>
      <c r="E423" s="67"/>
      <c r="F423" s="256"/>
      <c r="G423" s="257"/>
      <c r="H423" s="169"/>
      <c r="I423" s="36"/>
      <c r="J423" s="37"/>
    </row>
    <row r="424" spans="1:13" ht="20.45" customHeight="1" x14ac:dyDescent="0.6">
      <c r="A424" s="252"/>
      <c r="B424" s="67" t="s">
        <v>93</v>
      </c>
      <c r="C424" s="35">
        <f>VLOOKUP($K417,임금대장!$A$3:$AH$86,12,0)</f>
        <v>0</v>
      </c>
      <c r="D424" s="36"/>
      <c r="E424" s="67"/>
      <c r="F424" s="256"/>
      <c r="G424" s="257"/>
      <c r="H424" s="169"/>
      <c r="I424" s="36"/>
      <c r="J424" s="37"/>
    </row>
    <row r="425" spans="1:13" ht="20.45" customHeight="1" x14ac:dyDescent="0.6">
      <c r="A425" s="252"/>
      <c r="B425" s="67" t="s">
        <v>94</v>
      </c>
      <c r="C425" s="35">
        <f>VLOOKUP($K417,임금대장!$A$3:$AH$86,13,0)</f>
        <v>93471</v>
      </c>
      <c r="D425" s="36"/>
      <c r="E425" s="36"/>
      <c r="F425" s="258"/>
      <c r="G425" s="259"/>
      <c r="H425" s="169"/>
      <c r="I425" s="36"/>
      <c r="J425" s="37"/>
    </row>
    <row r="426" spans="1:13" ht="20.45" customHeight="1" x14ac:dyDescent="0.6">
      <c r="A426" s="252"/>
      <c r="B426" s="67" t="s">
        <v>24</v>
      </c>
      <c r="C426" s="102">
        <f>VLOOKUP($K417,임금대장!$A$3:$AH$86,14,0)</f>
        <v>54838.709677419356</v>
      </c>
      <c r="D426" s="36"/>
      <c r="E426" s="36"/>
      <c r="F426" s="258"/>
      <c r="G426" s="259"/>
      <c r="H426" s="169"/>
      <c r="I426" s="36"/>
      <c r="J426" s="37"/>
    </row>
    <row r="427" spans="1:13" ht="20.45" customHeight="1" x14ac:dyDescent="0.6">
      <c r="A427" s="252"/>
      <c r="B427" s="67"/>
      <c r="C427" s="35"/>
      <c r="D427" s="36"/>
      <c r="E427" s="36"/>
      <c r="F427" s="258"/>
      <c r="G427" s="259"/>
      <c r="H427" s="169"/>
      <c r="I427" s="36"/>
      <c r="J427" s="37"/>
    </row>
    <row r="428" spans="1:13" ht="20.45" customHeight="1" x14ac:dyDescent="0.6">
      <c r="A428" s="252"/>
      <c r="B428" s="67"/>
      <c r="C428" s="35"/>
      <c r="D428" s="36"/>
      <c r="E428" s="36"/>
      <c r="F428" s="258"/>
      <c r="G428" s="259"/>
      <c r="H428" s="169"/>
      <c r="I428" s="36"/>
      <c r="J428" s="37"/>
    </row>
    <row r="429" spans="1:13" s="30" customFormat="1" ht="20.45" customHeight="1" x14ac:dyDescent="0.6">
      <c r="A429" s="253"/>
      <c r="B429" s="68"/>
      <c r="C429" s="39"/>
      <c r="D429" s="40"/>
      <c r="E429" s="40"/>
      <c r="F429" s="260"/>
      <c r="G429" s="261"/>
      <c r="H429" s="170"/>
      <c r="I429" s="68" t="s">
        <v>95</v>
      </c>
      <c r="J429" s="41">
        <f>SUM(C421:H427)</f>
        <v>3454837.7096774192</v>
      </c>
      <c r="L429" s="31"/>
      <c r="M429" s="31"/>
    </row>
    <row r="430" spans="1:13" s="30" customFormat="1" ht="20.45" customHeight="1" x14ac:dyDescent="0.6">
      <c r="A430" s="251" t="s">
        <v>96</v>
      </c>
      <c r="B430" s="36" t="s">
        <v>97</v>
      </c>
      <c r="C430" s="35">
        <f>VLOOKUP($K417,임금대장!$A$3:$AH$86,25,0)</f>
        <v>117440</v>
      </c>
      <c r="D430" s="33"/>
      <c r="E430" s="42"/>
      <c r="F430" s="262" t="s">
        <v>14</v>
      </c>
      <c r="G430" s="263"/>
      <c r="H430" s="169">
        <f>VLOOKUP($K417,임금대장!$A$3:$AH$86,19,0)</f>
        <v>0</v>
      </c>
      <c r="I430" s="33"/>
      <c r="J430" s="34"/>
      <c r="L430" s="31"/>
      <c r="M430" s="31"/>
    </row>
    <row r="431" spans="1:13" s="30" customFormat="1" ht="20.45" customHeight="1" x14ac:dyDescent="0.6">
      <c r="A431" s="252"/>
      <c r="B431" s="36" t="s">
        <v>98</v>
      </c>
      <c r="C431" s="35">
        <f>VLOOKUP($K417,임금대장!$A$3:$AH$86,26,0)</f>
        <v>11740</v>
      </c>
      <c r="D431" s="36"/>
      <c r="E431" s="43"/>
      <c r="F431" s="258" t="s">
        <v>12</v>
      </c>
      <c r="G431" s="259"/>
      <c r="H431" s="169">
        <f>VLOOKUP($K417,임금대장!$A$3:$AH$86,17,0)</f>
        <v>0</v>
      </c>
      <c r="I431" s="36"/>
      <c r="J431" s="37"/>
      <c r="L431" s="31"/>
      <c r="M431" s="31"/>
    </row>
    <row r="432" spans="1:13" s="30" customFormat="1" ht="20.45" customHeight="1" x14ac:dyDescent="0.6">
      <c r="A432" s="252"/>
      <c r="B432" s="36" t="s">
        <v>99</v>
      </c>
      <c r="C432" s="35">
        <f>VLOOKUP($K417,임금대장!$A$3:$AH$86,27,0)</f>
        <v>85500</v>
      </c>
      <c r="D432" s="36"/>
      <c r="E432" s="44"/>
      <c r="F432" s="258" t="s">
        <v>100</v>
      </c>
      <c r="G432" s="259"/>
      <c r="H432" s="169">
        <f>VLOOKUP($K417,임금대장!$A$3:$AH$86,31,0)</f>
        <v>0</v>
      </c>
      <c r="I432" s="36"/>
      <c r="J432" s="37"/>
      <c r="L432" s="31"/>
      <c r="M432" s="31"/>
    </row>
    <row r="433" spans="1:13" s="30" customFormat="1" ht="20.45" customHeight="1" x14ac:dyDescent="0.6">
      <c r="A433" s="252"/>
      <c r="B433" s="36" t="s">
        <v>101</v>
      </c>
      <c r="C433" s="35">
        <f>VLOOKUP($K417,임금대장!$A$3:$AH$86,28,0)</f>
        <v>124200</v>
      </c>
      <c r="D433" s="36"/>
      <c r="E433" s="43"/>
      <c r="F433" s="258" t="s">
        <v>102</v>
      </c>
      <c r="G433" s="259"/>
      <c r="H433" s="169">
        <f>VLOOKUP($K417,임금대장!$A$3:$AH$86,30,0)</f>
        <v>31090</v>
      </c>
      <c r="I433" s="36"/>
      <c r="J433" s="37"/>
      <c r="L433" s="31"/>
      <c r="M433" s="31"/>
    </row>
    <row r="434" spans="1:13" s="30" customFormat="1" ht="20.45" customHeight="1" x14ac:dyDescent="0.6">
      <c r="A434" s="252"/>
      <c r="B434" s="36" t="s">
        <v>31</v>
      </c>
      <c r="C434" s="35">
        <f>VLOOKUP($K417,임금대장!$A$3:$AH$86,29,0)</f>
        <v>16310</v>
      </c>
      <c r="D434" s="36"/>
      <c r="E434" s="43"/>
      <c r="F434" s="258" t="s">
        <v>328</v>
      </c>
      <c r="G434" s="259"/>
      <c r="H434" s="169">
        <f>VLOOKUP($K417,임금대장!$A$3:$AH$86,32,0)</f>
        <v>0</v>
      </c>
      <c r="I434" s="67" t="s">
        <v>103</v>
      </c>
      <c r="J434" s="47">
        <f>SUM(C430:H435)</f>
        <v>386280</v>
      </c>
      <c r="L434" s="31"/>
      <c r="M434" s="31"/>
    </row>
    <row r="435" spans="1:13" s="30" customFormat="1" ht="20.45" customHeight="1" x14ac:dyDescent="0.6">
      <c r="A435" s="253"/>
      <c r="B435" s="40"/>
      <c r="C435" s="101"/>
      <c r="D435" s="40"/>
      <c r="E435" s="48"/>
      <c r="F435" s="260"/>
      <c r="G435" s="261"/>
      <c r="H435" s="170"/>
      <c r="I435" s="68" t="s">
        <v>104</v>
      </c>
      <c r="J435" s="49">
        <f>J429-J434</f>
        <v>3068557.7096774192</v>
      </c>
      <c r="L435" s="31"/>
      <c r="M435" s="31"/>
    </row>
    <row r="436" spans="1:13" s="30" customFormat="1" ht="20.45" customHeight="1" x14ac:dyDescent="0.6">
      <c r="A436" s="50" t="s">
        <v>105</v>
      </c>
      <c r="B436" s="31"/>
      <c r="C436" s="31"/>
      <c r="D436" s="31"/>
      <c r="E436" s="31"/>
      <c r="F436" s="31"/>
      <c r="G436" s="31"/>
      <c r="H436" s="167"/>
      <c r="I436" s="31"/>
      <c r="J436" s="51" t="s">
        <v>0</v>
      </c>
      <c r="L436" s="31"/>
      <c r="M436" s="31"/>
    </row>
    <row r="437" spans="1:13" ht="20.45" customHeight="1" x14ac:dyDescent="0.6">
      <c r="A437" s="50"/>
      <c r="J437" s="51"/>
    </row>
    <row r="438" spans="1:13" ht="20.45" customHeight="1" x14ac:dyDescent="0.6">
      <c r="A438" s="264" t="s">
        <v>399</v>
      </c>
      <c r="B438" s="264"/>
      <c r="C438" s="264"/>
      <c r="D438" s="264"/>
      <c r="E438" s="264"/>
      <c r="F438" s="264"/>
      <c r="G438" s="264"/>
      <c r="H438" s="264"/>
      <c r="I438" s="264"/>
      <c r="J438" s="264"/>
    </row>
    <row r="439" spans="1:13" ht="20.45" customHeight="1" x14ac:dyDescent="0.6">
      <c r="A439" s="286" t="s">
        <v>83</v>
      </c>
      <c r="B439" s="286"/>
      <c r="C439" s="286"/>
      <c r="D439" s="286" t="s">
        <v>84</v>
      </c>
      <c r="E439" s="286"/>
      <c r="F439" s="265" t="s">
        <v>85</v>
      </c>
      <c r="G439" s="250"/>
      <c r="H439" s="266"/>
      <c r="I439" s="286" t="s">
        <v>86</v>
      </c>
      <c r="J439" s="286"/>
    </row>
    <row r="440" spans="1:13" ht="20.45" customHeight="1" x14ac:dyDescent="0.6">
      <c r="A440" s="286" t="str">
        <f>VLOOKUP(K440,임금대장!$A$3:$AH$86,3,0)</f>
        <v>핫/즉석</v>
      </c>
      <c r="B440" s="286"/>
      <c r="C440" s="286"/>
      <c r="D440" s="287" t="str">
        <f>VLOOKUP(K440,임금대장!$A$3:$AH$86,2,0)</f>
        <v>황지현</v>
      </c>
      <c r="E440" s="287"/>
      <c r="F440" s="267">
        <f>임금대장!$O$3</f>
        <v>31</v>
      </c>
      <c r="G440" s="269"/>
      <c r="H440" s="268"/>
      <c r="I440" s="288">
        <f>VLOOKUP(K440,임금대장!$A$3:$AH$86,16,0)</f>
        <v>0</v>
      </c>
      <c r="J440" s="288"/>
      <c r="K440" s="30">
        <v>20</v>
      </c>
    </row>
    <row r="441" spans="1:13" ht="20.45" customHeight="1" x14ac:dyDescent="0.6">
      <c r="A441" s="286" t="s">
        <v>87</v>
      </c>
      <c r="B441" s="286"/>
      <c r="C441" s="286" t="s">
        <v>5</v>
      </c>
      <c r="D441" s="289">
        <f>VLOOKUP($K440,임금대장!$A$3:$AH$86,5,0)</f>
        <v>45870</v>
      </c>
      <c r="E441" s="289"/>
      <c r="F441" s="114" t="s">
        <v>88</v>
      </c>
      <c r="G441" s="292">
        <f>VLOOKUP(K440,임금대장!$A$3:$AH$86,15,0)</f>
        <v>31</v>
      </c>
      <c r="H441" s="293"/>
      <c r="I441" s="286" t="s">
        <v>89</v>
      </c>
      <c r="J441" s="290">
        <f>VLOOKUP(K440,임금대장!$A$3:$AH$86,17,0)</f>
        <v>0</v>
      </c>
    </row>
    <row r="442" spans="1:13" ht="20.45" customHeight="1" x14ac:dyDescent="0.6">
      <c r="A442" s="294">
        <f>VLOOKUP($K440,임금대장!$A$3:$AH$86,7,0)</f>
        <v>4300000</v>
      </c>
      <c r="B442" s="294"/>
      <c r="C442" s="286"/>
      <c r="D442" s="289"/>
      <c r="E442" s="289"/>
      <c r="F442" s="115" t="s">
        <v>90</v>
      </c>
      <c r="G442" s="284">
        <f>VLOOKUP(K440,임금대장!$A$3:$AH$86,16,0)</f>
        <v>0</v>
      </c>
      <c r="H442" s="285"/>
      <c r="I442" s="286"/>
      <c r="J442" s="290"/>
    </row>
    <row r="443" spans="1:13" ht="20.45" customHeight="1" x14ac:dyDescent="0.6">
      <c r="F443" s="250"/>
      <c r="G443" s="250"/>
    </row>
    <row r="444" spans="1:13" ht="20.45" customHeight="1" x14ac:dyDescent="0.6">
      <c r="A444" s="251" t="s">
        <v>91</v>
      </c>
      <c r="B444" s="69" t="s">
        <v>20</v>
      </c>
      <c r="C444" s="25">
        <f>VLOOKUP($K440,임금대장!$A$3:$AH$86,9,0)</f>
        <v>3088316</v>
      </c>
      <c r="D444" s="33"/>
      <c r="E444" s="69"/>
      <c r="F444" s="254"/>
      <c r="G444" s="255"/>
      <c r="H444" s="168"/>
      <c r="I444" s="33"/>
      <c r="J444" s="34"/>
    </row>
    <row r="445" spans="1:13" ht="20.45" customHeight="1" x14ac:dyDescent="0.6">
      <c r="A445" s="252"/>
      <c r="B445" s="67" t="s">
        <v>21</v>
      </c>
      <c r="C445" s="35">
        <f>VLOOKUP($K440,임금대장!$A$3:$AH$86,10,0)</f>
        <v>963436</v>
      </c>
      <c r="D445" s="36"/>
      <c r="E445" s="67"/>
      <c r="F445" s="256"/>
      <c r="G445" s="257"/>
      <c r="H445" s="169"/>
      <c r="I445" s="36"/>
      <c r="J445" s="37"/>
    </row>
    <row r="446" spans="1:13" ht="20.45" customHeight="1" x14ac:dyDescent="0.6">
      <c r="A446" s="252"/>
      <c r="B446" s="52" t="s">
        <v>92</v>
      </c>
      <c r="C446" s="35">
        <f>VLOOKUP($K440,임금대장!$A$3:$AH$86,11,0)</f>
        <v>130035</v>
      </c>
      <c r="D446" s="36"/>
      <c r="E446" s="67"/>
      <c r="F446" s="256"/>
      <c r="G446" s="257"/>
      <c r="H446" s="169"/>
      <c r="I446" s="36"/>
      <c r="J446" s="37"/>
    </row>
    <row r="447" spans="1:13" ht="20.45" customHeight="1" x14ac:dyDescent="0.6">
      <c r="A447" s="252"/>
      <c r="B447" s="67" t="s">
        <v>93</v>
      </c>
      <c r="C447" s="35">
        <f>VLOOKUP($K440,임금대장!$A$3:$AH$86,12,0)</f>
        <v>0</v>
      </c>
      <c r="D447" s="36"/>
      <c r="E447" s="67"/>
      <c r="F447" s="256"/>
      <c r="G447" s="257"/>
      <c r="H447" s="169"/>
      <c r="I447" s="36"/>
      <c r="J447" s="37"/>
    </row>
    <row r="448" spans="1:13" ht="20.45" customHeight="1" x14ac:dyDescent="0.6">
      <c r="A448" s="252"/>
      <c r="B448" s="67" t="s">
        <v>94</v>
      </c>
      <c r="C448" s="35">
        <f>VLOOKUP($K440,임금대장!$A$3:$AH$86,13,0)</f>
        <v>118214</v>
      </c>
      <c r="D448" s="36"/>
      <c r="E448" s="36"/>
      <c r="F448" s="258"/>
      <c r="G448" s="259"/>
      <c r="H448" s="169"/>
      <c r="I448" s="36"/>
      <c r="J448" s="37"/>
    </row>
    <row r="449" spans="1:11" ht="20.45" customHeight="1" x14ac:dyDescent="0.6">
      <c r="A449" s="252"/>
      <c r="B449" s="67" t="s">
        <v>24</v>
      </c>
      <c r="C449" s="102">
        <f>VLOOKUP($K440,임금대장!$A$3:$AH$86,14,0)</f>
        <v>485483.87096774194</v>
      </c>
      <c r="D449" s="36"/>
      <c r="E449" s="36"/>
      <c r="F449" s="258"/>
      <c r="G449" s="259"/>
      <c r="H449" s="169"/>
      <c r="I449" s="36"/>
      <c r="J449" s="37"/>
    </row>
    <row r="450" spans="1:11" ht="20.45" customHeight="1" x14ac:dyDescent="0.6">
      <c r="A450" s="252"/>
      <c r="B450" s="67"/>
      <c r="C450" s="35"/>
      <c r="D450" s="36"/>
      <c r="E450" s="36"/>
      <c r="F450" s="258"/>
      <c r="G450" s="259"/>
      <c r="H450" s="169"/>
      <c r="I450" s="36"/>
      <c r="J450" s="37"/>
    </row>
    <row r="451" spans="1:11" ht="20.45" customHeight="1" x14ac:dyDescent="0.6">
      <c r="A451" s="252"/>
      <c r="B451" s="67"/>
      <c r="C451" s="35"/>
      <c r="D451" s="36"/>
      <c r="E451" s="36"/>
      <c r="F451" s="258"/>
      <c r="G451" s="259"/>
      <c r="H451" s="169"/>
      <c r="I451" s="36"/>
      <c r="J451" s="37"/>
    </row>
    <row r="452" spans="1:11" ht="20.45" customHeight="1" x14ac:dyDescent="0.6">
      <c r="A452" s="253"/>
      <c r="B452" s="68"/>
      <c r="C452" s="39"/>
      <c r="D452" s="40"/>
      <c r="E452" s="40"/>
      <c r="F452" s="260"/>
      <c r="G452" s="261"/>
      <c r="H452" s="170"/>
      <c r="I452" s="68" t="s">
        <v>95</v>
      </c>
      <c r="J452" s="41">
        <f>SUM(C444:H450)</f>
        <v>4785484.8709677421</v>
      </c>
    </row>
    <row r="453" spans="1:11" ht="20.45" customHeight="1" x14ac:dyDescent="0.6">
      <c r="A453" s="251" t="s">
        <v>96</v>
      </c>
      <c r="B453" s="36" t="s">
        <v>97</v>
      </c>
      <c r="C453" s="35">
        <f>VLOOKUP($K440,임금대장!$A$3:$AH$86,25,0)</f>
        <v>301810</v>
      </c>
      <c r="D453" s="33"/>
      <c r="E453" s="42"/>
      <c r="F453" s="262" t="s">
        <v>14</v>
      </c>
      <c r="G453" s="263"/>
      <c r="H453" s="169">
        <f>VLOOKUP($K440,임금대장!$A$3:$AH$86,19,0)</f>
        <v>0</v>
      </c>
      <c r="I453" s="33"/>
      <c r="J453" s="34"/>
    </row>
    <row r="454" spans="1:11" ht="20.45" customHeight="1" x14ac:dyDescent="0.6">
      <c r="A454" s="252"/>
      <c r="B454" s="36" t="s">
        <v>98</v>
      </c>
      <c r="C454" s="35">
        <f>VLOOKUP($K440,임금대장!$A$3:$AH$86,26,0)</f>
        <v>30180</v>
      </c>
      <c r="D454" s="36"/>
      <c r="E454" s="43"/>
      <c r="F454" s="258" t="s">
        <v>12</v>
      </c>
      <c r="G454" s="259"/>
      <c r="H454" s="169">
        <f>VLOOKUP($K440,임금대장!$A$3:$AH$86,17,0)</f>
        <v>0</v>
      </c>
      <c r="I454" s="36"/>
      <c r="J454" s="37"/>
    </row>
    <row r="455" spans="1:11" ht="20.45" customHeight="1" x14ac:dyDescent="0.6">
      <c r="A455" s="252"/>
      <c r="B455" s="36" t="s">
        <v>99</v>
      </c>
      <c r="C455" s="35">
        <f>VLOOKUP($K440,임금대장!$A$3:$AH$86,27,0)</f>
        <v>85500</v>
      </c>
      <c r="D455" s="36"/>
      <c r="E455" s="44"/>
      <c r="F455" s="258" t="s">
        <v>100</v>
      </c>
      <c r="G455" s="259"/>
      <c r="H455" s="169">
        <f>VLOOKUP($K440,임금대장!$A$3:$AH$86,31,0)</f>
        <v>0</v>
      </c>
      <c r="I455" s="36"/>
      <c r="J455" s="37"/>
    </row>
    <row r="456" spans="1:11" ht="20.45" customHeight="1" x14ac:dyDescent="0.6">
      <c r="A456" s="252"/>
      <c r="B456" s="36" t="s">
        <v>101</v>
      </c>
      <c r="C456" s="35">
        <f>VLOOKUP($K440,임금대장!$A$3:$AH$86,28,0)</f>
        <v>172030</v>
      </c>
      <c r="D456" s="36"/>
      <c r="E456" s="43"/>
      <c r="F456" s="258" t="s">
        <v>102</v>
      </c>
      <c r="G456" s="259"/>
      <c r="H456" s="169">
        <f>VLOOKUP($K440,임금대장!$A$3:$AH$86,30,0)</f>
        <v>43060</v>
      </c>
      <c r="I456" s="36"/>
      <c r="J456" s="37"/>
    </row>
    <row r="457" spans="1:11" ht="20.45" customHeight="1" x14ac:dyDescent="0.6">
      <c r="A457" s="252"/>
      <c r="B457" s="36" t="s">
        <v>31</v>
      </c>
      <c r="C457" s="35">
        <f>VLOOKUP($K440,임금대장!$A$3:$AH$86,29,0)</f>
        <v>22600</v>
      </c>
      <c r="D457" s="36"/>
      <c r="E457" s="43"/>
      <c r="F457" s="258" t="s">
        <v>328</v>
      </c>
      <c r="G457" s="259"/>
      <c r="H457" s="169">
        <f>VLOOKUP($K440,임금대장!$A$3:$AH$86,32,0)</f>
        <v>0</v>
      </c>
      <c r="I457" s="67" t="s">
        <v>103</v>
      </c>
      <c r="J457" s="47">
        <f>SUM(C453:H458)</f>
        <v>655180</v>
      </c>
    </row>
    <row r="458" spans="1:11" ht="20.45" customHeight="1" x14ac:dyDescent="0.6">
      <c r="A458" s="253"/>
      <c r="B458" s="40"/>
      <c r="C458" s="101"/>
      <c r="D458" s="40"/>
      <c r="E458" s="48"/>
      <c r="F458" s="260"/>
      <c r="G458" s="261"/>
      <c r="H458" s="170"/>
      <c r="I458" s="68" t="s">
        <v>104</v>
      </c>
      <c r="J458" s="49">
        <f>J452-J457</f>
        <v>4130304.8709677421</v>
      </c>
    </row>
    <row r="459" spans="1:11" ht="20.45" customHeight="1" x14ac:dyDescent="0.6">
      <c r="A459" s="50" t="s">
        <v>105</v>
      </c>
      <c r="J459" s="51" t="s">
        <v>0</v>
      </c>
    </row>
    <row r="460" spans="1:11" ht="20.45" customHeight="1" x14ac:dyDescent="0.6">
      <c r="A460" s="50"/>
      <c r="J460" s="51"/>
    </row>
    <row r="461" spans="1:11" ht="20.45" customHeight="1" x14ac:dyDescent="0.6">
      <c r="A461" s="264" t="s">
        <v>399</v>
      </c>
      <c r="B461" s="264"/>
      <c r="C461" s="264"/>
      <c r="D461" s="264"/>
      <c r="E461" s="264"/>
      <c r="F461" s="264"/>
      <c r="G461" s="264"/>
      <c r="H461" s="264"/>
      <c r="I461" s="264"/>
      <c r="J461" s="264"/>
    </row>
    <row r="462" spans="1:11" ht="20.45" customHeight="1" x14ac:dyDescent="0.6">
      <c r="A462" s="286" t="s">
        <v>83</v>
      </c>
      <c r="B462" s="286"/>
      <c r="C462" s="286"/>
      <c r="D462" s="286" t="s">
        <v>84</v>
      </c>
      <c r="E462" s="286"/>
      <c r="F462" s="265" t="s">
        <v>85</v>
      </c>
      <c r="G462" s="250"/>
      <c r="H462" s="266"/>
      <c r="I462" s="286" t="s">
        <v>86</v>
      </c>
      <c r="J462" s="286"/>
    </row>
    <row r="463" spans="1:11" ht="20.45" customHeight="1" x14ac:dyDescent="0.6">
      <c r="A463" s="286" t="str">
        <f>VLOOKUP(K463,임금대장!$A$3:$AH$86,3,0)</f>
        <v>롤</v>
      </c>
      <c r="B463" s="286"/>
      <c r="C463" s="286"/>
      <c r="D463" s="287" t="str">
        <f>VLOOKUP(K463,임금대장!$A$3:$AH$86,2,0)</f>
        <v>허옥자</v>
      </c>
      <c r="E463" s="287"/>
      <c r="F463" s="267">
        <f>임금대장!$O$3</f>
        <v>31</v>
      </c>
      <c r="G463" s="269"/>
      <c r="H463" s="268"/>
      <c r="I463" s="288">
        <f>VLOOKUP(K463,임금대장!$A$3:$AH$86,16,0)</f>
        <v>0</v>
      </c>
      <c r="J463" s="288"/>
      <c r="K463" s="30">
        <v>21</v>
      </c>
    </row>
    <row r="464" spans="1:11" ht="20.45" customHeight="1" x14ac:dyDescent="0.6">
      <c r="A464" s="286" t="s">
        <v>87</v>
      </c>
      <c r="B464" s="286"/>
      <c r="C464" s="286" t="s">
        <v>5</v>
      </c>
      <c r="D464" s="289">
        <f>VLOOKUP($K463,임금대장!$A$3:$AH$86,5,0)</f>
        <v>45887</v>
      </c>
      <c r="E464" s="289"/>
      <c r="F464" s="114" t="s">
        <v>88</v>
      </c>
      <c r="G464" s="292">
        <f>VLOOKUP(K463,임금대장!$A$3:$AH$86,15,0)</f>
        <v>31</v>
      </c>
      <c r="H464" s="293"/>
      <c r="I464" s="286" t="s">
        <v>89</v>
      </c>
      <c r="J464" s="290">
        <f>VLOOKUP(K463,임금대장!$A$3:$AH$86,17,0)</f>
        <v>0</v>
      </c>
    </row>
    <row r="465" spans="1:10" ht="20.45" customHeight="1" x14ac:dyDescent="0.6">
      <c r="A465" s="294">
        <f>VLOOKUP($K463,임금대장!$A$3:$AH$86,7,0)</f>
        <v>3300000</v>
      </c>
      <c r="B465" s="294"/>
      <c r="C465" s="286"/>
      <c r="D465" s="289"/>
      <c r="E465" s="289"/>
      <c r="F465" s="115" t="s">
        <v>90</v>
      </c>
      <c r="G465" s="284">
        <f>VLOOKUP(K463,임금대장!$A$3:$AH$86,16,0)</f>
        <v>0</v>
      </c>
      <c r="H465" s="285"/>
      <c r="I465" s="286"/>
      <c r="J465" s="290"/>
    </row>
    <row r="466" spans="1:10" ht="20.45" customHeight="1" x14ac:dyDescent="0.6">
      <c r="F466" s="250"/>
      <c r="G466" s="250"/>
    </row>
    <row r="467" spans="1:10" ht="20.45" customHeight="1" x14ac:dyDescent="0.6">
      <c r="A467" s="251" t="s">
        <v>91</v>
      </c>
      <c r="B467" s="69" t="s">
        <v>20</v>
      </c>
      <c r="C467" s="25">
        <f>VLOOKUP($K463,임금대장!$A$3:$AH$86,9,0)</f>
        <v>2370103</v>
      </c>
      <c r="D467" s="33"/>
      <c r="E467" s="69"/>
      <c r="F467" s="254"/>
      <c r="G467" s="255"/>
      <c r="H467" s="168"/>
      <c r="I467" s="33"/>
      <c r="J467" s="34"/>
    </row>
    <row r="468" spans="1:10" ht="20.45" customHeight="1" x14ac:dyDescent="0.6">
      <c r="A468" s="252"/>
      <c r="B468" s="67" t="s">
        <v>21</v>
      </c>
      <c r="C468" s="35">
        <f>VLOOKUP($K463,임금대장!$A$3:$AH$86,10,0)</f>
        <v>739381</v>
      </c>
      <c r="D468" s="36"/>
      <c r="E468" s="67"/>
      <c r="F468" s="256"/>
      <c r="G468" s="257"/>
      <c r="H468" s="169"/>
      <c r="I468" s="36"/>
      <c r="J468" s="37"/>
    </row>
    <row r="469" spans="1:10" ht="20.45" customHeight="1" x14ac:dyDescent="0.6">
      <c r="A469" s="252"/>
      <c r="B469" s="52" t="s">
        <v>92</v>
      </c>
      <c r="C469" s="35">
        <f>VLOOKUP($K463,임금대장!$A$3:$AH$86,11,0)</f>
        <v>99794</v>
      </c>
      <c r="D469" s="36"/>
      <c r="E469" s="67"/>
      <c r="F469" s="256"/>
      <c r="G469" s="257"/>
      <c r="H469" s="169"/>
      <c r="I469" s="36"/>
      <c r="J469" s="37"/>
    </row>
    <row r="470" spans="1:10" ht="20.45" customHeight="1" x14ac:dyDescent="0.6">
      <c r="A470" s="252"/>
      <c r="B470" s="67" t="s">
        <v>93</v>
      </c>
      <c r="C470" s="35">
        <f>VLOOKUP($K463,임금대장!$A$3:$AH$86,12,0)</f>
        <v>0</v>
      </c>
      <c r="D470" s="36"/>
      <c r="E470" s="67"/>
      <c r="F470" s="256"/>
      <c r="G470" s="257"/>
      <c r="H470" s="169"/>
      <c r="I470" s="36"/>
      <c r="J470" s="37"/>
    </row>
    <row r="471" spans="1:10" ht="20.45" customHeight="1" x14ac:dyDescent="0.6">
      <c r="A471" s="252"/>
      <c r="B471" s="67" t="s">
        <v>94</v>
      </c>
      <c r="C471" s="35">
        <f>VLOOKUP($K463,임금대장!$A$3:$AH$86,13,0)</f>
        <v>90722</v>
      </c>
      <c r="D471" s="36"/>
      <c r="E471" s="36"/>
      <c r="F471" s="258"/>
      <c r="G471" s="259"/>
      <c r="H471" s="169"/>
      <c r="I471" s="36"/>
      <c r="J471" s="37"/>
    </row>
    <row r="472" spans="1:10" ht="20.45" customHeight="1" x14ac:dyDescent="0.6">
      <c r="A472" s="252"/>
      <c r="B472" s="67" t="s">
        <v>24</v>
      </c>
      <c r="C472" s="102">
        <f>VLOOKUP($K463,임금대장!$A$3:$AH$86,14,0)</f>
        <v>53225.806451612902</v>
      </c>
      <c r="D472" s="36"/>
      <c r="E472" s="36"/>
      <c r="F472" s="258"/>
      <c r="G472" s="259"/>
      <c r="H472" s="169"/>
      <c r="I472" s="36"/>
      <c r="J472" s="37"/>
    </row>
    <row r="473" spans="1:10" ht="20.45" customHeight="1" x14ac:dyDescent="0.6">
      <c r="A473" s="252"/>
      <c r="B473" s="67"/>
      <c r="C473" s="35"/>
      <c r="D473" s="36"/>
      <c r="E473" s="36"/>
      <c r="F473" s="258"/>
      <c r="G473" s="259"/>
      <c r="H473" s="169"/>
      <c r="I473" s="36"/>
      <c r="J473" s="37"/>
    </row>
    <row r="474" spans="1:10" ht="20.45" customHeight="1" x14ac:dyDescent="0.6">
      <c r="A474" s="252"/>
      <c r="B474" s="67"/>
      <c r="C474" s="35"/>
      <c r="D474" s="36"/>
      <c r="E474" s="36"/>
      <c r="F474" s="258"/>
      <c r="G474" s="259"/>
      <c r="H474" s="169"/>
      <c r="I474" s="36"/>
      <c r="J474" s="37"/>
    </row>
    <row r="475" spans="1:10" ht="20.45" customHeight="1" x14ac:dyDescent="0.6">
      <c r="A475" s="253"/>
      <c r="B475" s="68"/>
      <c r="C475" s="39"/>
      <c r="D475" s="40"/>
      <c r="E475" s="40"/>
      <c r="F475" s="260"/>
      <c r="G475" s="261"/>
      <c r="H475" s="170"/>
      <c r="I475" s="68" t="s">
        <v>95</v>
      </c>
      <c r="J475" s="41">
        <f>SUM(C467:H473)</f>
        <v>3353225.8064516131</v>
      </c>
    </row>
    <row r="476" spans="1:10" ht="20.45" customHeight="1" x14ac:dyDescent="0.6">
      <c r="A476" s="251" t="s">
        <v>96</v>
      </c>
      <c r="B476" s="36" t="s">
        <v>97</v>
      </c>
      <c r="C476" s="35">
        <f>VLOOKUP($K463,임금대장!$A$3:$AH$86,25,0)</f>
        <v>105210</v>
      </c>
      <c r="D476" s="33"/>
      <c r="E476" s="42"/>
      <c r="F476" s="262" t="s">
        <v>14</v>
      </c>
      <c r="G476" s="263"/>
      <c r="H476" s="169">
        <f>VLOOKUP($K463,임금대장!$A$3:$AH$86,19,0)</f>
        <v>0</v>
      </c>
      <c r="I476" s="33"/>
      <c r="J476" s="34"/>
    </row>
    <row r="477" spans="1:10" ht="20.45" customHeight="1" x14ac:dyDescent="0.6">
      <c r="A477" s="252"/>
      <c r="B477" s="36" t="s">
        <v>98</v>
      </c>
      <c r="C477" s="35">
        <f>VLOOKUP($K463,임금대장!$A$3:$AH$86,26,0)</f>
        <v>10520</v>
      </c>
      <c r="D477" s="36"/>
      <c r="E477" s="43"/>
      <c r="F477" s="258" t="s">
        <v>12</v>
      </c>
      <c r="G477" s="259"/>
      <c r="H477" s="169">
        <f>VLOOKUP($K463,임금대장!$A$3:$AH$86,17,0)</f>
        <v>0</v>
      </c>
      <c r="I477" s="36"/>
      <c r="J477" s="37"/>
    </row>
    <row r="478" spans="1:10" ht="20.45" customHeight="1" x14ac:dyDescent="0.6">
      <c r="A478" s="252"/>
      <c r="B478" s="36" t="s">
        <v>99</v>
      </c>
      <c r="C478" s="35">
        <f>VLOOKUP($K463,임금대장!$A$3:$AH$86,27,0)</f>
        <v>85500</v>
      </c>
      <c r="D478" s="36"/>
      <c r="E478" s="44"/>
      <c r="F478" s="258" t="s">
        <v>100</v>
      </c>
      <c r="G478" s="259"/>
      <c r="H478" s="169">
        <f>VLOOKUP($K463,임금대장!$A$3:$AH$86,31,0)</f>
        <v>0</v>
      </c>
      <c r="I478" s="36"/>
      <c r="J478" s="37"/>
    </row>
    <row r="479" spans="1:10" ht="20.45" customHeight="1" x14ac:dyDescent="0.6">
      <c r="A479" s="252"/>
      <c r="B479" s="36" t="s">
        <v>101</v>
      </c>
      <c r="C479" s="35">
        <f>VLOOKUP($K463,임금대장!$A$3:$AH$86,28,0)</f>
        <v>120540</v>
      </c>
      <c r="D479" s="36"/>
      <c r="E479" s="43"/>
      <c r="F479" s="258" t="s">
        <v>102</v>
      </c>
      <c r="G479" s="259"/>
      <c r="H479" s="169">
        <f>VLOOKUP($K463,임금대장!$A$3:$AH$86,30,0)</f>
        <v>30170</v>
      </c>
      <c r="I479" s="36"/>
      <c r="J479" s="37"/>
    </row>
    <row r="480" spans="1:10" ht="20.45" customHeight="1" x14ac:dyDescent="0.6">
      <c r="A480" s="252"/>
      <c r="B480" s="36" t="s">
        <v>31</v>
      </c>
      <c r="C480" s="35">
        <f>VLOOKUP($K463,임금대장!$A$3:$AH$86,29,0)</f>
        <v>15830</v>
      </c>
      <c r="D480" s="36"/>
      <c r="E480" s="43"/>
      <c r="F480" s="258" t="s">
        <v>328</v>
      </c>
      <c r="G480" s="259"/>
      <c r="H480" s="169">
        <f>VLOOKUP($K463,임금대장!$A$3:$AH$86,32,0)</f>
        <v>0</v>
      </c>
      <c r="I480" s="67" t="s">
        <v>103</v>
      </c>
      <c r="J480" s="47">
        <f>SUM(C476:H481)</f>
        <v>367770</v>
      </c>
    </row>
    <row r="481" spans="1:11" ht="20.45" customHeight="1" x14ac:dyDescent="0.6">
      <c r="A481" s="253"/>
      <c r="B481" s="40"/>
      <c r="C481" s="101"/>
      <c r="D481" s="40"/>
      <c r="E481" s="48"/>
      <c r="F481" s="260"/>
      <c r="G481" s="261"/>
      <c r="H481" s="170"/>
      <c r="I481" s="68" t="s">
        <v>104</v>
      </c>
      <c r="J481" s="49">
        <f>J475-J480</f>
        <v>2985455.8064516131</v>
      </c>
    </row>
    <row r="482" spans="1:11" ht="20.45" customHeight="1" x14ac:dyDescent="0.6">
      <c r="A482" s="50" t="s">
        <v>105</v>
      </c>
      <c r="J482" s="51" t="s">
        <v>0</v>
      </c>
    </row>
    <row r="483" spans="1:11" ht="20.45" customHeight="1" x14ac:dyDescent="0.6">
      <c r="A483" s="50"/>
      <c r="J483" s="51"/>
    </row>
    <row r="484" spans="1:11" ht="20.45" customHeight="1" x14ac:dyDescent="0.6">
      <c r="A484" s="264" t="s">
        <v>399</v>
      </c>
      <c r="B484" s="264"/>
      <c r="C484" s="264"/>
      <c r="D484" s="264"/>
      <c r="E484" s="264"/>
      <c r="F484" s="264"/>
      <c r="G484" s="264"/>
      <c r="H484" s="264"/>
      <c r="I484" s="264"/>
      <c r="J484" s="264"/>
    </row>
    <row r="485" spans="1:11" ht="20.45" customHeight="1" x14ac:dyDescent="0.6">
      <c r="A485" s="286" t="s">
        <v>83</v>
      </c>
      <c r="B485" s="286"/>
      <c r="C485" s="286"/>
      <c r="D485" s="286" t="s">
        <v>84</v>
      </c>
      <c r="E485" s="286"/>
      <c r="F485" s="265" t="s">
        <v>85</v>
      </c>
      <c r="G485" s="250"/>
      <c r="H485" s="266"/>
      <c r="I485" s="286" t="s">
        <v>86</v>
      </c>
      <c r="J485" s="286"/>
    </row>
    <row r="486" spans="1:11" ht="20.45" customHeight="1" x14ac:dyDescent="0.6">
      <c r="A486" s="286">
        <f>VLOOKUP(K486,임금대장!$A$3:$AH$86,3,0)</f>
        <v>0</v>
      </c>
      <c r="B486" s="286"/>
      <c r="C486" s="286"/>
      <c r="D486" s="287" t="str">
        <f>VLOOKUP(K486,임금대장!$A$3:$AH$86,2,0)</f>
        <v>이금향</v>
      </c>
      <c r="E486" s="287"/>
      <c r="F486" s="267">
        <f>임금대장!$O$3</f>
        <v>31</v>
      </c>
      <c r="G486" s="269"/>
      <c r="H486" s="268"/>
      <c r="I486" s="288">
        <f>VLOOKUP(K486,임금대장!$A$3:$AH$86,16,0)</f>
        <v>1.5</v>
      </c>
      <c r="J486" s="288"/>
      <c r="K486" s="30">
        <v>22</v>
      </c>
    </row>
    <row r="487" spans="1:11" ht="20.45" customHeight="1" x14ac:dyDescent="0.6">
      <c r="A487" s="286" t="s">
        <v>87</v>
      </c>
      <c r="B487" s="286"/>
      <c r="C487" s="286" t="s">
        <v>5</v>
      </c>
      <c r="D487" s="289">
        <f>VLOOKUP($K486,임금대장!$A$3:$AH$86,5,0)</f>
        <v>45888</v>
      </c>
      <c r="E487" s="289"/>
      <c r="F487" s="114" t="s">
        <v>88</v>
      </c>
      <c r="G487" s="292">
        <f>VLOOKUP(K486,임금대장!$A$3:$AH$86,15,0)</f>
        <v>29.5</v>
      </c>
      <c r="H487" s="293"/>
      <c r="I487" s="286" t="s">
        <v>89</v>
      </c>
      <c r="J487" s="290">
        <f>VLOOKUP(K486,임금대장!$A$3:$AH$86,17,0)</f>
        <v>159670</v>
      </c>
    </row>
    <row r="488" spans="1:11" ht="20.45" customHeight="1" x14ac:dyDescent="0.6">
      <c r="A488" s="294">
        <f>VLOOKUP($K486,임금대장!$A$3:$AH$86,7,0)</f>
        <v>3300000</v>
      </c>
      <c r="B488" s="294"/>
      <c r="C488" s="286"/>
      <c r="D488" s="289"/>
      <c r="E488" s="289"/>
      <c r="F488" s="115" t="s">
        <v>90</v>
      </c>
      <c r="G488" s="284">
        <f>VLOOKUP(K486,임금대장!$A$3:$AH$86,16,0)</f>
        <v>1.5</v>
      </c>
      <c r="H488" s="285"/>
      <c r="I488" s="286"/>
      <c r="J488" s="290"/>
    </row>
    <row r="489" spans="1:11" ht="20.45" customHeight="1" x14ac:dyDescent="0.6">
      <c r="F489" s="250"/>
      <c r="G489" s="250"/>
    </row>
    <row r="490" spans="1:11" ht="20.45" customHeight="1" x14ac:dyDescent="0.6">
      <c r="A490" s="251" t="s">
        <v>91</v>
      </c>
      <c r="B490" s="69" t="s">
        <v>20</v>
      </c>
      <c r="C490" s="25">
        <f>VLOOKUP($K486,임금대장!$A$3:$AH$86,9,0)</f>
        <v>2370103</v>
      </c>
      <c r="D490" s="33"/>
      <c r="E490" s="69"/>
      <c r="F490" s="254"/>
      <c r="G490" s="255"/>
      <c r="H490" s="168"/>
      <c r="I490" s="33"/>
      <c r="J490" s="34"/>
    </row>
    <row r="491" spans="1:11" ht="20.45" customHeight="1" x14ac:dyDescent="0.6">
      <c r="A491" s="252"/>
      <c r="B491" s="67" t="s">
        <v>21</v>
      </c>
      <c r="C491" s="35">
        <f>VLOOKUP($K486,임금대장!$A$3:$AH$86,10,0)</f>
        <v>739381</v>
      </c>
      <c r="D491" s="36"/>
      <c r="E491" s="67"/>
      <c r="F491" s="256"/>
      <c r="G491" s="257"/>
      <c r="H491" s="169"/>
      <c r="I491" s="36"/>
      <c r="J491" s="37"/>
    </row>
    <row r="492" spans="1:11" ht="20.45" customHeight="1" x14ac:dyDescent="0.6">
      <c r="A492" s="252"/>
      <c r="B492" s="52" t="s">
        <v>92</v>
      </c>
      <c r="C492" s="35">
        <f>VLOOKUP($K486,임금대장!$A$3:$AH$86,11,0)</f>
        <v>99794</v>
      </c>
      <c r="D492" s="36"/>
      <c r="E492" s="67"/>
      <c r="F492" s="256"/>
      <c r="G492" s="257"/>
      <c r="H492" s="169"/>
      <c r="I492" s="36"/>
      <c r="J492" s="37"/>
    </row>
    <row r="493" spans="1:11" ht="20.45" customHeight="1" x14ac:dyDescent="0.6">
      <c r="A493" s="252"/>
      <c r="B493" s="67" t="s">
        <v>93</v>
      </c>
      <c r="C493" s="35">
        <f>VLOOKUP($K486,임금대장!$A$3:$AH$86,12,0)</f>
        <v>0</v>
      </c>
      <c r="D493" s="36"/>
      <c r="E493" s="67"/>
      <c r="F493" s="256"/>
      <c r="G493" s="257"/>
      <c r="H493" s="169"/>
      <c r="I493" s="36"/>
      <c r="J493" s="37"/>
    </row>
    <row r="494" spans="1:11" ht="20.45" customHeight="1" x14ac:dyDescent="0.6">
      <c r="A494" s="252"/>
      <c r="B494" s="67" t="s">
        <v>94</v>
      </c>
      <c r="C494" s="35">
        <f>VLOOKUP($K486,임금대장!$A$3:$AH$86,13,0)</f>
        <v>90722</v>
      </c>
      <c r="D494" s="36"/>
      <c r="E494" s="36"/>
      <c r="F494" s="258"/>
      <c r="G494" s="259"/>
      <c r="H494" s="169"/>
      <c r="I494" s="36"/>
      <c r="J494" s="37"/>
    </row>
    <row r="495" spans="1:11" ht="20.45" customHeight="1" x14ac:dyDescent="0.6">
      <c r="A495" s="252"/>
      <c r="B495" s="67" t="s">
        <v>24</v>
      </c>
      <c r="C495" s="102">
        <f>VLOOKUP($K486,임금대장!$A$3:$AH$86,14,0)</f>
        <v>0</v>
      </c>
      <c r="D495" s="36"/>
      <c r="E495" s="36"/>
      <c r="F495" s="258"/>
      <c r="G495" s="259"/>
      <c r="H495" s="169"/>
      <c r="I495" s="36"/>
      <c r="J495" s="37"/>
    </row>
    <row r="496" spans="1:11" ht="20.45" customHeight="1" x14ac:dyDescent="0.6">
      <c r="A496" s="252"/>
      <c r="B496" s="67"/>
      <c r="C496" s="35"/>
      <c r="D496" s="36"/>
      <c r="E496" s="36"/>
      <c r="F496" s="258"/>
      <c r="G496" s="259"/>
      <c r="H496" s="169"/>
      <c r="I496" s="36"/>
      <c r="J496" s="37"/>
    </row>
    <row r="497" spans="1:11" ht="20.45" customHeight="1" x14ac:dyDescent="0.6">
      <c r="A497" s="252"/>
      <c r="B497" s="67"/>
      <c r="C497" s="35"/>
      <c r="D497" s="36"/>
      <c r="E497" s="36"/>
      <c r="F497" s="258"/>
      <c r="G497" s="259"/>
      <c r="H497" s="169"/>
      <c r="I497" s="36"/>
      <c r="J497" s="37"/>
    </row>
    <row r="498" spans="1:11" ht="20.45" customHeight="1" x14ac:dyDescent="0.6">
      <c r="A498" s="253"/>
      <c r="B498" s="68"/>
      <c r="C498" s="39"/>
      <c r="D498" s="40"/>
      <c r="E498" s="40"/>
      <c r="F498" s="260"/>
      <c r="G498" s="261"/>
      <c r="H498" s="170"/>
      <c r="I498" s="68" t="s">
        <v>95</v>
      </c>
      <c r="J498" s="41">
        <f>SUM(C490:H496)</f>
        <v>3300000</v>
      </c>
    </row>
    <row r="499" spans="1:11" ht="20.45" customHeight="1" x14ac:dyDescent="0.6">
      <c r="A499" s="251" t="s">
        <v>96</v>
      </c>
      <c r="B499" s="36" t="s">
        <v>97</v>
      </c>
      <c r="C499" s="35">
        <f>VLOOKUP($K486,임금대장!$A$3:$AH$86,25,0)</f>
        <v>84620</v>
      </c>
      <c r="D499" s="33"/>
      <c r="E499" s="42"/>
      <c r="F499" s="262" t="s">
        <v>14</v>
      </c>
      <c r="G499" s="263"/>
      <c r="H499" s="169">
        <f>VLOOKUP($K486,임금대장!$A$3:$AH$86,19,0)</f>
        <v>0</v>
      </c>
      <c r="I499" s="33"/>
      <c r="J499" s="34"/>
    </row>
    <row r="500" spans="1:11" ht="20.45" customHeight="1" x14ac:dyDescent="0.6">
      <c r="A500" s="252"/>
      <c r="B500" s="36" t="s">
        <v>98</v>
      </c>
      <c r="C500" s="35">
        <f>VLOOKUP($K486,임금대장!$A$3:$AH$86,26,0)</f>
        <v>8460</v>
      </c>
      <c r="D500" s="36"/>
      <c r="E500" s="43"/>
      <c r="F500" s="258" t="s">
        <v>12</v>
      </c>
      <c r="G500" s="259"/>
      <c r="H500" s="169">
        <f>VLOOKUP($K486,임금대장!$A$3:$AH$86,17,0)</f>
        <v>159670</v>
      </c>
      <c r="I500" s="36"/>
      <c r="J500" s="37"/>
    </row>
    <row r="501" spans="1:11" ht="20.45" customHeight="1" x14ac:dyDescent="0.6">
      <c r="A501" s="252"/>
      <c r="B501" s="36" t="s">
        <v>99</v>
      </c>
      <c r="C501" s="35">
        <f>VLOOKUP($K486,임금대장!$A$3:$AH$86,27,0)</f>
        <v>85500</v>
      </c>
      <c r="D501" s="36"/>
      <c r="E501" s="44"/>
      <c r="F501" s="258" t="s">
        <v>100</v>
      </c>
      <c r="G501" s="259"/>
      <c r="H501" s="169">
        <f>VLOOKUP($K486,임금대장!$A$3:$AH$86,31,0)</f>
        <v>0</v>
      </c>
      <c r="I501" s="36"/>
      <c r="J501" s="37"/>
    </row>
    <row r="502" spans="1:11" ht="20.45" customHeight="1" x14ac:dyDescent="0.6">
      <c r="A502" s="252"/>
      <c r="B502" s="36" t="s">
        <v>101</v>
      </c>
      <c r="C502" s="35">
        <f>VLOOKUP($K486,임금대장!$A$3:$AH$86,28,0)</f>
        <v>112890</v>
      </c>
      <c r="D502" s="36"/>
      <c r="E502" s="43"/>
      <c r="F502" s="258" t="s">
        <v>102</v>
      </c>
      <c r="G502" s="259"/>
      <c r="H502" s="169">
        <f>VLOOKUP($K486,임금대장!$A$3:$AH$86,30,0)</f>
        <v>28260</v>
      </c>
      <c r="I502" s="36"/>
      <c r="J502" s="37"/>
    </row>
    <row r="503" spans="1:11" ht="20.45" customHeight="1" x14ac:dyDescent="0.6">
      <c r="A503" s="252"/>
      <c r="B503" s="36" t="s">
        <v>31</v>
      </c>
      <c r="C503" s="35">
        <f>VLOOKUP($K486,임금대장!$A$3:$AH$86,29,0)</f>
        <v>14830</v>
      </c>
      <c r="D503" s="36"/>
      <c r="E503" s="43"/>
      <c r="F503" s="258" t="s">
        <v>328</v>
      </c>
      <c r="G503" s="259"/>
      <c r="H503" s="169">
        <f>VLOOKUP($K486,임금대장!$A$3:$AH$86,32,0)</f>
        <v>0</v>
      </c>
      <c r="I503" s="67" t="s">
        <v>103</v>
      </c>
      <c r="J503" s="47">
        <f>SUM(C499:H504)</f>
        <v>494230</v>
      </c>
    </row>
    <row r="504" spans="1:11" ht="20.45" customHeight="1" x14ac:dyDescent="0.6">
      <c r="A504" s="253"/>
      <c r="B504" s="40"/>
      <c r="C504" s="101"/>
      <c r="D504" s="40"/>
      <c r="E504" s="48"/>
      <c r="F504" s="260"/>
      <c r="G504" s="261"/>
      <c r="H504" s="170"/>
      <c r="I504" s="68" t="s">
        <v>104</v>
      </c>
      <c r="J504" s="49">
        <f>J498-J503</f>
        <v>2805770</v>
      </c>
    </row>
    <row r="505" spans="1:11" ht="20.45" customHeight="1" x14ac:dyDescent="0.6">
      <c r="A505" s="50" t="s">
        <v>105</v>
      </c>
      <c r="J505" s="51" t="s">
        <v>0</v>
      </c>
    </row>
    <row r="506" spans="1:11" ht="20.45" customHeight="1" x14ac:dyDescent="0.6">
      <c r="A506" s="50"/>
      <c r="J506" s="51"/>
    </row>
    <row r="507" spans="1:11" ht="20.45" customHeight="1" x14ac:dyDescent="0.6">
      <c r="A507" s="264" t="s">
        <v>399</v>
      </c>
      <c r="B507" s="264"/>
      <c r="C507" s="264"/>
      <c r="D507" s="264"/>
      <c r="E507" s="264"/>
      <c r="F507" s="264"/>
      <c r="G507" s="264"/>
      <c r="H507" s="264"/>
      <c r="I507" s="264"/>
      <c r="J507" s="264"/>
    </row>
    <row r="508" spans="1:11" ht="20.45" customHeight="1" x14ac:dyDescent="0.6">
      <c r="A508" s="286" t="s">
        <v>83</v>
      </c>
      <c r="B508" s="286"/>
      <c r="C508" s="286"/>
      <c r="D508" s="286" t="s">
        <v>84</v>
      </c>
      <c r="E508" s="286"/>
      <c r="F508" s="265" t="s">
        <v>85</v>
      </c>
      <c r="G508" s="250"/>
      <c r="H508" s="266"/>
      <c r="I508" s="286" t="s">
        <v>86</v>
      </c>
      <c r="J508" s="286"/>
    </row>
    <row r="509" spans="1:11" ht="20.45" customHeight="1" x14ac:dyDescent="0.6">
      <c r="A509" s="286" t="str">
        <f>VLOOKUP(K509,임금대장!$A$3:$AH$86,3,0)</f>
        <v>샐러드</v>
      </c>
      <c r="B509" s="286"/>
      <c r="C509" s="286"/>
      <c r="D509" s="287" t="str">
        <f>VLOOKUP(K509,임금대장!$A$3:$AH$86,2,0)</f>
        <v>김린</v>
      </c>
      <c r="E509" s="287"/>
      <c r="F509" s="267">
        <f>임금대장!$O$3</f>
        <v>31</v>
      </c>
      <c r="G509" s="269"/>
      <c r="H509" s="268"/>
      <c r="I509" s="288">
        <f>VLOOKUP(K509,임금대장!$A$3:$AH$86,16,0)</f>
        <v>7</v>
      </c>
      <c r="J509" s="288"/>
      <c r="K509" s="30">
        <v>23</v>
      </c>
    </row>
    <row r="510" spans="1:11" ht="20.45" customHeight="1" x14ac:dyDescent="0.6">
      <c r="A510" s="286" t="s">
        <v>87</v>
      </c>
      <c r="B510" s="286"/>
      <c r="C510" s="286" t="s">
        <v>5</v>
      </c>
      <c r="D510" s="289">
        <f>VLOOKUP($K509,임금대장!$A$3:$AH$86,5,0)</f>
        <v>45890</v>
      </c>
      <c r="E510" s="289"/>
      <c r="F510" s="114" t="s">
        <v>88</v>
      </c>
      <c r="G510" s="292">
        <f>VLOOKUP(K509,임금대장!$A$3:$AH$86,15,0)</f>
        <v>24</v>
      </c>
      <c r="H510" s="293"/>
      <c r="I510" s="286" t="s">
        <v>89</v>
      </c>
      <c r="J510" s="290">
        <f>VLOOKUP(K509,임금대장!$A$3:$AH$86,17,0)</f>
        <v>745160</v>
      </c>
    </row>
    <row r="511" spans="1:11" ht="20.45" customHeight="1" x14ac:dyDescent="0.6">
      <c r="A511" s="294">
        <f>VLOOKUP($K509,임금대장!$A$3:$AH$86,7,0)</f>
        <v>3300000</v>
      </c>
      <c r="B511" s="294"/>
      <c r="C511" s="286"/>
      <c r="D511" s="289"/>
      <c r="E511" s="289"/>
      <c r="F511" s="115" t="s">
        <v>90</v>
      </c>
      <c r="G511" s="284">
        <f>VLOOKUP(K509,임금대장!$A$3:$AH$86,16,0)</f>
        <v>7</v>
      </c>
      <c r="H511" s="285"/>
      <c r="I511" s="286"/>
      <c r="J511" s="290"/>
    </row>
    <row r="512" spans="1:11" ht="20.45" customHeight="1" x14ac:dyDescent="0.6">
      <c r="F512" s="250"/>
      <c r="G512" s="250"/>
    </row>
    <row r="513" spans="1:10" ht="20.45" customHeight="1" x14ac:dyDescent="0.6">
      <c r="A513" s="251" t="s">
        <v>91</v>
      </c>
      <c r="B513" s="69" t="s">
        <v>20</v>
      </c>
      <c r="C513" s="25">
        <f>VLOOKUP($K509,임금대장!$A$3:$AH$86,9,0)</f>
        <v>2370103</v>
      </c>
      <c r="D513" s="33"/>
      <c r="E513" s="69"/>
      <c r="F513" s="254"/>
      <c r="G513" s="255"/>
      <c r="H513" s="168"/>
      <c r="I513" s="33"/>
      <c r="J513" s="34"/>
    </row>
    <row r="514" spans="1:10" ht="20.45" customHeight="1" x14ac:dyDescent="0.6">
      <c r="A514" s="252"/>
      <c r="B514" s="67" t="s">
        <v>21</v>
      </c>
      <c r="C514" s="35">
        <f>VLOOKUP($K509,임금대장!$A$3:$AH$86,10,0)</f>
        <v>739381</v>
      </c>
      <c r="D514" s="36"/>
      <c r="E514" s="67"/>
      <c r="F514" s="256"/>
      <c r="G514" s="257"/>
      <c r="H514" s="169"/>
      <c r="I514" s="36"/>
      <c r="J514" s="37"/>
    </row>
    <row r="515" spans="1:10" ht="20.45" customHeight="1" x14ac:dyDescent="0.6">
      <c r="A515" s="252"/>
      <c r="B515" s="52" t="s">
        <v>92</v>
      </c>
      <c r="C515" s="35">
        <f>VLOOKUP($K509,임금대장!$A$3:$AH$86,11,0)</f>
        <v>99794</v>
      </c>
      <c r="D515" s="36"/>
      <c r="E515" s="67"/>
      <c r="F515" s="256"/>
      <c r="G515" s="257"/>
      <c r="H515" s="169"/>
      <c r="I515" s="36"/>
      <c r="J515" s="37"/>
    </row>
    <row r="516" spans="1:10" ht="20.45" customHeight="1" x14ac:dyDescent="0.6">
      <c r="A516" s="252"/>
      <c r="B516" s="67" t="s">
        <v>93</v>
      </c>
      <c r="C516" s="35">
        <f>VLOOKUP($K509,임금대장!$A$3:$AH$86,12,0)</f>
        <v>0</v>
      </c>
      <c r="D516" s="36"/>
      <c r="E516" s="67"/>
      <c r="F516" s="256"/>
      <c r="G516" s="257"/>
      <c r="H516" s="169"/>
      <c r="I516" s="36"/>
      <c r="J516" s="37"/>
    </row>
    <row r="517" spans="1:10" ht="20.45" customHeight="1" x14ac:dyDescent="0.6">
      <c r="A517" s="252"/>
      <c r="B517" s="67" t="s">
        <v>94</v>
      </c>
      <c r="C517" s="35">
        <f>VLOOKUP($K509,임금대장!$A$3:$AH$86,13,0)</f>
        <v>90722</v>
      </c>
      <c r="D517" s="36"/>
      <c r="E517" s="36"/>
      <c r="F517" s="258"/>
      <c r="G517" s="259"/>
      <c r="H517" s="169"/>
      <c r="I517" s="36"/>
      <c r="J517" s="37"/>
    </row>
    <row r="518" spans="1:10" ht="20.45" customHeight="1" x14ac:dyDescent="0.6">
      <c r="A518" s="252"/>
      <c r="B518" s="67" t="s">
        <v>24</v>
      </c>
      <c r="C518" s="102">
        <f>VLOOKUP($K509,임금대장!$A$3:$AH$86,14,0)</f>
        <v>0</v>
      </c>
      <c r="D518" s="36"/>
      <c r="E518" s="36"/>
      <c r="F518" s="258"/>
      <c r="G518" s="259"/>
      <c r="H518" s="169"/>
      <c r="I518" s="36"/>
      <c r="J518" s="37"/>
    </row>
    <row r="519" spans="1:10" ht="20.45" customHeight="1" x14ac:dyDescent="0.6">
      <c r="A519" s="252"/>
      <c r="B519" s="67"/>
      <c r="C519" s="35"/>
      <c r="D519" s="36"/>
      <c r="E519" s="36"/>
      <c r="F519" s="258"/>
      <c r="G519" s="259"/>
      <c r="H519" s="169"/>
      <c r="I519" s="36"/>
      <c r="J519" s="37"/>
    </row>
    <row r="520" spans="1:10" ht="20.45" customHeight="1" x14ac:dyDescent="0.6">
      <c r="A520" s="252"/>
      <c r="B520" s="67"/>
      <c r="C520" s="35"/>
      <c r="D520" s="36"/>
      <c r="E520" s="36"/>
      <c r="F520" s="258"/>
      <c r="G520" s="259"/>
      <c r="H520" s="169"/>
      <c r="I520" s="36"/>
      <c r="J520" s="37"/>
    </row>
    <row r="521" spans="1:10" ht="20.45" customHeight="1" x14ac:dyDescent="0.6">
      <c r="A521" s="253"/>
      <c r="B521" s="68"/>
      <c r="C521" s="39"/>
      <c r="D521" s="40"/>
      <c r="E521" s="40"/>
      <c r="F521" s="260"/>
      <c r="G521" s="261"/>
      <c r="H521" s="170"/>
      <c r="I521" s="68" t="s">
        <v>95</v>
      </c>
      <c r="J521" s="41">
        <f>SUM(C513:H519)</f>
        <v>3300000</v>
      </c>
    </row>
    <row r="522" spans="1:10" ht="20.45" customHeight="1" x14ac:dyDescent="0.6">
      <c r="A522" s="251" t="s">
        <v>96</v>
      </c>
      <c r="B522" s="36" t="s">
        <v>97</v>
      </c>
      <c r="C522" s="35">
        <f>VLOOKUP($K509,임금대장!$A$3:$AH$86,25,0)</f>
        <v>36970</v>
      </c>
      <c r="D522" s="33"/>
      <c r="E522" s="42"/>
      <c r="F522" s="262" t="s">
        <v>14</v>
      </c>
      <c r="G522" s="263"/>
      <c r="H522" s="169">
        <f>VLOOKUP($K509,임금대장!$A$3:$AH$86,19,0)</f>
        <v>0</v>
      </c>
      <c r="I522" s="33"/>
      <c r="J522" s="34"/>
    </row>
    <row r="523" spans="1:10" ht="20.45" customHeight="1" x14ac:dyDescent="0.6">
      <c r="A523" s="252"/>
      <c r="B523" s="36" t="s">
        <v>98</v>
      </c>
      <c r="C523" s="35">
        <f>VLOOKUP($K509,임금대장!$A$3:$AH$86,26,0)</f>
        <v>3690</v>
      </c>
      <c r="D523" s="36"/>
      <c r="E523" s="43"/>
      <c r="F523" s="258" t="s">
        <v>12</v>
      </c>
      <c r="G523" s="259"/>
      <c r="H523" s="169">
        <f>VLOOKUP($K509,임금대장!$A$3:$AH$86,17,0)</f>
        <v>745160</v>
      </c>
      <c r="I523" s="36"/>
      <c r="J523" s="37"/>
    </row>
    <row r="524" spans="1:10" ht="20.45" customHeight="1" x14ac:dyDescent="0.6">
      <c r="A524" s="252"/>
      <c r="B524" s="36" t="s">
        <v>99</v>
      </c>
      <c r="C524" s="35">
        <f>VLOOKUP($K509,임금대장!$A$3:$AH$86,27,0)</f>
        <v>85500</v>
      </c>
      <c r="D524" s="36"/>
      <c r="E524" s="44"/>
      <c r="F524" s="258" t="s">
        <v>100</v>
      </c>
      <c r="G524" s="259"/>
      <c r="H524" s="169">
        <f>VLOOKUP($K509,임금대장!$A$3:$AH$86,31,0)</f>
        <v>0</v>
      </c>
      <c r="I524" s="36"/>
      <c r="J524" s="37"/>
    </row>
    <row r="525" spans="1:10" ht="20.45" customHeight="1" x14ac:dyDescent="0.6">
      <c r="A525" s="252"/>
      <c r="B525" s="36" t="s">
        <v>101</v>
      </c>
      <c r="C525" s="35">
        <f>VLOOKUP($K509,임금대장!$A$3:$AH$86,28,0)</f>
        <v>91840</v>
      </c>
      <c r="D525" s="36"/>
      <c r="E525" s="43"/>
      <c r="F525" s="258" t="s">
        <v>102</v>
      </c>
      <c r="G525" s="259"/>
      <c r="H525" s="169">
        <f>VLOOKUP($K509,임금대장!$A$3:$AH$86,30,0)</f>
        <v>22990</v>
      </c>
      <c r="I525" s="36"/>
      <c r="J525" s="37"/>
    </row>
    <row r="526" spans="1:10" ht="20.45" customHeight="1" x14ac:dyDescent="0.6">
      <c r="A526" s="252"/>
      <c r="B526" s="36" t="s">
        <v>31</v>
      </c>
      <c r="C526" s="35">
        <f>VLOOKUP($K509,임금대장!$A$3:$AH$86,29,0)</f>
        <v>12060</v>
      </c>
      <c r="D526" s="36"/>
      <c r="E526" s="43"/>
      <c r="F526" s="258" t="s">
        <v>328</v>
      </c>
      <c r="G526" s="259"/>
      <c r="H526" s="169">
        <f>VLOOKUP($K509,임금대장!$A$3:$AH$86,32,0)</f>
        <v>0</v>
      </c>
      <c r="I526" s="67" t="s">
        <v>103</v>
      </c>
      <c r="J526" s="47">
        <f>SUM(C522:H527)</f>
        <v>998210</v>
      </c>
    </row>
    <row r="527" spans="1:10" ht="20.45" customHeight="1" x14ac:dyDescent="0.6">
      <c r="A527" s="253"/>
      <c r="B527" s="40"/>
      <c r="C527" s="101"/>
      <c r="D527" s="40"/>
      <c r="E527" s="48"/>
      <c r="F527" s="260"/>
      <c r="G527" s="261"/>
      <c r="H527" s="170"/>
      <c r="I527" s="68" t="s">
        <v>104</v>
      </c>
      <c r="J527" s="49">
        <f>J521-J526</f>
        <v>2301790</v>
      </c>
    </row>
    <row r="528" spans="1:10" ht="20.45" customHeight="1" x14ac:dyDescent="0.6">
      <c r="A528" s="50" t="s">
        <v>105</v>
      </c>
      <c r="J528" s="51" t="s">
        <v>0</v>
      </c>
    </row>
    <row r="529" spans="1:11" ht="20.45" customHeight="1" x14ac:dyDescent="0.6">
      <c r="A529" s="50"/>
      <c r="J529" s="51"/>
    </row>
    <row r="530" spans="1:11" ht="20.45" customHeight="1" x14ac:dyDescent="0.6">
      <c r="A530" s="264" t="s">
        <v>399</v>
      </c>
      <c r="B530" s="264"/>
      <c r="C530" s="264"/>
      <c r="D530" s="264"/>
      <c r="E530" s="264"/>
      <c r="F530" s="264"/>
      <c r="G530" s="264"/>
      <c r="H530" s="264"/>
      <c r="I530" s="264"/>
      <c r="J530" s="264"/>
    </row>
    <row r="531" spans="1:11" ht="20.45" customHeight="1" x14ac:dyDescent="0.6">
      <c r="A531" s="286" t="s">
        <v>83</v>
      </c>
      <c r="B531" s="286"/>
      <c r="C531" s="286"/>
      <c r="D531" s="286" t="s">
        <v>84</v>
      </c>
      <c r="E531" s="286"/>
      <c r="F531" s="265" t="s">
        <v>85</v>
      </c>
      <c r="G531" s="250"/>
      <c r="H531" s="266"/>
      <c r="I531" s="286" t="s">
        <v>86</v>
      </c>
      <c r="J531" s="286"/>
    </row>
    <row r="532" spans="1:11" ht="20.45" customHeight="1" x14ac:dyDescent="0.6">
      <c r="A532" s="286" t="str">
        <f>VLOOKUP(K532,임금대장!$A$3:$AH$86,3,0)</f>
        <v>홀</v>
      </c>
      <c r="B532" s="286"/>
      <c r="C532" s="286"/>
      <c r="D532" s="287" t="str">
        <f>VLOOKUP(K532,임금대장!$A$3:$AH$86,2,0)</f>
        <v>박성재</v>
      </c>
      <c r="E532" s="287"/>
      <c r="F532" s="267">
        <f>임금대장!$O$3</f>
        <v>31</v>
      </c>
      <c r="G532" s="269"/>
      <c r="H532" s="268"/>
      <c r="I532" s="288">
        <f>VLOOKUP(K532,임금대장!$A$3:$AH$86,16,0)</f>
        <v>31</v>
      </c>
      <c r="J532" s="288"/>
      <c r="K532" s="30">
        <v>24</v>
      </c>
    </row>
    <row r="533" spans="1:11" ht="20.45" customHeight="1" x14ac:dyDescent="0.6">
      <c r="A533" s="286" t="s">
        <v>87</v>
      </c>
      <c r="B533" s="286"/>
      <c r="C533" s="286" t="s">
        <v>5</v>
      </c>
      <c r="D533" s="289">
        <f>VLOOKUP($K532,임금대장!$A$3:$AH$86,5,0)</f>
        <v>45901</v>
      </c>
      <c r="E533" s="289"/>
      <c r="F533" s="114" t="s">
        <v>88</v>
      </c>
      <c r="G533" s="292">
        <f>VLOOKUP(K532,임금대장!$A$3:$AH$86,15,0)</f>
        <v>0</v>
      </c>
      <c r="H533" s="293"/>
      <c r="I533" s="286" t="s">
        <v>89</v>
      </c>
      <c r="J533" s="290">
        <f>VLOOKUP(K532,임금대장!$A$3:$AH$86,17,0)</f>
        <v>3200000</v>
      </c>
    </row>
    <row r="534" spans="1:11" ht="20.45" customHeight="1" x14ac:dyDescent="0.6">
      <c r="A534" s="294">
        <f>VLOOKUP($K532,임금대장!$A$3:$AH$86,7,0)</f>
        <v>3200000</v>
      </c>
      <c r="B534" s="294"/>
      <c r="C534" s="286"/>
      <c r="D534" s="289"/>
      <c r="E534" s="289"/>
      <c r="F534" s="115" t="s">
        <v>90</v>
      </c>
      <c r="G534" s="284">
        <f>VLOOKUP(K532,임금대장!$A$3:$AH$86,16,0)</f>
        <v>31</v>
      </c>
      <c r="H534" s="285"/>
      <c r="I534" s="286"/>
      <c r="J534" s="290"/>
    </row>
    <row r="535" spans="1:11" ht="20.45" customHeight="1" x14ac:dyDescent="0.6">
      <c r="F535" s="250"/>
      <c r="G535" s="250"/>
    </row>
    <row r="536" spans="1:11" ht="20.45" customHeight="1" x14ac:dyDescent="0.6">
      <c r="A536" s="251" t="s">
        <v>91</v>
      </c>
      <c r="B536" s="69" t="s">
        <v>20</v>
      </c>
      <c r="C536" s="25">
        <f>VLOOKUP($K532,임금대장!$A$3:$AH$86,9,0)</f>
        <v>2298282</v>
      </c>
      <c r="D536" s="33"/>
      <c r="E536" s="69"/>
      <c r="F536" s="254"/>
      <c r="G536" s="255"/>
      <c r="H536" s="168"/>
      <c r="I536" s="33"/>
      <c r="J536" s="34"/>
    </row>
    <row r="537" spans="1:11" ht="20.45" customHeight="1" x14ac:dyDescent="0.6">
      <c r="A537" s="252"/>
      <c r="B537" s="67" t="s">
        <v>21</v>
      </c>
      <c r="C537" s="35">
        <f>VLOOKUP($K532,임금대장!$A$3:$AH$86,10,0)</f>
        <v>716975</v>
      </c>
      <c r="D537" s="36"/>
      <c r="E537" s="67"/>
      <c r="F537" s="256"/>
      <c r="G537" s="257"/>
      <c r="H537" s="169"/>
      <c r="I537" s="36"/>
      <c r="J537" s="37"/>
    </row>
    <row r="538" spans="1:11" ht="20.45" customHeight="1" x14ac:dyDescent="0.6">
      <c r="A538" s="252"/>
      <c r="B538" s="52" t="s">
        <v>92</v>
      </c>
      <c r="C538" s="35">
        <f>VLOOKUP($K532,임금대장!$A$3:$AH$86,11,0)</f>
        <v>96770</v>
      </c>
      <c r="D538" s="36"/>
      <c r="E538" s="67"/>
      <c r="F538" s="256"/>
      <c r="G538" s="257"/>
      <c r="H538" s="169"/>
      <c r="I538" s="36"/>
      <c r="J538" s="37"/>
    </row>
    <row r="539" spans="1:11" ht="20.45" customHeight="1" x14ac:dyDescent="0.6">
      <c r="A539" s="252"/>
      <c r="B539" s="67" t="s">
        <v>93</v>
      </c>
      <c r="C539" s="35">
        <f>VLOOKUP($K532,임금대장!$A$3:$AH$86,12,0)</f>
        <v>0</v>
      </c>
      <c r="D539" s="36"/>
      <c r="E539" s="67"/>
      <c r="F539" s="256"/>
      <c r="G539" s="257"/>
      <c r="H539" s="169"/>
      <c r="I539" s="36"/>
      <c r="J539" s="37"/>
    </row>
    <row r="540" spans="1:11" ht="20.45" customHeight="1" x14ac:dyDescent="0.6">
      <c r="A540" s="252"/>
      <c r="B540" s="67" t="s">
        <v>94</v>
      </c>
      <c r="C540" s="35">
        <f>VLOOKUP($K532,임금대장!$A$3:$AH$86,13,0)</f>
        <v>87973</v>
      </c>
      <c r="D540" s="36"/>
      <c r="E540" s="36"/>
      <c r="F540" s="258"/>
      <c r="G540" s="259"/>
      <c r="H540" s="169"/>
      <c r="I540" s="36"/>
      <c r="J540" s="37"/>
    </row>
    <row r="541" spans="1:11" ht="20.45" customHeight="1" x14ac:dyDescent="0.6">
      <c r="A541" s="252"/>
      <c r="B541" s="67" t="s">
        <v>24</v>
      </c>
      <c r="C541" s="102">
        <f>VLOOKUP($K532,임금대장!$A$3:$AH$86,14,0)</f>
        <v>0</v>
      </c>
      <c r="D541" s="36"/>
      <c r="E541" s="36"/>
      <c r="F541" s="258"/>
      <c r="G541" s="259"/>
      <c r="H541" s="169"/>
      <c r="I541" s="36"/>
      <c r="J541" s="37"/>
    </row>
    <row r="542" spans="1:11" ht="20.45" customHeight="1" x14ac:dyDescent="0.6">
      <c r="A542" s="252"/>
      <c r="B542" s="67"/>
      <c r="C542" s="35"/>
      <c r="D542" s="36"/>
      <c r="E542" s="36"/>
      <c r="F542" s="258"/>
      <c r="G542" s="259"/>
      <c r="H542" s="169"/>
      <c r="I542" s="36"/>
      <c r="J542" s="37"/>
    </row>
    <row r="543" spans="1:11" ht="20.45" customHeight="1" x14ac:dyDescent="0.6">
      <c r="A543" s="252"/>
      <c r="B543" s="67"/>
      <c r="C543" s="35"/>
      <c r="D543" s="36"/>
      <c r="E543" s="36"/>
      <c r="F543" s="258"/>
      <c r="G543" s="259"/>
      <c r="H543" s="169"/>
      <c r="I543" s="36"/>
      <c r="J543" s="37"/>
    </row>
    <row r="544" spans="1:11" ht="20.45" customHeight="1" x14ac:dyDescent="0.6">
      <c r="A544" s="253"/>
      <c r="B544" s="68"/>
      <c r="C544" s="39"/>
      <c r="D544" s="40"/>
      <c r="E544" s="40"/>
      <c r="F544" s="260"/>
      <c r="G544" s="261"/>
      <c r="H544" s="170"/>
      <c r="I544" s="68" t="s">
        <v>95</v>
      </c>
      <c r="J544" s="41">
        <f>SUM(C536:H542)</f>
        <v>3200000</v>
      </c>
    </row>
    <row r="545" spans="1:11" ht="20.45" customHeight="1" x14ac:dyDescent="0.6">
      <c r="A545" s="251" t="s">
        <v>96</v>
      </c>
      <c r="B545" s="36" t="s">
        <v>97</v>
      </c>
      <c r="C545" s="35">
        <f>VLOOKUP($K532,임금대장!$A$3:$AH$86,25,0)</f>
        <v>0</v>
      </c>
      <c r="D545" s="33"/>
      <c r="E545" s="42"/>
      <c r="F545" s="262" t="s">
        <v>14</v>
      </c>
      <c r="G545" s="263"/>
      <c r="H545" s="169">
        <f>VLOOKUP($K532,임금대장!$A$3:$AH$86,19,0)</f>
        <v>0</v>
      </c>
      <c r="I545" s="33"/>
      <c r="J545" s="34"/>
    </row>
    <row r="546" spans="1:11" ht="20.45" customHeight="1" x14ac:dyDescent="0.6">
      <c r="A546" s="252"/>
      <c r="B546" s="36" t="s">
        <v>98</v>
      </c>
      <c r="C546" s="35">
        <f>VLOOKUP($K532,임금대장!$A$3:$AH$86,26,0)</f>
        <v>0</v>
      </c>
      <c r="D546" s="36"/>
      <c r="E546" s="43"/>
      <c r="F546" s="258" t="s">
        <v>12</v>
      </c>
      <c r="G546" s="259"/>
      <c r="H546" s="169">
        <f>VLOOKUP($K532,임금대장!$A$3:$AH$86,17,0)</f>
        <v>3200000</v>
      </c>
      <c r="I546" s="36"/>
      <c r="J546" s="37"/>
    </row>
    <row r="547" spans="1:11" ht="20.45" customHeight="1" x14ac:dyDescent="0.6">
      <c r="A547" s="252"/>
      <c r="B547" s="36" t="s">
        <v>99</v>
      </c>
      <c r="C547" s="35">
        <f>VLOOKUP($K532,임금대장!$A$3:$AH$86,27,0)</f>
        <v>0</v>
      </c>
      <c r="D547" s="36"/>
      <c r="E547" s="44"/>
      <c r="F547" s="258" t="s">
        <v>100</v>
      </c>
      <c r="G547" s="259"/>
      <c r="H547" s="169">
        <f>VLOOKUP($K532,임금대장!$A$3:$AH$86,31,0)</f>
        <v>0</v>
      </c>
      <c r="I547" s="36"/>
      <c r="J547" s="37"/>
    </row>
    <row r="548" spans="1:11" ht="20.45" customHeight="1" x14ac:dyDescent="0.6">
      <c r="A548" s="252"/>
      <c r="B548" s="36" t="s">
        <v>101</v>
      </c>
      <c r="C548" s="35">
        <f>VLOOKUP($K532,임금대장!$A$3:$AH$86,28,0)</f>
        <v>0</v>
      </c>
      <c r="D548" s="36"/>
      <c r="E548" s="43"/>
      <c r="F548" s="258" t="s">
        <v>102</v>
      </c>
      <c r="G548" s="259"/>
      <c r="H548" s="169">
        <f>VLOOKUP($K532,임금대장!$A$3:$AH$86,30,0)</f>
        <v>0</v>
      </c>
      <c r="I548" s="36"/>
      <c r="J548" s="37"/>
    </row>
    <row r="549" spans="1:11" ht="20.45" customHeight="1" x14ac:dyDescent="0.6">
      <c r="A549" s="252"/>
      <c r="B549" s="36" t="s">
        <v>31</v>
      </c>
      <c r="C549" s="35">
        <f>VLOOKUP($K532,임금대장!$A$3:$AH$86,29,0)</f>
        <v>0</v>
      </c>
      <c r="D549" s="36"/>
      <c r="E549" s="43"/>
      <c r="F549" s="258" t="s">
        <v>304</v>
      </c>
      <c r="G549" s="259"/>
      <c r="H549" s="169">
        <f>VLOOKUP($K532,임금대장!$A$3:$AH$86,32,0)</f>
        <v>0</v>
      </c>
      <c r="I549" s="67" t="s">
        <v>103</v>
      </c>
      <c r="J549" s="47">
        <f>SUM(C545:H550)</f>
        <v>3200000</v>
      </c>
    </row>
    <row r="550" spans="1:11" ht="20.45" customHeight="1" x14ac:dyDescent="0.6">
      <c r="A550" s="253"/>
      <c r="B550" s="40"/>
      <c r="C550" s="101"/>
      <c r="D550" s="40"/>
      <c r="E550" s="48"/>
      <c r="F550" s="260"/>
      <c r="G550" s="261"/>
      <c r="H550" s="170"/>
      <c r="I550" s="68" t="s">
        <v>104</v>
      </c>
      <c r="J550" s="49">
        <f>J544-J549</f>
        <v>0</v>
      </c>
    </row>
    <row r="551" spans="1:11" ht="20.45" customHeight="1" x14ac:dyDescent="0.6">
      <c r="A551" s="50" t="s">
        <v>105</v>
      </c>
      <c r="J551" s="51" t="s">
        <v>0</v>
      </c>
    </row>
    <row r="552" spans="1:11" ht="20.45" customHeight="1" x14ac:dyDescent="0.6">
      <c r="A552" s="50"/>
      <c r="J552" s="51"/>
    </row>
    <row r="553" spans="1:11" ht="20.45" customHeight="1" x14ac:dyDescent="0.6">
      <c r="A553" s="264" t="s">
        <v>399</v>
      </c>
      <c r="B553" s="264"/>
      <c r="C553" s="264"/>
      <c r="D553" s="264"/>
      <c r="E553" s="264"/>
      <c r="F553" s="264"/>
      <c r="G553" s="264"/>
      <c r="H553" s="264"/>
      <c r="I553" s="264"/>
      <c r="J553" s="264"/>
    </row>
    <row r="554" spans="1:11" ht="20.45" customHeight="1" x14ac:dyDescent="0.6">
      <c r="A554" s="286" t="s">
        <v>83</v>
      </c>
      <c r="B554" s="286"/>
      <c r="C554" s="286"/>
      <c r="D554" s="286" t="s">
        <v>84</v>
      </c>
      <c r="E554" s="286"/>
      <c r="F554" s="265" t="s">
        <v>85</v>
      </c>
      <c r="G554" s="250"/>
      <c r="H554" s="266"/>
      <c r="I554" s="286" t="s">
        <v>86</v>
      </c>
      <c r="J554" s="286"/>
    </row>
    <row r="555" spans="1:11" ht="20.45" customHeight="1" x14ac:dyDescent="0.6">
      <c r="A555" s="286" t="str">
        <f>VLOOKUP(K555,임금대장!$A$3:$AH$86,3,0)</f>
        <v>롤</v>
      </c>
      <c r="B555" s="286"/>
      <c r="C555" s="286"/>
      <c r="D555" s="287" t="str">
        <f>VLOOKUP(K555,임금대장!$A$3:$AH$86,2,0)</f>
        <v>김연희</v>
      </c>
      <c r="E555" s="287"/>
      <c r="F555" s="267">
        <f>임금대장!$O$3</f>
        <v>31</v>
      </c>
      <c r="G555" s="269"/>
      <c r="H555" s="268"/>
      <c r="I555" s="288">
        <f>VLOOKUP(K555,임금대장!$A$3:$AH$86,16,0)</f>
        <v>0</v>
      </c>
      <c r="J555" s="288"/>
      <c r="K555" s="30">
        <v>25</v>
      </c>
    </row>
    <row r="556" spans="1:11" ht="20.45" customHeight="1" x14ac:dyDescent="0.6">
      <c r="A556" s="286" t="s">
        <v>87</v>
      </c>
      <c r="B556" s="286"/>
      <c r="C556" s="286" t="s">
        <v>5</v>
      </c>
      <c r="D556" s="289">
        <f>VLOOKUP($K555,임금대장!$A$3:$AH$86,5,0)</f>
        <v>45901</v>
      </c>
      <c r="E556" s="289"/>
      <c r="F556" s="114" t="s">
        <v>88</v>
      </c>
      <c r="G556" s="292">
        <f>VLOOKUP(K555,임금대장!$A$3:$AH$86,15,0)</f>
        <v>31</v>
      </c>
      <c r="H556" s="293"/>
      <c r="I556" s="286" t="s">
        <v>89</v>
      </c>
      <c r="J556" s="290">
        <f>VLOOKUP(K555,임금대장!$A$3:$AH$86,17,0)</f>
        <v>0</v>
      </c>
    </row>
    <row r="557" spans="1:11" ht="20.45" customHeight="1" x14ac:dyDescent="0.6">
      <c r="A557" s="294">
        <f>VLOOKUP($K555,임금대장!$A$3:$AH$86,7,0)</f>
        <v>3300000</v>
      </c>
      <c r="B557" s="294"/>
      <c r="C557" s="286"/>
      <c r="D557" s="289"/>
      <c r="E557" s="289"/>
      <c r="F557" s="115" t="s">
        <v>90</v>
      </c>
      <c r="G557" s="284">
        <f>VLOOKUP(K555,임금대장!$A$3:$AH$86,16,0)</f>
        <v>0</v>
      </c>
      <c r="H557" s="285"/>
      <c r="I557" s="286"/>
      <c r="J557" s="290"/>
    </row>
    <row r="558" spans="1:11" ht="20.45" customHeight="1" x14ac:dyDescent="0.6">
      <c r="F558" s="250"/>
      <c r="G558" s="250"/>
    </row>
    <row r="559" spans="1:11" ht="20.45" customHeight="1" x14ac:dyDescent="0.6">
      <c r="A559" s="251" t="s">
        <v>91</v>
      </c>
      <c r="B559" s="69" t="s">
        <v>20</v>
      </c>
      <c r="C559" s="25">
        <f>VLOOKUP($K555,임금대장!$A$3:$AH$86,9,0)</f>
        <v>2370103</v>
      </c>
      <c r="D559" s="33"/>
      <c r="E559" s="69"/>
      <c r="F559" s="254"/>
      <c r="G559" s="255"/>
      <c r="H559" s="168"/>
      <c r="I559" s="33"/>
      <c r="J559" s="34"/>
    </row>
    <row r="560" spans="1:11" ht="20.45" customHeight="1" x14ac:dyDescent="0.6">
      <c r="A560" s="252"/>
      <c r="B560" s="67" t="s">
        <v>21</v>
      </c>
      <c r="C560" s="35">
        <f>VLOOKUP($K555,임금대장!$A$3:$AH$86,10,0)</f>
        <v>739381</v>
      </c>
      <c r="D560" s="36"/>
      <c r="E560" s="67"/>
      <c r="F560" s="256"/>
      <c r="G560" s="257"/>
      <c r="H560" s="169"/>
      <c r="I560" s="36"/>
      <c r="J560" s="37"/>
    </row>
    <row r="561" spans="1:10" ht="20.45" customHeight="1" x14ac:dyDescent="0.6">
      <c r="A561" s="252"/>
      <c r="B561" s="52" t="s">
        <v>92</v>
      </c>
      <c r="C561" s="35">
        <f>VLOOKUP($K555,임금대장!$A$3:$AH$86,11,0)</f>
        <v>99794</v>
      </c>
      <c r="D561" s="36"/>
      <c r="E561" s="67"/>
      <c r="F561" s="256"/>
      <c r="G561" s="257"/>
      <c r="H561" s="169"/>
      <c r="I561" s="36"/>
      <c r="J561" s="37"/>
    </row>
    <row r="562" spans="1:10" ht="20.45" customHeight="1" x14ac:dyDescent="0.6">
      <c r="A562" s="252"/>
      <c r="B562" s="67" t="s">
        <v>93</v>
      </c>
      <c r="C562" s="35">
        <f>VLOOKUP($K555,임금대장!$A$3:$AH$86,12,0)</f>
        <v>0</v>
      </c>
      <c r="D562" s="36"/>
      <c r="E562" s="67"/>
      <c r="F562" s="256"/>
      <c r="G562" s="257"/>
      <c r="H562" s="169"/>
      <c r="I562" s="36"/>
      <c r="J562" s="37"/>
    </row>
    <row r="563" spans="1:10" ht="20.45" customHeight="1" x14ac:dyDescent="0.6">
      <c r="A563" s="252"/>
      <c r="B563" s="67" t="s">
        <v>94</v>
      </c>
      <c r="C563" s="35">
        <f>VLOOKUP($K555,임금대장!$A$3:$AH$86,13,0)</f>
        <v>90722</v>
      </c>
      <c r="D563" s="36"/>
      <c r="E563" s="36"/>
      <c r="F563" s="258"/>
      <c r="G563" s="259"/>
      <c r="H563" s="169"/>
      <c r="I563" s="36"/>
      <c r="J563" s="37"/>
    </row>
    <row r="564" spans="1:10" ht="20.45" customHeight="1" x14ac:dyDescent="0.6">
      <c r="A564" s="252"/>
      <c r="B564" s="67" t="s">
        <v>24</v>
      </c>
      <c r="C564" s="102">
        <f>VLOOKUP($K555,임금대장!$A$3:$AH$86,14,0)</f>
        <v>159677.4193548387</v>
      </c>
      <c r="D564" s="36"/>
      <c r="E564" s="36"/>
      <c r="F564" s="258"/>
      <c r="G564" s="259"/>
      <c r="H564" s="169"/>
      <c r="I564" s="36"/>
      <c r="J564" s="37"/>
    </row>
    <row r="565" spans="1:10" ht="20.45" customHeight="1" x14ac:dyDescent="0.6">
      <c r="A565" s="252"/>
      <c r="B565" s="67"/>
      <c r="C565" s="35"/>
      <c r="D565" s="36"/>
      <c r="E565" s="36"/>
      <c r="F565" s="258"/>
      <c r="G565" s="259"/>
      <c r="H565" s="169"/>
      <c r="I565" s="36"/>
      <c r="J565" s="37"/>
    </row>
    <row r="566" spans="1:10" ht="20.45" customHeight="1" x14ac:dyDescent="0.6">
      <c r="A566" s="252"/>
      <c r="B566" s="67"/>
      <c r="C566" s="35"/>
      <c r="D566" s="36"/>
      <c r="E566" s="36"/>
      <c r="F566" s="258"/>
      <c r="G566" s="259"/>
      <c r="H566" s="169"/>
      <c r="I566" s="36"/>
      <c r="J566" s="37"/>
    </row>
    <row r="567" spans="1:10" ht="20.45" customHeight="1" x14ac:dyDescent="0.6">
      <c r="A567" s="253"/>
      <c r="B567" s="68"/>
      <c r="C567" s="39"/>
      <c r="D567" s="40"/>
      <c r="E567" s="40"/>
      <c r="F567" s="260"/>
      <c r="G567" s="261"/>
      <c r="H567" s="170"/>
      <c r="I567" s="68" t="s">
        <v>95</v>
      </c>
      <c r="J567" s="41">
        <f>SUM(C559:H565)</f>
        <v>3459677.4193548388</v>
      </c>
    </row>
    <row r="568" spans="1:10" ht="20.45" customHeight="1" x14ac:dyDescent="0.6">
      <c r="A568" s="251" t="s">
        <v>96</v>
      </c>
      <c r="B568" s="36" t="s">
        <v>97</v>
      </c>
      <c r="C568" s="35">
        <f>VLOOKUP($K555,임금대장!$A$3:$AH$86,25,0)</f>
        <v>117440</v>
      </c>
      <c r="D568" s="33"/>
      <c r="E568" s="42"/>
      <c r="F568" s="262" t="s">
        <v>14</v>
      </c>
      <c r="G568" s="263"/>
      <c r="H568" s="169">
        <f>VLOOKUP($K555,임금대장!$A$3:$AH$86,19,0)</f>
        <v>0</v>
      </c>
      <c r="I568" s="33"/>
      <c r="J568" s="34"/>
    </row>
    <row r="569" spans="1:10" ht="20.45" customHeight="1" x14ac:dyDescent="0.6">
      <c r="A569" s="252"/>
      <c r="B569" s="36" t="s">
        <v>98</v>
      </c>
      <c r="C569" s="35">
        <f>VLOOKUP($K555,임금대장!$A$3:$AH$86,26,0)</f>
        <v>11740</v>
      </c>
      <c r="D569" s="36"/>
      <c r="E569" s="43"/>
      <c r="F569" s="258" t="s">
        <v>12</v>
      </c>
      <c r="G569" s="259"/>
      <c r="H569" s="169">
        <f>VLOOKUP($K555,임금대장!$A$3:$AH$86,17,0)</f>
        <v>0</v>
      </c>
      <c r="I569" s="36"/>
      <c r="J569" s="37"/>
    </row>
    <row r="570" spans="1:10" ht="20.45" customHeight="1" x14ac:dyDescent="0.6">
      <c r="A570" s="252"/>
      <c r="B570" s="36" t="s">
        <v>99</v>
      </c>
      <c r="C570" s="35">
        <f>VLOOKUP($K555,임금대장!$A$3:$AH$86,27,0)</f>
        <v>85500</v>
      </c>
      <c r="D570" s="36"/>
      <c r="E570" s="44"/>
      <c r="F570" s="258" t="s">
        <v>100</v>
      </c>
      <c r="G570" s="259"/>
      <c r="H570" s="169">
        <f>VLOOKUP($K555,임금대장!$A$3:$AH$86,31,0)</f>
        <v>0</v>
      </c>
      <c r="I570" s="36"/>
      <c r="J570" s="37"/>
    </row>
    <row r="571" spans="1:10" ht="20.45" customHeight="1" x14ac:dyDescent="0.6">
      <c r="A571" s="252"/>
      <c r="B571" s="36" t="s">
        <v>101</v>
      </c>
      <c r="C571" s="35">
        <f>VLOOKUP($K555,임금대장!$A$3:$AH$86,28,0)</f>
        <v>124370</v>
      </c>
      <c r="D571" s="36"/>
      <c r="E571" s="43"/>
      <c r="F571" s="258" t="s">
        <v>102</v>
      </c>
      <c r="G571" s="259"/>
      <c r="H571" s="169">
        <f>VLOOKUP($K555,임금대장!$A$3:$AH$86,30,0)</f>
        <v>0</v>
      </c>
      <c r="I571" s="36"/>
      <c r="J571" s="37"/>
    </row>
    <row r="572" spans="1:10" ht="20.45" customHeight="1" x14ac:dyDescent="0.6">
      <c r="A572" s="252"/>
      <c r="B572" s="36" t="s">
        <v>31</v>
      </c>
      <c r="C572" s="35">
        <f>VLOOKUP($K555,임금대장!$A$3:$AH$86,29,0)</f>
        <v>16340</v>
      </c>
      <c r="D572" s="36"/>
      <c r="E572" s="43"/>
      <c r="F572" s="258" t="s">
        <v>328</v>
      </c>
      <c r="G572" s="259"/>
      <c r="H572" s="169">
        <f>VLOOKUP($K555,임금대장!$A$3:$AH$86,32,0)</f>
        <v>0</v>
      </c>
      <c r="I572" s="67" t="s">
        <v>103</v>
      </c>
      <c r="J572" s="47">
        <f>SUM(C568:H573)</f>
        <v>355390</v>
      </c>
    </row>
    <row r="573" spans="1:10" ht="20.45" customHeight="1" x14ac:dyDescent="0.6">
      <c r="A573" s="253"/>
      <c r="B573" s="40"/>
      <c r="C573" s="101"/>
      <c r="D573" s="40"/>
      <c r="E573" s="48"/>
      <c r="F573" s="260"/>
      <c r="G573" s="261"/>
      <c r="H573" s="170"/>
      <c r="I573" s="68" t="s">
        <v>104</v>
      </c>
      <c r="J573" s="49">
        <f>J567-J572</f>
        <v>3104287.4193548388</v>
      </c>
    </row>
    <row r="574" spans="1:10" ht="20.45" customHeight="1" x14ac:dyDescent="0.6">
      <c r="A574" s="50" t="s">
        <v>105</v>
      </c>
      <c r="J574" s="51" t="s">
        <v>0</v>
      </c>
    </row>
    <row r="575" spans="1:10" ht="20.45" customHeight="1" x14ac:dyDescent="0.6">
      <c r="A575" s="50"/>
      <c r="J575" s="51"/>
    </row>
    <row r="576" spans="1:10" ht="20.45" customHeight="1" x14ac:dyDescent="0.6">
      <c r="A576" s="264" t="s">
        <v>399</v>
      </c>
      <c r="B576" s="264"/>
      <c r="C576" s="264"/>
      <c r="D576" s="264"/>
      <c r="E576" s="264"/>
      <c r="F576" s="264"/>
      <c r="G576" s="264"/>
      <c r="H576" s="264"/>
      <c r="I576" s="264"/>
      <c r="J576" s="264"/>
    </row>
    <row r="577" spans="1:11" ht="20.45" customHeight="1" x14ac:dyDescent="0.6">
      <c r="A577" s="286" t="s">
        <v>83</v>
      </c>
      <c r="B577" s="286"/>
      <c r="C577" s="286"/>
      <c r="D577" s="286" t="s">
        <v>84</v>
      </c>
      <c r="E577" s="286"/>
      <c r="F577" s="265" t="s">
        <v>85</v>
      </c>
      <c r="G577" s="250"/>
      <c r="H577" s="266"/>
      <c r="I577" s="286" t="s">
        <v>86</v>
      </c>
      <c r="J577" s="286"/>
    </row>
    <row r="578" spans="1:11" ht="20.45" customHeight="1" x14ac:dyDescent="0.6">
      <c r="A578" s="286" t="str">
        <f>VLOOKUP(K578,임금대장!$A$3:$AH$86,3,0)</f>
        <v>핫/즉석</v>
      </c>
      <c r="B578" s="286"/>
      <c r="C578" s="286"/>
      <c r="D578" s="287" t="str">
        <f>VLOOKUP(K578,임금대장!$A$3:$AH$86,2,0)</f>
        <v>전용현</v>
      </c>
      <c r="E578" s="287"/>
      <c r="F578" s="267">
        <f>임금대장!$O$3</f>
        <v>31</v>
      </c>
      <c r="G578" s="269"/>
      <c r="H578" s="268"/>
      <c r="I578" s="288">
        <f>VLOOKUP(K578,임금대장!$A$3:$AH$86,16,0)</f>
        <v>20</v>
      </c>
      <c r="J578" s="288"/>
      <c r="K578" s="30">
        <v>26</v>
      </c>
    </row>
    <row r="579" spans="1:11" ht="20.45" customHeight="1" x14ac:dyDescent="0.6">
      <c r="A579" s="286" t="s">
        <v>87</v>
      </c>
      <c r="B579" s="286"/>
      <c r="C579" s="286" t="s">
        <v>5</v>
      </c>
      <c r="D579" s="289">
        <f>VLOOKUP($K578,임금대장!$A$3:$AH$86,5,0)</f>
        <v>45908</v>
      </c>
      <c r="E579" s="289"/>
      <c r="F579" s="114" t="s">
        <v>88</v>
      </c>
      <c r="G579" s="292">
        <f>VLOOKUP(K578,임금대장!$A$3:$AH$86,15,0)</f>
        <v>11</v>
      </c>
      <c r="H579" s="293"/>
      <c r="I579" s="286" t="s">
        <v>89</v>
      </c>
      <c r="J579" s="290">
        <f>VLOOKUP(K578,임금대장!$A$3:$AH$86,17,0)</f>
        <v>2064510</v>
      </c>
    </row>
    <row r="580" spans="1:11" ht="20.45" customHeight="1" x14ac:dyDescent="0.6">
      <c r="A580" s="294">
        <f>VLOOKUP($K578,임금대장!$A$3:$AH$86,7,0)</f>
        <v>3200000</v>
      </c>
      <c r="B580" s="294"/>
      <c r="C580" s="286"/>
      <c r="D580" s="289"/>
      <c r="E580" s="289"/>
      <c r="F580" s="115" t="s">
        <v>90</v>
      </c>
      <c r="G580" s="284">
        <f>VLOOKUP(K578,임금대장!$A$3:$AH$86,16,0)</f>
        <v>20</v>
      </c>
      <c r="H580" s="285"/>
      <c r="I580" s="286"/>
      <c r="J580" s="290"/>
    </row>
    <row r="581" spans="1:11" ht="20.45" customHeight="1" x14ac:dyDescent="0.6">
      <c r="F581" s="250"/>
      <c r="G581" s="250"/>
    </row>
    <row r="582" spans="1:11" ht="20.45" customHeight="1" x14ac:dyDescent="0.6">
      <c r="A582" s="251" t="s">
        <v>91</v>
      </c>
      <c r="B582" s="69" t="s">
        <v>20</v>
      </c>
      <c r="C582" s="25">
        <f>VLOOKUP($K578,임금대장!$A$3:$AH$86,9,0)</f>
        <v>2298282</v>
      </c>
      <c r="D582" s="33"/>
      <c r="E582" s="69"/>
      <c r="F582" s="254"/>
      <c r="G582" s="255"/>
      <c r="H582" s="168"/>
      <c r="I582" s="33"/>
      <c r="J582" s="34"/>
    </row>
    <row r="583" spans="1:11" ht="20.45" customHeight="1" x14ac:dyDescent="0.6">
      <c r="A583" s="252"/>
      <c r="B583" s="67" t="s">
        <v>21</v>
      </c>
      <c r="C583" s="35">
        <f>VLOOKUP($K578,임금대장!$A$3:$AH$86,10,0)</f>
        <v>716975</v>
      </c>
      <c r="D583" s="36"/>
      <c r="E583" s="67"/>
      <c r="F583" s="256"/>
      <c r="G583" s="257"/>
      <c r="H583" s="169"/>
      <c r="I583" s="36"/>
      <c r="J583" s="37"/>
    </row>
    <row r="584" spans="1:11" ht="20.45" customHeight="1" x14ac:dyDescent="0.6">
      <c r="A584" s="252"/>
      <c r="B584" s="52" t="s">
        <v>92</v>
      </c>
      <c r="C584" s="35">
        <f>VLOOKUP($K578,임금대장!$A$3:$AH$86,11,0)</f>
        <v>96770</v>
      </c>
      <c r="D584" s="36"/>
      <c r="E584" s="67"/>
      <c r="F584" s="256"/>
      <c r="G584" s="257"/>
      <c r="H584" s="169"/>
      <c r="I584" s="36"/>
      <c r="J584" s="37"/>
    </row>
    <row r="585" spans="1:11" ht="20.45" customHeight="1" x14ac:dyDescent="0.6">
      <c r="A585" s="252"/>
      <c r="B585" s="67" t="s">
        <v>93</v>
      </c>
      <c r="C585" s="35">
        <f>VLOOKUP($K578,임금대장!$A$3:$AH$86,12,0)</f>
        <v>0</v>
      </c>
      <c r="D585" s="36"/>
      <c r="E585" s="67"/>
      <c r="F585" s="256"/>
      <c r="G585" s="257"/>
      <c r="H585" s="169"/>
      <c r="I585" s="36"/>
      <c r="J585" s="37"/>
    </row>
    <row r="586" spans="1:11" ht="20.45" customHeight="1" x14ac:dyDescent="0.6">
      <c r="A586" s="252"/>
      <c r="B586" s="67" t="s">
        <v>94</v>
      </c>
      <c r="C586" s="35">
        <f>VLOOKUP($K578,임금대장!$A$3:$AH$86,13,0)</f>
        <v>87973</v>
      </c>
      <c r="D586" s="36"/>
      <c r="E586" s="36"/>
      <c r="F586" s="258"/>
      <c r="G586" s="259"/>
      <c r="H586" s="169"/>
      <c r="I586" s="36"/>
      <c r="J586" s="37"/>
    </row>
    <row r="587" spans="1:11" ht="20.45" customHeight="1" x14ac:dyDescent="0.6">
      <c r="A587" s="252"/>
      <c r="B587" s="67" t="s">
        <v>24</v>
      </c>
      <c r="C587" s="102">
        <f>VLOOKUP($K578,임금대장!$A$3:$AH$86,14,0)</f>
        <v>0</v>
      </c>
      <c r="D587" s="36"/>
      <c r="E587" s="36"/>
      <c r="F587" s="258"/>
      <c r="G587" s="259"/>
      <c r="H587" s="169"/>
      <c r="I587" s="36"/>
      <c r="J587" s="37"/>
    </row>
    <row r="588" spans="1:11" ht="20.45" customHeight="1" x14ac:dyDescent="0.6">
      <c r="A588" s="252"/>
      <c r="B588" s="67"/>
      <c r="C588" s="35"/>
      <c r="D588" s="36"/>
      <c r="E588" s="36"/>
      <c r="F588" s="258"/>
      <c r="G588" s="259"/>
      <c r="H588" s="169"/>
      <c r="I588" s="36"/>
      <c r="J588" s="37"/>
    </row>
    <row r="589" spans="1:11" ht="20.45" customHeight="1" x14ac:dyDescent="0.6">
      <c r="A589" s="252"/>
      <c r="B589" s="67"/>
      <c r="C589" s="35"/>
      <c r="D589" s="36"/>
      <c r="E589" s="36"/>
      <c r="F589" s="258"/>
      <c r="G589" s="259"/>
      <c r="H589" s="169"/>
      <c r="I589" s="36"/>
      <c r="J589" s="37"/>
    </row>
    <row r="590" spans="1:11" ht="20.45" customHeight="1" x14ac:dyDescent="0.6">
      <c r="A590" s="253"/>
      <c r="B590" s="68"/>
      <c r="C590" s="39"/>
      <c r="D590" s="40"/>
      <c r="E590" s="40"/>
      <c r="F590" s="260"/>
      <c r="G590" s="261"/>
      <c r="H590" s="170"/>
      <c r="I590" s="68" t="s">
        <v>95</v>
      </c>
      <c r="J590" s="41">
        <f>SUM(C582:H588)</f>
        <v>3200000</v>
      </c>
    </row>
    <row r="591" spans="1:11" ht="20.45" customHeight="1" x14ac:dyDescent="0.6">
      <c r="A591" s="251" t="s">
        <v>96</v>
      </c>
      <c r="B591" s="36" t="s">
        <v>97</v>
      </c>
      <c r="C591" s="35">
        <f>VLOOKUP($K578,임금대장!$A$3:$AH$86,25,0)</f>
        <v>0</v>
      </c>
      <c r="D591" s="33"/>
      <c r="E591" s="42"/>
      <c r="F591" s="262" t="s">
        <v>14</v>
      </c>
      <c r="G591" s="263"/>
      <c r="H591" s="169">
        <f>VLOOKUP($K578,임금대장!$A$3:$AH$86,19,0)</f>
        <v>0</v>
      </c>
      <c r="I591" s="33"/>
      <c r="J591" s="34"/>
    </row>
    <row r="592" spans="1:11" ht="20.45" customHeight="1" x14ac:dyDescent="0.6">
      <c r="A592" s="252"/>
      <c r="B592" s="36" t="s">
        <v>98</v>
      </c>
      <c r="C592" s="35">
        <f>VLOOKUP($K578,임금대장!$A$3:$AH$86,26,0)</f>
        <v>0</v>
      </c>
      <c r="D592" s="36"/>
      <c r="E592" s="43"/>
      <c r="F592" s="258" t="s">
        <v>12</v>
      </c>
      <c r="G592" s="259"/>
      <c r="H592" s="169">
        <f>VLOOKUP($K578,임금대장!$A$3:$AH$86,17,0)</f>
        <v>2064510</v>
      </c>
      <c r="I592" s="36"/>
      <c r="J592" s="37"/>
    </row>
    <row r="593" spans="1:12" ht="20.45" customHeight="1" x14ac:dyDescent="0.6">
      <c r="A593" s="252"/>
      <c r="B593" s="36" t="s">
        <v>99</v>
      </c>
      <c r="C593" s="35">
        <f>VLOOKUP($K578,임금대장!$A$3:$AH$86,27,0)</f>
        <v>85500</v>
      </c>
      <c r="D593" s="36"/>
      <c r="E593" s="44"/>
      <c r="F593" s="258" t="s">
        <v>100</v>
      </c>
      <c r="G593" s="259"/>
      <c r="H593" s="169">
        <f>VLOOKUP($K578,임금대장!$A$3:$AH$86,31,0)</f>
        <v>0</v>
      </c>
      <c r="I593" s="36"/>
      <c r="J593" s="37"/>
    </row>
    <row r="594" spans="1:12" ht="20.45" customHeight="1" x14ac:dyDescent="0.6">
      <c r="A594" s="252"/>
      <c r="B594" s="36" t="s">
        <v>101</v>
      </c>
      <c r="C594" s="35">
        <f>VLOOKUP($K578,임금대장!$A$3:$AH$86,28,0)</f>
        <v>40820</v>
      </c>
      <c r="D594" s="36"/>
      <c r="E594" s="43"/>
      <c r="F594" s="258" t="s">
        <v>102</v>
      </c>
      <c r="G594" s="259"/>
      <c r="H594" s="169">
        <f>VLOOKUP($K578,임금대장!$A$3:$AH$86,30,0)</f>
        <v>10210</v>
      </c>
      <c r="I594" s="36"/>
      <c r="J594" s="37"/>
    </row>
    <row r="595" spans="1:12" ht="20.45" customHeight="1" x14ac:dyDescent="0.6">
      <c r="A595" s="252"/>
      <c r="B595" s="36" t="s">
        <v>31</v>
      </c>
      <c r="C595" s="35">
        <f>VLOOKUP($K578,임금대장!$A$3:$AH$86,29,0)</f>
        <v>5360</v>
      </c>
      <c r="D595" s="36"/>
      <c r="E595" s="43"/>
      <c r="F595" s="258" t="s">
        <v>328</v>
      </c>
      <c r="G595" s="259"/>
      <c r="H595" s="169">
        <f>VLOOKUP($K578,임금대장!$A$3:$AH$86,32,0)</f>
        <v>0</v>
      </c>
      <c r="I595" s="67" t="s">
        <v>103</v>
      </c>
      <c r="J595" s="47">
        <f>SUM(C591:H596)</f>
        <v>2206400</v>
      </c>
    </row>
    <row r="596" spans="1:12" ht="20.45" customHeight="1" x14ac:dyDescent="0.6">
      <c r="A596" s="253"/>
      <c r="B596" s="40"/>
      <c r="C596" s="101"/>
      <c r="D596" s="40"/>
      <c r="E596" s="48"/>
      <c r="F596" s="260"/>
      <c r="G596" s="261"/>
      <c r="H596" s="170"/>
      <c r="I596" s="68" t="s">
        <v>104</v>
      </c>
      <c r="J596" s="49">
        <f>J590-J595</f>
        <v>993600</v>
      </c>
    </row>
    <row r="597" spans="1:12" ht="20.45" customHeight="1" x14ac:dyDescent="0.6">
      <c r="A597" s="50" t="s">
        <v>105</v>
      </c>
      <c r="J597" s="51" t="s">
        <v>0</v>
      </c>
    </row>
    <row r="598" spans="1:12" ht="20.45" customHeight="1" x14ac:dyDescent="0.6">
      <c r="A598" s="50"/>
      <c r="J598" s="51"/>
    </row>
    <row r="599" spans="1:12" ht="20.45" customHeight="1" x14ac:dyDescent="0.6">
      <c r="A599" s="264" t="s">
        <v>399</v>
      </c>
      <c r="B599" s="264"/>
      <c r="C599" s="264"/>
      <c r="D599" s="264"/>
      <c r="E599" s="264"/>
      <c r="F599" s="264"/>
      <c r="G599" s="264"/>
      <c r="H599" s="264"/>
      <c r="I599" s="264"/>
      <c r="J599" s="264"/>
    </row>
    <row r="600" spans="1:12" ht="20.45" customHeight="1" x14ac:dyDescent="0.6">
      <c r="A600" s="265" t="s">
        <v>83</v>
      </c>
      <c r="B600" s="250"/>
      <c r="C600" s="266"/>
      <c r="D600" s="265" t="s">
        <v>84</v>
      </c>
      <c r="E600" s="266"/>
      <c r="F600" s="265" t="s">
        <v>85</v>
      </c>
      <c r="G600" s="250"/>
      <c r="H600" s="266"/>
      <c r="I600" s="265" t="s">
        <v>86</v>
      </c>
      <c r="J600" s="266"/>
    </row>
    <row r="601" spans="1:12" ht="20.45" customHeight="1" x14ac:dyDescent="0.6">
      <c r="A601" s="265" t="str">
        <f>VLOOKUP(K601,임금대장!$A$3:$AH$86,3,0)</f>
        <v>핫/즉석</v>
      </c>
      <c r="B601" s="250"/>
      <c r="C601" s="266"/>
      <c r="D601" s="267" t="str">
        <f>VLOOKUP(K601,임금대장!$A$3:$AH$86,2,0)</f>
        <v>노근희</v>
      </c>
      <c r="E601" s="268"/>
      <c r="F601" s="267">
        <f>임금대장!$O$3</f>
        <v>31</v>
      </c>
      <c r="G601" s="269"/>
      <c r="H601" s="268"/>
      <c r="I601" s="270">
        <f>VLOOKUP(K601,임금대장!$A$3:$AH$86,16,0)</f>
        <v>0</v>
      </c>
      <c r="J601" s="271"/>
      <c r="K601" s="30">
        <v>27</v>
      </c>
      <c r="L601" s="30"/>
    </row>
    <row r="602" spans="1:12" ht="20.45" customHeight="1" x14ac:dyDescent="0.6">
      <c r="A602" s="265" t="s">
        <v>87</v>
      </c>
      <c r="B602" s="266"/>
      <c r="C602" s="272" t="s">
        <v>5</v>
      </c>
      <c r="D602" s="274">
        <f>VLOOKUP($K601,임금대장!$A$3:$AH$86,5,0)</f>
        <v>45922</v>
      </c>
      <c r="E602" s="275"/>
      <c r="F602" s="114" t="s">
        <v>88</v>
      </c>
      <c r="G602" s="292">
        <f>VLOOKUP(K601,임금대장!$A$3:$AH$86,15,0)</f>
        <v>31</v>
      </c>
      <c r="H602" s="293"/>
      <c r="I602" s="272" t="s">
        <v>89</v>
      </c>
      <c r="J602" s="280">
        <f>VLOOKUP(K601,임금대장!$A$3:$AH$86,17,0)</f>
        <v>0</v>
      </c>
    </row>
    <row r="603" spans="1:12" ht="20.45" customHeight="1" x14ac:dyDescent="0.6">
      <c r="A603" s="295">
        <f>VLOOKUP($K601,임금대장!$A$3:$AH$86,7,0)</f>
        <v>3200000</v>
      </c>
      <c r="B603" s="296"/>
      <c r="C603" s="273"/>
      <c r="D603" s="276"/>
      <c r="E603" s="277"/>
      <c r="F603" s="115" t="s">
        <v>90</v>
      </c>
      <c r="G603" s="284">
        <f>VLOOKUP(K601,임금대장!$A$3:$AH$86,16,0)</f>
        <v>0</v>
      </c>
      <c r="H603" s="285"/>
      <c r="I603" s="273"/>
      <c r="J603" s="281"/>
    </row>
    <row r="604" spans="1:12" ht="20.45" customHeight="1" x14ac:dyDescent="0.6">
      <c r="F604" s="250"/>
      <c r="G604" s="250"/>
    </row>
    <row r="605" spans="1:12" ht="20.45" customHeight="1" x14ac:dyDescent="0.6">
      <c r="A605" s="251" t="s">
        <v>91</v>
      </c>
      <c r="B605" s="69" t="s">
        <v>20</v>
      </c>
      <c r="C605" s="25">
        <f>VLOOKUP($K601,임금대장!$A$3:$AH$86,9,0)</f>
        <v>2298282</v>
      </c>
      <c r="D605" s="33"/>
      <c r="E605" s="69"/>
      <c r="F605" s="254"/>
      <c r="G605" s="255"/>
      <c r="H605" s="168"/>
      <c r="I605" s="33"/>
      <c r="J605" s="34"/>
    </row>
    <row r="606" spans="1:12" ht="20.45" customHeight="1" x14ac:dyDescent="0.6">
      <c r="A606" s="252"/>
      <c r="B606" s="67" t="s">
        <v>21</v>
      </c>
      <c r="C606" s="35">
        <f>VLOOKUP($K601,임금대장!$A$3:$AH$86,10,0)</f>
        <v>716975</v>
      </c>
      <c r="D606" s="36"/>
      <c r="E606" s="67"/>
      <c r="F606" s="256"/>
      <c r="G606" s="257"/>
      <c r="H606" s="169"/>
      <c r="I606" s="36"/>
      <c r="J606" s="37"/>
    </row>
    <row r="607" spans="1:12" ht="20.45" customHeight="1" x14ac:dyDescent="0.6">
      <c r="A607" s="252"/>
      <c r="B607" s="52" t="s">
        <v>92</v>
      </c>
      <c r="C607" s="35">
        <f>VLOOKUP($K601,임금대장!$A$3:$AH$86,11,0)</f>
        <v>96770</v>
      </c>
      <c r="D607" s="36"/>
      <c r="E607" s="67"/>
      <c r="F607" s="256"/>
      <c r="G607" s="257"/>
      <c r="H607" s="169"/>
      <c r="I607" s="36"/>
      <c r="J607" s="37"/>
    </row>
    <row r="608" spans="1:12" ht="20.45" customHeight="1" x14ac:dyDescent="0.6">
      <c r="A608" s="252"/>
      <c r="B608" s="67" t="s">
        <v>93</v>
      </c>
      <c r="C608" s="35">
        <f>VLOOKUP($K601,임금대장!$A$3:$AH$86,12,0)</f>
        <v>0</v>
      </c>
      <c r="D608" s="36"/>
      <c r="E608" s="67"/>
      <c r="F608" s="256"/>
      <c r="G608" s="257"/>
      <c r="H608" s="169"/>
      <c r="I608" s="36"/>
      <c r="J608" s="37"/>
    </row>
    <row r="609" spans="1:11" ht="20.45" customHeight="1" x14ac:dyDescent="0.6">
      <c r="A609" s="252"/>
      <c r="B609" s="67" t="s">
        <v>94</v>
      </c>
      <c r="C609" s="35">
        <f>VLOOKUP($K601,임금대장!$A$3:$AH$86,13,0)</f>
        <v>87973</v>
      </c>
      <c r="D609" s="36"/>
      <c r="E609" s="36"/>
      <c r="F609" s="258"/>
      <c r="G609" s="259"/>
      <c r="H609" s="169"/>
      <c r="I609" s="36"/>
      <c r="J609" s="37"/>
    </row>
    <row r="610" spans="1:11" ht="20.45" customHeight="1" x14ac:dyDescent="0.6">
      <c r="A610" s="252"/>
      <c r="B610" s="67" t="s">
        <v>24</v>
      </c>
      <c r="C610" s="102">
        <f>VLOOKUP($K601,임금대장!$A$3:$AH$86,14,0)</f>
        <v>154838.70967741936</v>
      </c>
      <c r="D610" s="36"/>
      <c r="E610" s="36"/>
      <c r="F610" s="258"/>
      <c r="G610" s="259"/>
      <c r="H610" s="169"/>
      <c r="I610" s="36"/>
      <c r="J610" s="37"/>
    </row>
    <row r="611" spans="1:11" ht="20.45" customHeight="1" x14ac:dyDescent="0.6">
      <c r="A611" s="252"/>
      <c r="B611" s="67"/>
      <c r="C611" s="35"/>
      <c r="D611" s="36"/>
      <c r="E611" s="36"/>
      <c r="F611" s="258"/>
      <c r="G611" s="259"/>
      <c r="H611" s="169"/>
      <c r="I611" s="36"/>
      <c r="J611" s="37"/>
    </row>
    <row r="612" spans="1:11" ht="20.45" customHeight="1" x14ac:dyDescent="0.6">
      <c r="A612" s="252"/>
      <c r="B612" s="67"/>
      <c r="C612" s="35"/>
      <c r="D612" s="36"/>
      <c r="E612" s="36"/>
      <c r="F612" s="258"/>
      <c r="G612" s="259"/>
      <c r="H612" s="169"/>
      <c r="I612" s="36"/>
      <c r="J612" s="37"/>
    </row>
    <row r="613" spans="1:11" ht="20.45" customHeight="1" x14ac:dyDescent="0.6">
      <c r="A613" s="253"/>
      <c r="B613" s="68"/>
      <c r="C613" s="39"/>
      <c r="D613" s="40"/>
      <c r="E613" s="40"/>
      <c r="F613" s="260"/>
      <c r="G613" s="261"/>
      <c r="H613" s="170"/>
      <c r="I613" s="68" t="s">
        <v>95</v>
      </c>
      <c r="J613" s="41">
        <f>SUM(C605:H611)</f>
        <v>3354838.7096774192</v>
      </c>
    </row>
    <row r="614" spans="1:11" ht="20.45" customHeight="1" x14ac:dyDescent="0.6">
      <c r="A614" s="251" t="s">
        <v>96</v>
      </c>
      <c r="B614" s="36" t="s">
        <v>97</v>
      </c>
      <c r="C614" s="35">
        <f>VLOOKUP($K601,임금대장!$A$3:$AH$86,25,0)</f>
        <v>105210</v>
      </c>
      <c r="D614" s="33"/>
      <c r="E614" s="42"/>
      <c r="F614" s="262" t="s">
        <v>14</v>
      </c>
      <c r="G614" s="263"/>
      <c r="H614" s="169">
        <f>VLOOKUP($K601,임금대장!$A$3:$AH$86,19,0)</f>
        <v>0</v>
      </c>
      <c r="I614" s="33"/>
      <c r="J614" s="34"/>
    </row>
    <row r="615" spans="1:11" ht="20.45" customHeight="1" x14ac:dyDescent="0.6">
      <c r="A615" s="252"/>
      <c r="B615" s="36" t="s">
        <v>98</v>
      </c>
      <c r="C615" s="35">
        <f>VLOOKUP($K601,임금대장!$A$3:$AH$86,26,0)</f>
        <v>10520</v>
      </c>
      <c r="D615" s="36"/>
      <c r="E615" s="43"/>
      <c r="F615" s="258" t="s">
        <v>12</v>
      </c>
      <c r="G615" s="259"/>
      <c r="H615" s="169">
        <f>VLOOKUP($K601,임금대장!$A$3:$AH$86,17,0)</f>
        <v>0</v>
      </c>
      <c r="I615" s="36"/>
      <c r="J615" s="37"/>
    </row>
    <row r="616" spans="1:11" ht="20.45" customHeight="1" x14ac:dyDescent="0.6">
      <c r="A616" s="252"/>
      <c r="B616" s="36" t="s">
        <v>99</v>
      </c>
      <c r="C616" s="35">
        <f>VLOOKUP($K601,임금대장!$A$3:$AH$86,27,0)</f>
        <v>85500</v>
      </c>
      <c r="D616" s="36"/>
      <c r="E616" s="44"/>
      <c r="F616" s="258" t="s">
        <v>100</v>
      </c>
      <c r="G616" s="259"/>
      <c r="H616" s="169">
        <f>VLOOKUP($K601,임금대장!$A$3:$AH$86,31,0)</f>
        <v>0</v>
      </c>
      <c r="I616" s="36"/>
      <c r="J616" s="37"/>
    </row>
    <row r="617" spans="1:11" ht="20.45" customHeight="1" x14ac:dyDescent="0.6">
      <c r="A617" s="252"/>
      <c r="B617" s="36" t="s">
        <v>101</v>
      </c>
      <c r="C617" s="35">
        <f>VLOOKUP($K601,임금대장!$A$3:$AH$86,28,0)</f>
        <v>120600</v>
      </c>
      <c r="D617" s="36"/>
      <c r="E617" s="43"/>
      <c r="F617" s="258" t="s">
        <v>102</v>
      </c>
      <c r="G617" s="259"/>
      <c r="H617" s="169">
        <f>VLOOKUP($K601,임금대장!$A$3:$AH$86,30,0)</f>
        <v>30190</v>
      </c>
      <c r="I617" s="36"/>
      <c r="J617" s="37"/>
    </row>
    <row r="618" spans="1:11" ht="20.45" customHeight="1" x14ac:dyDescent="0.6">
      <c r="A618" s="252"/>
      <c r="B618" s="36" t="s">
        <v>31</v>
      </c>
      <c r="C618" s="35">
        <f>VLOOKUP($K601,임금대장!$A$3:$AH$86,29,0)</f>
        <v>15840</v>
      </c>
      <c r="D618" s="36"/>
      <c r="E618" s="43"/>
      <c r="F618" s="258" t="s">
        <v>328</v>
      </c>
      <c r="G618" s="259"/>
      <c r="H618" s="169">
        <f>VLOOKUP($K601,임금대장!$A$3:$AH$86,32,0)</f>
        <v>0</v>
      </c>
      <c r="I618" s="67" t="s">
        <v>103</v>
      </c>
      <c r="J618" s="47">
        <f>SUM(C614:H619)</f>
        <v>367860</v>
      </c>
    </row>
    <row r="619" spans="1:11" ht="20.45" customHeight="1" x14ac:dyDescent="0.6">
      <c r="A619" s="253"/>
      <c r="B619" s="40"/>
      <c r="C619" s="101"/>
      <c r="D619" s="40"/>
      <c r="E619" s="48"/>
      <c r="F619" s="260"/>
      <c r="G619" s="261"/>
      <c r="H619" s="170"/>
      <c r="I619" s="68" t="s">
        <v>104</v>
      </c>
      <c r="J619" s="49">
        <f>J613-J618</f>
        <v>2986978.7096774192</v>
      </c>
    </row>
    <row r="620" spans="1:11" ht="20.45" customHeight="1" x14ac:dyDescent="0.6">
      <c r="A620" s="50" t="s">
        <v>105</v>
      </c>
      <c r="J620" s="51" t="s">
        <v>0</v>
      </c>
    </row>
    <row r="621" spans="1:11" ht="20.45" customHeight="1" x14ac:dyDescent="0.6">
      <c r="A621" s="50"/>
      <c r="J621" s="51"/>
    </row>
    <row r="622" spans="1:11" ht="20.45" customHeight="1" x14ac:dyDescent="0.6">
      <c r="A622" s="264" t="s">
        <v>399</v>
      </c>
      <c r="B622" s="264"/>
      <c r="C622" s="264"/>
      <c r="D622" s="264"/>
      <c r="E622" s="264"/>
      <c r="F622" s="264"/>
      <c r="G622" s="264"/>
      <c r="H622" s="264"/>
      <c r="I622" s="264"/>
      <c r="J622" s="264"/>
    </row>
    <row r="623" spans="1:11" ht="20.45" customHeight="1" x14ac:dyDescent="0.6">
      <c r="A623" s="286" t="s">
        <v>83</v>
      </c>
      <c r="B623" s="286"/>
      <c r="C623" s="286"/>
      <c r="D623" s="286" t="s">
        <v>84</v>
      </c>
      <c r="E623" s="286"/>
      <c r="F623" s="265" t="s">
        <v>85</v>
      </c>
      <c r="G623" s="250"/>
      <c r="H623" s="266"/>
      <c r="I623" s="286" t="s">
        <v>86</v>
      </c>
      <c r="J623" s="286"/>
    </row>
    <row r="624" spans="1:11" ht="20.45" customHeight="1" x14ac:dyDescent="0.6">
      <c r="A624" s="286" t="str">
        <f>VLOOKUP(K624,임금대장!$A$3:$AH$86,3,0)</f>
        <v>초다이</v>
      </c>
      <c r="B624" s="286"/>
      <c r="C624" s="286"/>
      <c r="D624" s="287" t="str">
        <f>VLOOKUP(K624,임금대장!$A$3:$AH$86,2,0)</f>
        <v>강현경</v>
      </c>
      <c r="E624" s="287"/>
      <c r="F624" s="267">
        <f>임금대장!$O$3</f>
        <v>31</v>
      </c>
      <c r="G624" s="269"/>
      <c r="H624" s="268"/>
      <c r="I624" s="288">
        <f>VLOOKUP(K624,임금대장!$A$3:$AH$86,16,0)</f>
        <v>0</v>
      </c>
      <c r="J624" s="288"/>
      <c r="K624" s="30">
        <v>28</v>
      </c>
    </row>
    <row r="625" spans="1:10" ht="20.45" customHeight="1" x14ac:dyDescent="0.6">
      <c r="A625" s="286" t="s">
        <v>87</v>
      </c>
      <c r="B625" s="286"/>
      <c r="C625" s="286" t="s">
        <v>5</v>
      </c>
      <c r="D625" s="289">
        <f>VLOOKUP($K624,임금대장!$A$3:$AH$86,5,0)</f>
        <v>45941</v>
      </c>
      <c r="E625" s="289"/>
      <c r="F625" s="114" t="s">
        <v>88</v>
      </c>
      <c r="G625" s="292">
        <f>VLOOKUP(K624,임금대장!$A$3:$AH$86,15,0)</f>
        <v>31</v>
      </c>
      <c r="H625" s="293"/>
      <c r="I625" s="286" t="s">
        <v>89</v>
      </c>
      <c r="J625" s="290">
        <f>VLOOKUP(K624,임금대장!$A$3:$AH$86,17,0)</f>
        <v>0</v>
      </c>
    </row>
    <row r="626" spans="1:10" ht="20.45" customHeight="1" x14ac:dyDescent="0.6">
      <c r="A626" s="294">
        <f>VLOOKUP($K624,임금대장!$A$3:$AH$86,7,0)</f>
        <v>3300000</v>
      </c>
      <c r="B626" s="294"/>
      <c r="C626" s="286"/>
      <c r="D626" s="289"/>
      <c r="E626" s="289"/>
      <c r="F626" s="115" t="s">
        <v>90</v>
      </c>
      <c r="G626" s="284">
        <f>VLOOKUP(K624,임금대장!$A$3:$AH$86,16,0)</f>
        <v>0</v>
      </c>
      <c r="H626" s="285"/>
      <c r="I626" s="286"/>
      <c r="J626" s="290"/>
    </row>
    <row r="627" spans="1:10" ht="20.45" customHeight="1" x14ac:dyDescent="0.6">
      <c r="F627" s="250"/>
      <c r="G627" s="250"/>
    </row>
    <row r="628" spans="1:10" ht="20.45" customHeight="1" x14ac:dyDescent="0.6">
      <c r="A628" s="251" t="s">
        <v>91</v>
      </c>
      <c r="B628" s="69" t="s">
        <v>20</v>
      </c>
      <c r="C628" s="25">
        <f>VLOOKUP($K624,임금대장!$A$3:$AH$86,9,0)</f>
        <v>2370103</v>
      </c>
      <c r="D628" s="33"/>
      <c r="E628" s="69"/>
      <c r="F628" s="254"/>
      <c r="G628" s="255"/>
      <c r="H628" s="168"/>
      <c r="I628" s="33"/>
      <c r="J628" s="34"/>
    </row>
    <row r="629" spans="1:10" ht="20.45" customHeight="1" x14ac:dyDescent="0.6">
      <c r="A629" s="252"/>
      <c r="B629" s="67" t="s">
        <v>21</v>
      </c>
      <c r="C629" s="35">
        <f>VLOOKUP($K624,임금대장!$A$3:$AH$86,10,0)</f>
        <v>739381</v>
      </c>
      <c r="D629" s="36"/>
      <c r="E629" s="67"/>
      <c r="F629" s="256"/>
      <c r="G629" s="257"/>
      <c r="H629" s="169"/>
      <c r="I629" s="36"/>
      <c r="J629" s="37"/>
    </row>
    <row r="630" spans="1:10" ht="20.45" customHeight="1" x14ac:dyDescent="0.6">
      <c r="A630" s="252"/>
      <c r="B630" s="52" t="s">
        <v>92</v>
      </c>
      <c r="C630" s="35">
        <f>VLOOKUP($K624,임금대장!$A$3:$AH$86,11,0)</f>
        <v>99794</v>
      </c>
      <c r="D630" s="36"/>
      <c r="E630" s="67"/>
      <c r="F630" s="256"/>
      <c r="G630" s="257"/>
      <c r="H630" s="169"/>
      <c r="I630" s="36"/>
      <c r="J630" s="37"/>
    </row>
    <row r="631" spans="1:10" ht="20.45" customHeight="1" x14ac:dyDescent="0.6">
      <c r="A631" s="252"/>
      <c r="B631" s="67" t="s">
        <v>93</v>
      </c>
      <c r="C631" s="35">
        <f>VLOOKUP($K624,임금대장!$A$3:$AH$86,12,0)</f>
        <v>0</v>
      </c>
      <c r="D631" s="36"/>
      <c r="E631" s="67"/>
      <c r="F631" s="256"/>
      <c r="G631" s="257"/>
      <c r="H631" s="169"/>
      <c r="I631" s="36"/>
      <c r="J631" s="37"/>
    </row>
    <row r="632" spans="1:10" ht="20.45" customHeight="1" x14ac:dyDescent="0.6">
      <c r="A632" s="252"/>
      <c r="B632" s="67" t="s">
        <v>94</v>
      </c>
      <c r="C632" s="35">
        <f>VLOOKUP($K624,임금대장!$A$3:$AH$86,13,0)</f>
        <v>90722</v>
      </c>
      <c r="D632" s="36"/>
      <c r="E632" s="36"/>
      <c r="F632" s="258"/>
      <c r="G632" s="259"/>
      <c r="H632" s="169"/>
      <c r="I632" s="36"/>
      <c r="J632" s="37"/>
    </row>
    <row r="633" spans="1:10" ht="20.45" customHeight="1" x14ac:dyDescent="0.6">
      <c r="A633" s="252"/>
      <c r="B633" s="67" t="s">
        <v>24</v>
      </c>
      <c r="C633" s="102">
        <f>VLOOKUP($K624,임금대장!$A$3:$AH$86,14,0)</f>
        <v>53225.806451612902</v>
      </c>
      <c r="D633" s="36"/>
      <c r="E633" s="36"/>
      <c r="F633" s="258"/>
      <c r="G633" s="259"/>
      <c r="H633" s="169"/>
      <c r="I633" s="36"/>
      <c r="J633" s="37"/>
    </row>
    <row r="634" spans="1:10" ht="20.45" customHeight="1" x14ac:dyDescent="0.6">
      <c r="A634" s="252"/>
      <c r="B634" s="67"/>
      <c r="C634" s="35"/>
      <c r="D634" s="36"/>
      <c r="E634" s="36"/>
      <c r="F634" s="258"/>
      <c r="G634" s="259"/>
      <c r="H634" s="169"/>
      <c r="I634" s="36"/>
      <c r="J634" s="37"/>
    </row>
    <row r="635" spans="1:10" ht="20.45" customHeight="1" x14ac:dyDescent="0.6">
      <c r="A635" s="252"/>
      <c r="B635" s="67"/>
      <c r="C635" s="35"/>
      <c r="D635" s="36"/>
      <c r="E635" s="36"/>
      <c r="F635" s="258"/>
      <c r="G635" s="259"/>
      <c r="H635" s="169"/>
      <c r="I635" s="36"/>
      <c r="J635" s="37"/>
    </row>
    <row r="636" spans="1:10" ht="20.45" customHeight="1" x14ac:dyDescent="0.6">
      <c r="A636" s="253"/>
      <c r="B636" s="68"/>
      <c r="C636" s="39"/>
      <c r="D636" s="40"/>
      <c r="E636" s="40"/>
      <c r="F636" s="260"/>
      <c r="G636" s="261"/>
      <c r="H636" s="170"/>
      <c r="I636" s="68" t="s">
        <v>95</v>
      </c>
      <c r="J636" s="41">
        <f>SUM(C628:H634)</f>
        <v>3353225.8064516131</v>
      </c>
    </row>
    <row r="637" spans="1:10" ht="20.45" customHeight="1" x14ac:dyDescent="0.6">
      <c r="A637" s="251" t="s">
        <v>96</v>
      </c>
      <c r="B637" s="36" t="s">
        <v>97</v>
      </c>
      <c r="C637" s="35">
        <f>VLOOKUP($K624,임금대장!$A$3:$AH$86,25,0)</f>
        <v>105210</v>
      </c>
      <c r="D637" s="33"/>
      <c r="E637" s="42"/>
      <c r="F637" s="262" t="s">
        <v>14</v>
      </c>
      <c r="G637" s="263"/>
      <c r="H637" s="169">
        <f>VLOOKUP($K624,임금대장!$A$3:$AH$86,19,0)</f>
        <v>0</v>
      </c>
      <c r="I637" s="33"/>
      <c r="J637" s="34"/>
    </row>
    <row r="638" spans="1:10" ht="20.45" customHeight="1" x14ac:dyDescent="0.6">
      <c r="A638" s="252"/>
      <c r="B638" s="36" t="s">
        <v>98</v>
      </c>
      <c r="C638" s="35">
        <f>VLOOKUP($K624,임금대장!$A$3:$AH$86,26,0)</f>
        <v>10520</v>
      </c>
      <c r="D638" s="36"/>
      <c r="E638" s="43"/>
      <c r="F638" s="258" t="s">
        <v>12</v>
      </c>
      <c r="G638" s="259"/>
      <c r="H638" s="169">
        <f>VLOOKUP($K624,임금대장!$A$3:$AH$86,17,0)</f>
        <v>0</v>
      </c>
      <c r="I638" s="36"/>
      <c r="J638" s="37"/>
    </row>
    <row r="639" spans="1:10" ht="20.45" customHeight="1" x14ac:dyDescent="0.6">
      <c r="A639" s="252"/>
      <c r="B639" s="36" t="s">
        <v>99</v>
      </c>
      <c r="C639" s="35">
        <f>VLOOKUP($K624,임금대장!$A$3:$AH$86,27,0)</f>
        <v>85500</v>
      </c>
      <c r="D639" s="36"/>
      <c r="E639" s="44"/>
      <c r="F639" s="258" t="s">
        <v>100</v>
      </c>
      <c r="G639" s="259"/>
      <c r="H639" s="169">
        <f>VLOOKUP($K624,임금대장!$A$3:$AH$86,31,0)</f>
        <v>0</v>
      </c>
      <c r="I639" s="36"/>
      <c r="J639" s="37"/>
    </row>
    <row r="640" spans="1:10" ht="20.45" customHeight="1" x14ac:dyDescent="0.6">
      <c r="A640" s="252"/>
      <c r="B640" s="36" t="s">
        <v>101</v>
      </c>
      <c r="C640" s="35">
        <f>VLOOKUP($K624,임금대장!$A$3:$AH$86,28,0)</f>
        <v>120540</v>
      </c>
      <c r="D640" s="36"/>
      <c r="E640" s="43"/>
      <c r="F640" s="258" t="s">
        <v>102</v>
      </c>
      <c r="G640" s="259"/>
      <c r="H640" s="169">
        <f>VLOOKUP($K624,임금대장!$A$3:$AH$86,30,0)</f>
        <v>30170</v>
      </c>
      <c r="I640" s="36"/>
      <c r="J640" s="37"/>
    </row>
    <row r="641" spans="1:11" ht="20.45" customHeight="1" x14ac:dyDescent="0.6">
      <c r="A641" s="252"/>
      <c r="B641" s="36" t="s">
        <v>31</v>
      </c>
      <c r="C641" s="35">
        <f>VLOOKUP($K624,임금대장!$A$3:$AH$86,29,0)</f>
        <v>15830</v>
      </c>
      <c r="D641" s="36"/>
      <c r="E641" s="43"/>
      <c r="F641" s="258" t="s">
        <v>328</v>
      </c>
      <c r="G641" s="259"/>
      <c r="H641" s="169">
        <f>VLOOKUP($K624,임금대장!$A$3:$AH$86,32,0)</f>
        <v>0</v>
      </c>
      <c r="I641" s="67" t="s">
        <v>103</v>
      </c>
      <c r="J641" s="47">
        <f>SUM(C637:H642)</f>
        <v>367770</v>
      </c>
    </row>
    <row r="642" spans="1:11" ht="20.45" customHeight="1" x14ac:dyDescent="0.6">
      <c r="A642" s="253"/>
      <c r="B642" s="40"/>
      <c r="C642" s="101"/>
      <c r="D642" s="40"/>
      <c r="E642" s="48"/>
      <c r="F642" s="260"/>
      <c r="G642" s="261"/>
      <c r="H642" s="170"/>
      <c r="I642" s="68" t="s">
        <v>104</v>
      </c>
      <c r="J642" s="49">
        <f>J636-J641</f>
        <v>2985455.8064516131</v>
      </c>
    </row>
    <row r="643" spans="1:11" ht="20.45" customHeight="1" x14ac:dyDescent="0.6">
      <c r="A643" s="50" t="s">
        <v>105</v>
      </c>
      <c r="J643" s="51" t="s">
        <v>0</v>
      </c>
    </row>
    <row r="644" spans="1:11" ht="20.45" customHeight="1" x14ac:dyDescent="0.6">
      <c r="A644" s="50"/>
      <c r="J644" s="51"/>
    </row>
    <row r="645" spans="1:11" ht="20.45" customHeight="1" x14ac:dyDescent="0.6">
      <c r="A645" s="264" t="s">
        <v>399</v>
      </c>
      <c r="B645" s="264"/>
      <c r="C645" s="264"/>
      <c r="D645" s="264"/>
      <c r="E645" s="264"/>
      <c r="F645" s="264"/>
      <c r="G645" s="264"/>
      <c r="H645" s="264"/>
      <c r="I645" s="264"/>
      <c r="J645" s="264"/>
    </row>
    <row r="646" spans="1:11" ht="20.45" customHeight="1" x14ac:dyDescent="0.6">
      <c r="A646" s="286" t="s">
        <v>83</v>
      </c>
      <c r="B646" s="286"/>
      <c r="C646" s="286"/>
      <c r="D646" s="286" t="s">
        <v>84</v>
      </c>
      <c r="E646" s="286"/>
      <c r="F646" s="265" t="s">
        <v>85</v>
      </c>
      <c r="G646" s="250"/>
      <c r="H646" s="266"/>
      <c r="I646" s="286" t="s">
        <v>86</v>
      </c>
      <c r="J646" s="286"/>
    </row>
    <row r="647" spans="1:11" ht="20.45" customHeight="1" x14ac:dyDescent="0.6">
      <c r="A647" s="286" t="str">
        <f>VLOOKUP(K647,임금대장!$A$3:$AH$86,3,0)</f>
        <v>세척</v>
      </c>
      <c r="B647" s="286"/>
      <c r="C647" s="286"/>
      <c r="D647" s="287" t="str">
        <f>VLOOKUP(K647,임금대장!$A$3:$AH$86,2,0)</f>
        <v>김미숙</v>
      </c>
      <c r="E647" s="287"/>
      <c r="F647" s="267">
        <f>임금대장!$O$3</f>
        <v>31</v>
      </c>
      <c r="G647" s="269"/>
      <c r="H647" s="268"/>
      <c r="I647" s="288">
        <f>VLOOKUP(K647,임금대장!$A$3:$AH$86,16,0)</f>
        <v>0</v>
      </c>
      <c r="J647" s="288"/>
      <c r="K647" s="30">
        <v>29</v>
      </c>
    </row>
    <row r="648" spans="1:11" ht="20.45" customHeight="1" x14ac:dyDescent="0.6">
      <c r="A648" s="286" t="s">
        <v>87</v>
      </c>
      <c r="B648" s="286"/>
      <c r="C648" s="286" t="s">
        <v>5</v>
      </c>
      <c r="D648" s="289">
        <f>VLOOKUP($K647,임금대장!$A$3:$AH$86,5,0)</f>
        <v>45933</v>
      </c>
      <c r="E648" s="289"/>
      <c r="F648" s="114" t="s">
        <v>88</v>
      </c>
      <c r="G648" s="292">
        <f>VLOOKUP(K647,임금대장!$A$3:$AH$86,15,0)</f>
        <v>31</v>
      </c>
      <c r="H648" s="293"/>
      <c r="I648" s="286" t="s">
        <v>89</v>
      </c>
      <c r="J648" s="290">
        <f>VLOOKUP(K647,임금대장!$A$3:$AH$86,17,0)</f>
        <v>0</v>
      </c>
    </row>
    <row r="649" spans="1:11" ht="20.45" customHeight="1" x14ac:dyDescent="0.6">
      <c r="A649" s="294">
        <f>VLOOKUP($K647,임금대장!$A$3:$AH$86,7,0)</f>
        <v>3300000</v>
      </c>
      <c r="B649" s="294"/>
      <c r="C649" s="286"/>
      <c r="D649" s="289"/>
      <c r="E649" s="289"/>
      <c r="F649" s="115" t="s">
        <v>90</v>
      </c>
      <c r="G649" s="284">
        <f>VLOOKUP(K647,임금대장!$A$3:$AH$86,16,0)</f>
        <v>0</v>
      </c>
      <c r="H649" s="285"/>
      <c r="I649" s="286"/>
      <c r="J649" s="290"/>
    </row>
    <row r="650" spans="1:11" ht="20.45" customHeight="1" x14ac:dyDescent="0.6">
      <c r="F650" s="250"/>
      <c r="G650" s="250"/>
    </row>
    <row r="651" spans="1:11" ht="20.45" customHeight="1" x14ac:dyDescent="0.6">
      <c r="A651" s="251" t="s">
        <v>91</v>
      </c>
      <c r="B651" s="69" t="s">
        <v>20</v>
      </c>
      <c r="C651" s="25">
        <f>VLOOKUP($K647,임금대장!$A$3:$AH$86,9,0)</f>
        <v>2370103</v>
      </c>
      <c r="D651" s="33"/>
      <c r="E651" s="69"/>
      <c r="F651" s="254"/>
      <c r="G651" s="255"/>
      <c r="H651" s="168"/>
      <c r="I651" s="33"/>
      <c r="J651" s="34"/>
    </row>
    <row r="652" spans="1:11" ht="20.45" customHeight="1" x14ac:dyDescent="0.6">
      <c r="A652" s="252"/>
      <c r="B652" s="67" t="s">
        <v>21</v>
      </c>
      <c r="C652" s="35">
        <f>VLOOKUP($K647,임금대장!$A$3:$AH$86,10,0)</f>
        <v>739381</v>
      </c>
      <c r="D652" s="36"/>
      <c r="E652" s="67"/>
      <c r="F652" s="256"/>
      <c r="G652" s="257"/>
      <c r="H652" s="169"/>
      <c r="I652" s="36"/>
      <c r="J652" s="37"/>
    </row>
    <row r="653" spans="1:11" ht="20.45" customHeight="1" x14ac:dyDescent="0.6">
      <c r="A653" s="252"/>
      <c r="B653" s="52" t="s">
        <v>92</v>
      </c>
      <c r="C653" s="35">
        <f>VLOOKUP($K647,임금대장!$A$3:$AH$86,11,0)</f>
        <v>99794</v>
      </c>
      <c r="D653" s="36"/>
      <c r="E653" s="67"/>
      <c r="F653" s="256"/>
      <c r="G653" s="257"/>
      <c r="H653" s="169"/>
      <c r="I653" s="36"/>
      <c r="J653" s="37"/>
    </row>
    <row r="654" spans="1:11" ht="20.45" customHeight="1" x14ac:dyDescent="0.6">
      <c r="A654" s="252"/>
      <c r="B654" s="67" t="s">
        <v>93</v>
      </c>
      <c r="C654" s="35">
        <f>VLOOKUP($K647,임금대장!$A$3:$AH$86,12,0)</f>
        <v>0</v>
      </c>
      <c r="D654" s="36"/>
      <c r="E654" s="67"/>
      <c r="F654" s="256"/>
      <c r="G654" s="257"/>
      <c r="H654" s="169"/>
      <c r="I654" s="36"/>
      <c r="J654" s="37"/>
    </row>
    <row r="655" spans="1:11" ht="20.45" customHeight="1" x14ac:dyDescent="0.6">
      <c r="A655" s="252"/>
      <c r="B655" s="67" t="s">
        <v>94</v>
      </c>
      <c r="C655" s="35">
        <f>VLOOKUP($K647,임금대장!$A$3:$AH$86,13,0)</f>
        <v>90722</v>
      </c>
      <c r="D655" s="36"/>
      <c r="E655" s="36"/>
      <c r="F655" s="258"/>
      <c r="G655" s="259"/>
      <c r="H655" s="169"/>
      <c r="I655" s="36"/>
      <c r="J655" s="37"/>
    </row>
    <row r="656" spans="1:11" ht="20.45" customHeight="1" x14ac:dyDescent="0.6">
      <c r="A656" s="252"/>
      <c r="B656" s="67" t="s">
        <v>24</v>
      </c>
      <c r="C656" s="102">
        <f>VLOOKUP($K647,임금대장!$A$3:$AH$86,14,0)</f>
        <v>159677.4193548387</v>
      </c>
      <c r="D656" s="36"/>
      <c r="E656" s="36"/>
      <c r="F656" s="258"/>
      <c r="G656" s="259"/>
      <c r="H656" s="169"/>
      <c r="I656" s="36"/>
      <c r="J656" s="37"/>
    </row>
    <row r="657" spans="1:11" ht="20.45" customHeight="1" x14ac:dyDescent="0.6">
      <c r="A657" s="252"/>
      <c r="B657" s="67"/>
      <c r="C657" s="35"/>
      <c r="D657" s="36"/>
      <c r="E657" s="36"/>
      <c r="F657" s="258"/>
      <c r="G657" s="259"/>
      <c r="H657" s="169"/>
      <c r="I657" s="36"/>
      <c r="J657" s="37"/>
    </row>
    <row r="658" spans="1:11" ht="20.45" customHeight="1" x14ac:dyDescent="0.6">
      <c r="A658" s="252"/>
      <c r="B658" s="67"/>
      <c r="C658" s="35"/>
      <c r="D658" s="36"/>
      <c r="E658" s="36"/>
      <c r="F658" s="258"/>
      <c r="G658" s="259"/>
      <c r="H658" s="169"/>
      <c r="I658" s="36"/>
      <c r="J658" s="37"/>
    </row>
    <row r="659" spans="1:11" ht="20.45" customHeight="1" x14ac:dyDescent="0.6">
      <c r="A659" s="253"/>
      <c r="B659" s="68"/>
      <c r="C659" s="39"/>
      <c r="D659" s="40"/>
      <c r="E659" s="40"/>
      <c r="F659" s="260"/>
      <c r="G659" s="261"/>
      <c r="H659" s="170"/>
      <c r="I659" s="68" t="s">
        <v>95</v>
      </c>
      <c r="J659" s="41">
        <f>SUM(C651:H657)</f>
        <v>3459677.4193548388</v>
      </c>
    </row>
    <row r="660" spans="1:11" ht="20.45" customHeight="1" x14ac:dyDescent="0.6">
      <c r="A660" s="251" t="s">
        <v>96</v>
      </c>
      <c r="B660" s="36" t="s">
        <v>97</v>
      </c>
      <c r="C660" s="35">
        <f>VLOOKUP($K647,임금대장!$A$3:$AH$86,25,0)</f>
        <v>117440</v>
      </c>
      <c r="D660" s="33"/>
      <c r="E660" s="42"/>
      <c r="F660" s="262" t="s">
        <v>14</v>
      </c>
      <c r="G660" s="263"/>
      <c r="H660" s="169">
        <f>VLOOKUP($K647,임금대장!$A$3:$AH$86,19,0)</f>
        <v>0</v>
      </c>
      <c r="I660" s="33"/>
      <c r="J660" s="34"/>
    </row>
    <row r="661" spans="1:11" ht="20.45" customHeight="1" x14ac:dyDescent="0.6">
      <c r="A661" s="252"/>
      <c r="B661" s="36" t="s">
        <v>98</v>
      </c>
      <c r="C661" s="35">
        <f>VLOOKUP($K647,임금대장!$A$3:$AH$86,26,0)</f>
        <v>11740</v>
      </c>
      <c r="D661" s="36"/>
      <c r="E661" s="43"/>
      <c r="F661" s="258" t="s">
        <v>12</v>
      </c>
      <c r="G661" s="259"/>
      <c r="H661" s="169">
        <f>VLOOKUP($K647,임금대장!$A$3:$AH$86,17,0)</f>
        <v>0</v>
      </c>
      <c r="I661" s="36"/>
      <c r="J661" s="37"/>
    </row>
    <row r="662" spans="1:11" ht="20.45" customHeight="1" x14ac:dyDescent="0.6">
      <c r="A662" s="252"/>
      <c r="B662" s="36" t="s">
        <v>99</v>
      </c>
      <c r="C662" s="35">
        <f>VLOOKUP($K647,임금대장!$A$3:$AH$86,27,0)</f>
        <v>85500</v>
      </c>
      <c r="D662" s="36"/>
      <c r="E662" s="44"/>
      <c r="F662" s="258" t="s">
        <v>100</v>
      </c>
      <c r="G662" s="259"/>
      <c r="H662" s="169">
        <f>VLOOKUP($K647,임금대장!$A$3:$AH$86,31,0)</f>
        <v>0</v>
      </c>
      <c r="I662" s="36"/>
      <c r="J662" s="37"/>
    </row>
    <row r="663" spans="1:11" ht="20.45" customHeight="1" x14ac:dyDescent="0.6">
      <c r="A663" s="252"/>
      <c r="B663" s="36" t="s">
        <v>101</v>
      </c>
      <c r="C663" s="35">
        <f>VLOOKUP($K647,임금대장!$A$3:$AH$86,28,0)</f>
        <v>124370</v>
      </c>
      <c r="D663" s="36"/>
      <c r="E663" s="43"/>
      <c r="F663" s="258" t="s">
        <v>102</v>
      </c>
      <c r="G663" s="259"/>
      <c r="H663" s="169">
        <f>VLOOKUP($K647,임금대장!$A$3:$AH$86,30,0)</f>
        <v>31130</v>
      </c>
      <c r="I663" s="36"/>
      <c r="J663" s="37"/>
    </row>
    <row r="664" spans="1:11" ht="20.45" customHeight="1" x14ac:dyDescent="0.6">
      <c r="A664" s="252"/>
      <c r="B664" s="36" t="s">
        <v>31</v>
      </c>
      <c r="C664" s="35">
        <f>VLOOKUP($K647,임금대장!$A$3:$AH$86,29,0)</f>
        <v>16340</v>
      </c>
      <c r="D664" s="36"/>
      <c r="E664" s="43"/>
      <c r="F664" s="258" t="s">
        <v>328</v>
      </c>
      <c r="G664" s="259"/>
      <c r="H664" s="169">
        <f>VLOOKUP($K647,임금대장!$A$3:$AH$86,32,0)</f>
        <v>0</v>
      </c>
      <c r="I664" s="67" t="s">
        <v>103</v>
      </c>
      <c r="J664" s="47">
        <f>SUM(C660:H665)</f>
        <v>386520</v>
      </c>
    </row>
    <row r="665" spans="1:11" ht="20.45" customHeight="1" x14ac:dyDescent="0.6">
      <c r="A665" s="253"/>
      <c r="B665" s="40"/>
      <c r="C665" s="101"/>
      <c r="D665" s="40"/>
      <c r="E665" s="48"/>
      <c r="F665" s="260"/>
      <c r="G665" s="261"/>
      <c r="H665" s="170"/>
      <c r="I665" s="68" t="s">
        <v>104</v>
      </c>
      <c r="J665" s="49">
        <f>J659-J664</f>
        <v>3073157.4193548388</v>
      </c>
    </row>
    <row r="666" spans="1:11" ht="20.45" customHeight="1" x14ac:dyDescent="0.6">
      <c r="A666" s="50" t="s">
        <v>105</v>
      </c>
      <c r="J666" s="51" t="s">
        <v>0</v>
      </c>
    </row>
    <row r="667" spans="1:11" ht="20.45" customHeight="1" x14ac:dyDescent="0.6">
      <c r="A667" s="50"/>
      <c r="J667" s="51"/>
    </row>
    <row r="668" spans="1:11" ht="20.45" customHeight="1" x14ac:dyDescent="0.6">
      <c r="A668" s="264" t="s">
        <v>399</v>
      </c>
      <c r="B668" s="264"/>
      <c r="C668" s="264"/>
      <c r="D668" s="264"/>
      <c r="E668" s="264"/>
      <c r="F668" s="264"/>
      <c r="G668" s="264"/>
      <c r="H668" s="264"/>
      <c r="I668" s="264"/>
      <c r="J668" s="264"/>
    </row>
    <row r="669" spans="1:11" ht="20.45" customHeight="1" x14ac:dyDescent="0.6">
      <c r="A669" s="265" t="s">
        <v>83</v>
      </c>
      <c r="B669" s="250"/>
      <c r="C669" s="266"/>
      <c r="D669" s="265" t="s">
        <v>84</v>
      </c>
      <c r="E669" s="266"/>
      <c r="F669" s="265" t="s">
        <v>85</v>
      </c>
      <c r="G669" s="250"/>
      <c r="H669" s="266"/>
      <c r="I669" s="265" t="s">
        <v>86</v>
      </c>
      <c r="J669" s="266"/>
    </row>
    <row r="670" spans="1:11" ht="20.45" customHeight="1" x14ac:dyDescent="0.6">
      <c r="A670" s="265" t="str">
        <f>VLOOKUP(K670,임금대장!$A$3:$AH$86,3,0)</f>
        <v>초다이</v>
      </c>
      <c r="B670" s="250"/>
      <c r="C670" s="266"/>
      <c r="D670" s="267" t="str">
        <f>VLOOKUP(K670,임금대장!$A$3:$AH$86,2,0)</f>
        <v>정지훈</v>
      </c>
      <c r="E670" s="268"/>
      <c r="F670" s="267">
        <f>임금대장!$O$3</f>
        <v>31</v>
      </c>
      <c r="G670" s="269"/>
      <c r="H670" s="268"/>
      <c r="I670" s="270">
        <f>VLOOKUP(K670,임금대장!$A$3:$AH$86,16,0)</f>
        <v>0</v>
      </c>
      <c r="J670" s="271"/>
      <c r="K670" s="30">
        <v>30</v>
      </c>
    </row>
    <row r="671" spans="1:11" ht="20.45" customHeight="1" x14ac:dyDescent="0.6">
      <c r="A671" s="265" t="s">
        <v>87</v>
      </c>
      <c r="B671" s="266"/>
      <c r="C671" s="272" t="s">
        <v>5</v>
      </c>
      <c r="D671" s="274">
        <f>VLOOKUP($K670,임금대장!$A$3:$AH$86,5,0)</f>
        <v>45971</v>
      </c>
      <c r="E671" s="275"/>
      <c r="F671" s="114" t="s">
        <v>88</v>
      </c>
      <c r="G671" s="292">
        <f>VLOOKUP(K670,임금대장!$A$3:$AH$86,15,0)</f>
        <v>31</v>
      </c>
      <c r="H671" s="293"/>
      <c r="I671" s="272" t="s">
        <v>89</v>
      </c>
      <c r="J671" s="280">
        <f>VLOOKUP(K670,임금대장!$A$3:$AH$86,17,0)</f>
        <v>0</v>
      </c>
    </row>
    <row r="672" spans="1:11" ht="20.45" customHeight="1" x14ac:dyDescent="0.6">
      <c r="A672" s="295">
        <f>VLOOKUP($K670,임금대장!$A$3:$AH$86,7,0)</f>
        <v>3800000</v>
      </c>
      <c r="B672" s="296"/>
      <c r="C672" s="273"/>
      <c r="D672" s="276"/>
      <c r="E672" s="277"/>
      <c r="F672" s="115" t="s">
        <v>90</v>
      </c>
      <c r="G672" s="284">
        <f>VLOOKUP(K670,임금대장!$A$3:$AH$86,16,0)</f>
        <v>0</v>
      </c>
      <c r="H672" s="285"/>
      <c r="I672" s="273"/>
      <c r="J672" s="281"/>
    </row>
    <row r="673" spans="1:10" ht="20.45" customHeight="1" x14ac:dyDescent="0.6">
      <c r="F673" s="250"/>
      <c r="G673" s="250"/>
    </row>
    <row r="674" spans="1:10" ht="20.45" customHeight="1" x14ac:dyDescent="0.6">
      <c r="A674" s="251" t="s">
        <v>91</v>
      </c>
      <c r="B674" s="69" t="s">
        <v>20</v>
      </c>
      <c r="C674" s="25">
        <f>VLOOKUP($K670,임금대장!$A$3:$AH$86,9,0)</f>
        <v>2729209</v>
      </c>
      <c r="D674" s="33"/>
      <c r="E674" s="69"/>
      <c r="F674" s="254"/>
      <c r="G674" s="255"/>
      <c r="H674" s="168"/>
      <c r="I674" s="33"/>
      <c r="J674" s="34"/>
    </row>
    <row r="675" spans="1:10" ht="20.45" customHeight="1" x14ac:dyDescent="0.6">
      <c r="A675" s="252"/>
      <c r="B675" s="67" t="s">
        <v>21</v>
      </c>
      <c r="C675" s="35">
        <f>VLOOKUP($K670,임금대장!$A$3:$AH$86,10,0)</f>
        <v>851408</v>
      </c>
      <c r="D675" s="36"/>
      <c r="E675" s="67"/>
      <c r="F675" s="256"/>
      <c r="G675" s="257"/>
      <c r="H675" s="169"/>
      <c r="I675" s="36"/>
      <c r="J675" s="37"/>
    </row>
    <row r="676" spans="1:10" ht="20.45" customHeight="1" x14ac:dyDescent="0.6">
      <c r="A676" s="252"/>
      <c r="B676" s="52" t="s">
        <v>92</v>
      </c>
      <c r="C676" s="35">
        <f>VLOOKUP($K670,임금대장!$A$3:$AH$86,11,0)</f>
        <v>114915</v>
      </c>
      <c r="D676" s="36"/>
      <c r="E676" s="67"/>
      <c r="F676" s="256"/>
      <c r="G676" s="257"/>
      <c r="H676" s="169"/>
      <c r="I676" s="36"/>
      <c r="J676" s="37"/>
    </row>
    <row r="677" spans="1:10" ht="20.45" customHeight="1" x14ac:dyDescent="0.6">
      <c r="A677" s="252"/>
      <c r="B677" s="67" t="s">
        <v>93</v>
      </c>
      <c r="C677" s="35">
        <f>VLOOKUP($K670,임금대장!$A$3:$AH$86,12,0)</f>
        <v>0</v>
      </c>
      <c r="D677" s="36"/>
      <c r="E677" s="67"/>
      <c r="F677" s="256"/>
      <c r="G677" s="257"/>
      <c r="H677" s="169"/>
      <c r="I677" s="36"/>
      <c r="J677" s="37"/>
    </row>
    <row r="678" spans="1:10" ht="20.45" customHeight="1" x14ac:dyDescent="0.6">
      <c r="A678" s="252"/>
      <c r="B678" s="67" t="s">
        <v>94</v>
      </c>
      <c r="C678" s="35">
        <f>VLOOKUP($K670,임금대장!$A$3:$AH$86,13,0)</f>
        <v>104468</v>
      </c>
      <c r="D678" s="36"/>
      <c r="E678" s="36"/>
      <c r="F678" s="258"/>
      <c r="G678" s="259"/>
      <c r="H678" s="169"/>
      <c r="I678" s="36"/>
      <c r="J678" s="37"/>
    </row>
    <row r="679" spans="1:10" ht="20.45" customHeight="1" x14ac:dyDescent="0.6">
      <c r="A679" s="252"/>
      <c r="B679" s="67" t="s">
        <v>24</v>
      </c>
      <c r="C679" s="102">
        <f>VLOOKUP($K670,임금대장!$A$3:$AH$86,14,0)</f>
        <v>183870.96774193548</v>
      </c>
      <c r="D679" s="36"/>
      <c r="E679" s="36"/>
      <c r="F679" s="258"/>
      <c r="G679" s="259"/>
      <c r="H679" s="169"/>
      <c r="I679" s="36"/>
      <c r="J679" s="37"/>
    </row>
    <row r="680" spans="1:10" ht="20.45" customHeight="1" x14ac:dyDescent="0.6">
      <c r="A680" s="252"/>
      <c r="B680" s="67"/>
      <c r="C680" s="35"/>
      <c r="D680" s="36"/>
      <c r="E680" s="36"/>
      <c r="F680" s="258"/>
      <c r="G680" s="259"/>
      <c r="H680" s="169"/>
      <c r="I680" s="36"/>
      <c r="J680" s="37"/>
    </row>
    <row r="681" spans="1:10" ht="20.45" customHeight="1" x14ac:dyDescent="0.6">
      <c r="A681" s="252"/>
      <c r="B681" s="67"/>
      <c r="C681" s="35"/>
      <c r="D681" s="36"/>
      <c r="E681" s="36"/>
      <c r="F681" s="258"/>
      <c r="G681" s="259"/>
      <c r="H681" s="169"/>
      <c r="I681" s="36"/>
      <c r="J681" s="37"/>
    </row>
    <row r="682" spans="1:10" ht="20.45" customHeight="1" x14ac:dyDescent="0.6">
      <c r="A682" s="253"/>
      <c r="B682" s="68"/>
      <c r="C682" s="39"/>
      <c r="D682" s="40"/>
      <c r="E682" s="40"/>
      <c r="F682" s="260"/>
      <c r="G682" s="261"/>
      <c r="H682" s="170"/>
      <c r="I682" s="68" t="s">
        <v>95</v>
      </c>
      <c r="J682" s="41">
        <f>SUM(C674:H680)</f>
        <v>3983870.9677419355</v>
      </c>
    </row>
    <row r="683" spans="1:10" ht="20.45" customHeight="1" x14ac:dyDescent="0.6">
      <c r="A683" s="251" t="s">
        <v>96</v>
      </c>
      <c r="B683" s="36" t="s">
        <v>97</v>
      </c>
      <c r="C683" s="35">
        <f>VLOOKUP($K670,임금대장!$A$3:$AH$86,25,0)</f>
        <v>190620</v>
      </c>
      <c r="D683" s="33"/>
      <c r="E683" s="42"/>
      <c r="F683" s="262" t="s">
        <v>14</v>
      </c>
      <c r="G683" s="263"/>
      <c r="H683" s="169">
        <f>VLOOKUP($K670,임금대장!$A$3:$AH$86,19,0)</f>
        <v>0</v>
      </c>
      <c r="I683" s="33"/>
      <c r="J683" s="34"/>
    </row>
    <row r="684" spans="1:10" ht="20.45" customHeight="1" x14ac:dyDescent="0.6">
      <c r="A684" s="252"/>
      <c r="B684" s="36" t="s">
        <v>98</v>
      </c>
      <c r="C684" s="35">
        <f>VLOOKUP($K670,임금대장!$A$3:$AH$86,26,0)</f>
        <v>19060</v>
      </c>
      <c r="D684" s="36"/>
      <c r="E684" s="43"/>
      <c r="F684" s="258" t="s">
        <v>12</v>
      </c>
      <c r="G684" s="259"/>
      <c r="H684" s="169">
        <f>VLOOKUP($K670,임금대장!$A$3:$AH$86,17,0)</f>
        <v>0</v>
      </c>
      <c r="I684" s="36"/>
      <c r="J684" s="37"/>
    </row>
    <row r="685" spans="1:10" ht="20.45" customHeight="1" x14ac:dyDescent="0.6">
      <c r="A685" s="252"/>
      <c r="B685" s="36" t="s">
        <v>99</v>
      </c>
      <c r="C685" s="35">
        <f>VLOOKUP($K670,임금대장!$A$3:$AH$86,27,0)</f>
        <v>85500</v>
      </c>
      <c r="D685" s="36"/>
      <c r="E685" s="44"/>
      <c r="F685" s="258" t="s">
        <v>100</v>
      </c>
      <c r="G685" s="259"/>
      <c r="H685" s="169">
        <f>VLOOKUP($K670,임금대장!$A$3:$AH$86,31,0)</f>
        <v>0</v>
      </c>
      <c r="I685" s="36"/>
      <c r="J685" s="37"/>
    </row>
    <row r="686" spans="1:10" ht="20.45" customHeight="1" x14ac:dyDescent="0.6">
      <c r="A686" s="252"/>
      <c r="B686" s="36" t="s">
        <v>101</v>
      </c>
      <c r="C686" s="35">
        <f>VLOOKUP($K670,임금대장!$A$3:$AH$86,28,0)</f>
        <v>143220</v>
      </c>
      <c r="D686" s="36"/>
      <c r="E686" s="43"/>
      <c r="F686" s="258" t="s">
        <v>102</v>
      </c>
      <c r="G686" s="259"/>
      <c r="H686" s="169">
        <f>VLOOKUP($K670,임금대장!$A$3:$AH$86,30,0)</f>
        <v>35850</v>
      </c>
      <c r="I686" s="36"/>
      <c r="J686" s="37"/>
    </row>
    <row r="687" spans="1:10" ht="20.45" customHeight="1" x14ac:dyDescent="0.6">
      <c r="A687" s="252"/>
      <c r="B687" s="36" t="s">
        <v>31</v>
      </c>
      <c r="C687" s="35">
        <f>VLOOKUP($K670,임금대장!$A$3:$AH$86,29,0)</f>
        <v>18810</v>
      </c>
      <c r="D687" s="36"/>
      <c r="E687" s="43"/>
      <c r="F687" s="258" t="s">
        <v>328</v>
      </c>
      <c r="G687" s="259"/>
      <c r="H687" s="169">
        <f>VLOOKUP($K670,임금대장!$A$3:$AH$86,32,0)</f>
        <v>0</v>
      </c>
      <c r="I687" s="67" t="s">
        <v>103</v>
      </c>
      <c r="J687" s="47">
        <f>SUM(C683:H688)</f>
        <v>493060</v>
      </c>
    </row>
    <row r="688" spans="1:10" ht="20.45" customHeight="1" x14ac:dyDescent="0.6">
      <c r="A688" s="253"/>
      <c r="B688" s="40"/>
      <c r="C688" s="101"/>
      <c r="D688" s="40"/>
      <c r="E688" s="48"/>
      <c r="F688" s="260"/>
      <c r="G688" s="261"/>
      <c r="H688" s="170"/>
      <c r="I688" s="68" t="s">
        <v>104</v>
      </c>
      <c r="J688" s="49">
        <f>J682-J687</f>
        <v>3490810.9677419355</v>
      </c>
    </row>
    <row r="689" spans="1:11" ht="20.45" customHeight="1" x14ac:dyDescent="0.6">
      <c r="A689" s="50" t="s">
        <v>105</v>
      </c>
      <c r="J689" s="51" t="s">
        <v>0</v>
      </c>
    </row>
    <row r="690" spans="1:11" ht="20.45" customHeight="1" x14ac:dyDescent="0.6">
      <c r="A690" s="50"/>
      <c r="J690" s="51"/>
    </row>
    <row r="691" spans="1:11" ht="20.45" customHeight="1" x14ac:dyDescent="0.6">
      <c r="A691" s="264" t="s">
        <v>399</v>
      </c>
      <c r="B691" s="264"/>
      <c r="C691" s="264"/>
      <c r="D691" s="264"/>
      <c r="E691" s="264"/>
      <c r="F691" s="264"/>
      <c r="G691" s="264"/>
      <c r="H691" s="264"/>
      <c r="I691" s="264"/>
      <c r="J691" s="264"/>
    </row>
    <row r="692" spans="1:11" ht="20.45" customHeight="1" x14ac:dyDescent="0.6">
      <c r="A692" s="286" t="s">
        <v>83</v>
      </c>
      <c r="B692" s="286"/>
      <c r="C692" s="286"/>
      <c r="D692" s="286" t="s">
        <v>84</v>
      </c>
      <c r="E692" s="286"/>
      <c r="F692" s="265" t="s">
        <v>85</v>
      </c>
      <c r="G692" s="250"/>
      <c r="H692" s="266"/>
      <c r="I692" s="286" t="s">
        <v>86</v>
      </c>
      <c r="J692" s="286"/>
    </row>
    <row r="693" spans="1:11" ht="20.45" customHeight="1" x14ac:dyDescent="0.6">
      <c r="A693" s="286" t="str">
        <f>VLOOKUP(K693,임금대장!$A$3:$AH$86,3,0)</f>
        <v>핫/즉석</v>
      </c>
      <c r="B693" s="286"/>
      <c r="C693" s="286"/>
      <c r="D693" s="287" t="str">
        <f>VLOOKUP(K693,임금대장!$A$3:$AH$86,2,0)</f>
        <v>안유빈</v>
      </c>
      <c r="E693" s="287"/>
      <c r="F693" s="267">
        <f>임금대장!$O$3</f>
        <v>31</v>
      </c>
      <c r="G693" s="269"/>
      <c r="H693" s="268"/>
      <c r="I693" s="288">
        <f>VLOOKUP(K693,임금대장!$A$3:$AH$86,16,0)</f>
        <v>0</v>
      </c>
      <c r="J693" s="288"/>
      <c r="K693" s="30">
        <v>31</v>
      </c>
    </row>
    <row r="694" spans="1:11" ht="20.45" customHeight="1" x14ac:dyDescent="0.6">
      <c r="A694" s="286" t="s">
        <v>87</v>
      </c>
      <c r="B694" s="286"/>
      <c r="C694" s="286" t="s">
        <v>5</v>
      </c>
      <c r="D694" s="289">
        <f>VLOOKUP($K693,임금대장!$A$3:$AH$86,5,0)</f>
        <v>45992</v>
      </c>
      <c r="E694" s="289"/>
      <c r="F694" s="114" t="s">
        <v>88</v>
      </c>
      <c r="G694" s="292">
        <f>VLOOKUP(K693,임금대장!$A$3:$AH$86,15,0)</f>
        <v>31</v>
      </c>
      <c r="H694" s="293"/>
      <c r="I694" s="286" t="s">
        <v>89</v>
      </c>
      <c r="J694" s="290">
        <f>VLOOKUP(K693,임금대장!$A$3:$AH$86,17,0)</f>
        <v>0</v>
      </c>
    </row>
    <row r="695" spans="1:11" ht="20.45" customHeight="1" x14ac:dyDescent="0.6">
      <c r="A695" s="294">
        <f>VLOOKUP($K693,임금대장!$A$3:$AH$86,7,0)</f>
        <v>3300000</v>
      </c>
      <c r="B695" s="294"/>
      <c r="C695" s="286"/>
      <c r="D695" s="289"/>
      <c r="E695" s="289"/>
      <c r="F695" s="115" t="s">
        <v>90</v>
      </c>
      <c r="G695" s="284">
        <f>VLOOKUP(K693,임금대장!$A$3:$AH$86,16,0)</f>
        <v>0</v>
      </c>
      <c r="H695" s="285"/>
      <c r="I695" s="286"/>
      <c r="J695" s="290"/>
    </row>
    <row r="696" spans="1:11" ht="20.45" customHeight="1" x14ac:dyDescent="0.6">
      <c r="F696" s="250"/>
      <c r="G696" s="250"/>
    </row>
    <row r="697" spans="1:11" ht="20.45" customHeight="1" x14ac:dyDescent="0.6">
      <c r="A697" s="251" t="s">
        <v>91</v>
      </c>
      <c r="B697" s="69" t="s">
        <v>20</v>
      </c>
      <c r="C697" s="25">
        <f>VLOOKUP($K693,임금대장!$A$3:$AH$86,9,0)</f>
        <v>2370103</v>
      </c>
      <c r="D697" s="33"/>
      <c r="E697" s="69"/>
      <c r="F697" s="254"/>
      <c r="G697" s="255"/>
      <c r="H697" s="168"/>
      <c r="I697" s="33"/>
      <c r="J697" s="34"/>
    </row>
    <row r="698" spans="1:11" ht="20.45" customHeight="1" x14ac:dyDescent="0.6">
      <c r="A698" s="252"/>
      <c r="B698" s="67" t="s">
        <v>21</v>
      </c>
      <c r="C698" s="35">
        <f>VLOOKUP($K693,임금대장!$A$3:$AH$86,10,0)</f>
        <v>739381</v>
      </c>
      <c r="D698" s="36"/>
      <c r="E698" s="67"/>
      <c r="F698" s="256"/>
      <c r="G698" s="257"/>
      <c r="H698" s="169"/>
      <c r="I698" s="36"/>
      <c r="J698" s="37"/>
    </row>
    <row r="699" spans="1:11" ht="20.45" customHeight="1" x14ac:dyDescent="0.6">
      <c r="A699" s="252"/>
      <c r="B699" s="52" t="s">
        <v>92</v>
      </c>
      <c r="C699" s="35">
        <f>VLOOKUP($K693,임금대장!$A$3:$AH$86,11,0)</f>
        <v>99794</v>
      </c>
      <c r="D699" s="36"/>
      <c r="E699" s="67"/>
      <c r="F699" s="256"/>
      <c r="G699" s="257"/>
      <c r="H699" s="169"/>
      <c r="I699" s="36"/>
      <c r="J699" s="37"/>
    </row>
    <row r="700" spans="1:11" ht="20.45" customHeight="1" x14ac:dyDescent="0.6">
      <c r="A700" s="252"/>
      <c r="B700" s="67" t="s">
        <v>93</v>
      </c>
      <c r="C700" s="35">
        <f>VLOOKUP($K693,임금대장!$A$3:$AH$86,12,0)</f>
        <v>0</v>
      </c>
      <c r="D700" s="36"/>
      <c r="E700" s="67"/>
      <c r="F700" s="256"/>
      <c r="G700" s="257"/>
      <c r="H700" s="169"/>
      <c r="I700" s="36"/>
      <c r="J700" s="37"/>
    </row>
    <row r="701" spans="1:11" ht="20.45" customHeight="1" x14ac:dyDescent="0.6">
      <c r="A701" s="252"/>
      <c r="B701" s="67" t="s">
        <v>94</v>
      </c>
      <c r="C701" s="35">
        <f>VLOOKUP($K693,임금대장!$A$3:$AH$86,13,0)</f>
        <v>90722</v>
      </c>
      <c r="D701" s="36"/>
      <c r="E701" s="36"/>
      <c r="F701" s="258"/>
      <c r="G701" s="259"/>
      <c r="H701" s="169"/>
      <c r="I701" s="36"/>
      <c r="J701" s="37"/>
    </row>
    <row r="702" spans="1:11" ht="20.45" customHeight="1" x14ac:dyDescent="0.6">
      <c r="A702" s="252"/>
      <c r="B702" s="67" t="s">
        <v>24</v>
      </c>
      <c r="C702" s="102">
        <f>VLOOKUP($K693,임금대장!$A$3:$AH$86,14,0)</f>
        <v>53225.806451612902</v>
      </c>
      <c r="D702" s="36"/>
      <c r="E702" s="36"/>
      <c r="F702" s="258"/>
      <c r="G702" s="259"/>
      <c r="H702" s="169"/>
      <c r="I702" s="36"/>
      <c r="J702" s="37"/>
    </row>
    <row r="703" spans="1:11" ht="20.45" customHeight="1" x14ac:dyDescent="0.6">
      <c r="A703" s="252"/>
      <c r="B703" s="67"/>
      <c r="C703" s="35"/>
      <c r="D703" s="36"/>
      <c r="E703" s="36"/>
      <c r="F703" s="258"/>
      <c r="G703" s="259"/>
      <c r="H703" s="169"/>
      <c r="I703" s="36"/>
      <c r="J703" s="37"/>
    </row>
    <row r="704" spans="1:11" ht="20.45" customHeight="1" x14ac:dyDescent="0.6">
      <c r="A704" s="252"/>
      <c r="B704" s="67"/>
      <c r="C704" s="35"/>
      <c r="D704" s="36"/>
      <c r="E704" s="36"/>
      <c r="F704" s="258"/>
      <c r="G704" s="259"/>
      <c r="H704" s="169"/>
      <c r="I704" s="36"/>
      <c r="J704" s="37"/>
    </row>
    <row r="705" spans="1:11" ht="20.45" customHeight="1" x14ac:dyDescent="0.6">
      <c r="A705" s="253"/>
      <c r="B705" s="68"/>
      <c r="C705" s="39"/>
      <c r="D705" s="40"/>
      <c r="E705" s="40"/>
      <c r="F705" s="260"/>
      <c r="G705" s="261"/>
      <c r="H705" s="170"/>
      <c r="I705" s="68" t="s">
        <v>95</v>
      </c>
      <c r="J705" s="41">
        <f>SUM(C697:H703)</f>
        <v>3353225.8064516131</v>
      </c>
    </row>
    <row r="706" spans="1:11" ht="20.45" customHeight="1" x14ac:dyDescent="0.6">
      <c r="A706" s="251" t="s">
        <v>96</v>
      </c>
      <c r="B706" s="36" t="s">
        <v>97</v>
      </c>
      <c r="C706" s="35">
        <f>VLOOKUP($K693,임금대장!$A$3:$AH$86,25,0)</f>
        <v>105210</v>
      </c>
      <c r="D706" s="33"/>
      <c r="E706" s="42"/>
      <c r="F706" s="262" t="s">
        <v>14</v>
      </c>
      <c r="G706" s="263"/>
      <c r="H706" s="169">
        <f>VLOOKUP($K693,임금대장!$A$3:$AH$86,19,0)</f>
        <v>0</v>
      </c>
      <c r="I706" s="33"/>
      <c r="J706" s="34"/>
    </row>
    <row r="707" spans="1:11" ht="20.45" customHeight="1" x14ac:dyDescent="0.6">
      <c r="A707" s="252"/>
      <c r="B707" s="36" t="s">
        <v>98</v>
      </c>
      <c r="C707" s="35">
        <f>VLOOKUP($K693,임금대장!$A$3:$AH$86,26,0)</f>
        <v>10520</v>
      </c>
      <c r="D707" s="36"/>
      <c r="E707" s="43"/>
      <c r="F707" s="258" t="s">
        <v>12</v>
      </c>
      <c r="G707" s="259"/>
      <c r="H707" s="169">
        <f>VLOOKUP($K693,임금대장!$A$3:$AH$86,17,0)</f>
        <v>0</v>
      </c>
      <c r="I707" s="36"/>
      <c r="J707" s="37"/>
    </row>
    <row r="708" spans="1:11" ht="20.45" customHeight="1" x14ac:dyDescent="0.6">
      <c r="A708" s="252"/>
      <c r="B708" s="36" t="s">
        <v>99</v>
      </c>
      <c r="C708" s="35">
        <f>VLOOKUP($K693,임금대장!$A$3:$AH$86,27,0)</f>
        <v>85500</v>
      </c>
      <c r="D708" s="36"/>
      <c r="E708" s="44"/>
      <c r="F708" s="258" t="s">
        <v>100</v>
      </c>
      <c r="G708" s="259"/>
      <c r="H708" s="169">
        <f>VLOOKUP($K693,임금대장!$A$3:$AH$86,31,0)</f>
        <v>0</v>
      </c>
      <c r="I708" s="36"/>
      <c r="J708" s="37"/>
    </row>
    <row r="709" spans="1:11" ht="20.45" customHeight="1" x14ac:dyDescent="0.6">
      <c r="A709" s="252"/>
      <c r="B709" s="36" t="s">
        <v>101</v>
      </c>
      <c r="C709" s="35">
        <f>VLOOKUP($K693,임금대장!$A$3:$AH$86,28,0)</f>
        <v>120540</v>
      </c>
      <c r="D709" s="36"/>
      <c r="E709" s="43"/>
      <c r="F709" s="258" t="s">
        <v>102</v>
      </c>
      <c r="G709" s="259"/>
      <c r="H709" s="169">
        <f>VLOOKUP($K693,임금대장!$A$3:$AH$86,30,0)</f>
        <v>30170</v>
      </c>
      <c r="I709" s="36"/>
      <c r="J709" s="37"/>
    </row>
    <row r="710" spans="1:11" ht="20.45" customHeight="1" x14ac:dyDescent="0.6">
      <c r="A710" s="252"/>
      <c r="B710" s="36" t="s">
        <v>31</v>
      </c>
      <c r="C710" s="35">
        <f>VLOOKUP($K693,임금대장!$A$3:$AH$86,29,0)</f>
        <v>15830</v>
      </c>
      <c r="D710" s="36"/>
      <c r="E710" s="43"/>
      <c r="F710" s="258" t="s">
        <v>328</v>
      </c>
      <c r="G710" s="259"/>
      <c r="H710" s="169">
        <f>VLOOKUP($K693,임금대장!$A$3:$AH$86,32,0)</f>
        <v>0</v>
      </c>
      <c r="I710" s="67" t="s">
        <v>103</v>
      </c>
      <c r="J710" s="47">
        <f>SUM(C706:H711)</f>
        <v>367770</v>
      </c>
    </row>
    <row r="711" spans="1:11" ht="20.45" customHeight="1" x14ac:dyDescent="0.6">
      <c r="A711" s="253"/>
      <c r="B711" s="40"/>
      <c r="C711" s="101"/>
      <c r="D711" s="40"/>
      <c r="E711" s="48"/>
      <c r="F711" s="260"/>
      <c r="G711" s="261"/>
      <c r="H711" s="170"/>
      <c r="I711" s="68" t="s">
        <v>104</v>
      </c>
      <c r="J711" s="49">
        <f>J705-J710</f>
        <v>2985455.8064516131</v>
      </c>
    </row>
    <row r="712" spans="1:11" ht="20.45" customHeight="1" x14ac:dyDescent="0.6">
      <c r="A712" s="50" t="s">
        <v>105</v>
      </c>
      <c r="J712" s="51" t="s">
        <v>0</v>
      </c>
    </row>
    <row r="713" spans="1:11" ht="20.45" customHeight="1" x14ac:dyDescent="0.6">
      <c r="A713" s="50"/>
      <c r="J713" s="51"/>
    </row>
    <row r="714" spans="1:11" ht="20.45" customHeight="1" x14ac:dyDescent="0.6">
      <c r="A714" s="264" t="s">
        <v>399</v>
      </c>
      <c r="B714" s="264"/>
      <c r="C714" s="264"/>
      <c r="D714" s="264"/>
      <c r="E714" s="264"/>
      <c r="F714" s="264"/>
      <c r="G714" s="264"/>
      <c r="H714" s="264"/>
      <c r="I714" s="264"/>
      <c r="J714" s="264"/>
    </row>
    <row r="715" spans="1:11" ht="20.45" customHeight="1" x14ac:dyDescent="0.6">
      <c r="A715" s="286" t="s">
        <v>83</v>
      </c>
      <c r="B715" s="286"/>
      <c r="C715" s="286"/>
      <c r="D715" s="286" t="s">
        <v>84</v>
      </c>
      <c r="E715" s="286"/>
      <c r="F715" s="265" t="s">
        <v>85</v>
      </c>
      <c r="G715" s="250"/>
      <c r="H715" s="266"/>
      <c r="I715" s="286" t="s">
        <v>86</v>
      </c>
      <c r="J715" s="286"/>
    </row>
    <row r="716" spans="1:11" ht="20.45" customHeight="1" x14ac:dyDescent="0.6">
      <c r="A716" s="286" t="str">
        <f>VLOOKUP(K716,임금대장!$A$3:$AH$86,3,0)</f>
        <v>초다이</v>
      </c>
      <c r="B716" s="286"/>
      <c r="C716" s="286"/>
      <c r="D716" s="287" t="str">
        <f>VLOOKUP(K716,임금대장!$A$3:$AH$86,2,0)</f>
        <v>정유진</v>
      </c>
      <c r="E716" s="287"/>
      <c r="F716" s="267">
        <f>임금대장!$O$3</f>
        <v>31</v>
      </c>
      <c r="G716" s="269"/>
      <c r="H716" s="268"/>
      <c r="I716" s="288">
        <f>VLOOKUP(K716,임금대장!$A$3:$AH$86,16,0)</f>
        <v>0</v>
      </c>
      <c r="J716" s="288"/>
      <c r="K716" s="30">
        <v>32</v>
      </c>
    </row>
    <row r="717" spans="1:11" ht="20.45" customHeight="1" x14ac:dyDescent="0.6">
      <c r="A717" s="286" t="s">
        <v>87</v>
      </c>
      <c r="B717" s="286"/>
      <c r="C717" s="286" t="s">
        <v>5</v>
      </c>
      <c r="D717" s="289">
        <f>VLOOKUP($K716,임금대장!$A$3:$AH$86,5,0)</f>
        <v>46000</v>
      </c>
      <c r="E717" s="289"/>
      <c r="F717" s="114" t="s">
        <v>88</v>
      </c>
      <c r="G717" s="292">
        <f>VLOOKUP(K716,임금대장!$A$3:$AH$86,15,0)</f>
        <v>31</v>
      </c>
      <c r="H717" s="293"/>
      <c r="I717" s="286" t="s">
        <v>89</v>
      </c>
      <c r="J717" s="290">
        <f>VLOOKUP(K716,임금대장!$A$3:$AH$86,17,0)</f>
        <v>0</v>
      </c>
    </row>
    <row r="718" spans="1:11" ht="20.45" customHeight="1" x14ac:dyDescent="0.6">
      <c r="A718" s="294">
        <f>VLOOKUP($K716,임금대장!$A$3:$AH$86,7,0)</f>
        <v>3200000</v>
      </c>
      <c r="B718" s="294"/>
      <c r="C718" s="286"/>
      <c r="D718" s="289"/>
      <c r="E718" s="289"/>
      <c r="F718" s="115" t="s">
        <v>90</v>
      </c>
      <c r="G718" s="284">
        <f>VLOOKUP(K716,임금대장!$A$3:$AH$86,16,0)</f>
        <v>0</v>
      </c>
      <c r="H718" s="285"/>
      <c r="I718" s="286"/>
      <c r="J718" s="290"/>
    </row>
    <row r="719" spans="1:11" ht="20.45" customHeight="1" x14ac:dyDescent="0.6">
      <c r="F719" s="250"/>
      <c r="G719" s="250"/>
    </row>
    <row r="720" spans="1:11" ht="20.45" customHeight="1" x14ac:dyDescent="0.6">
      <c r="A720" s="251" t="s">
        <v>91</v>
      </c>
      <c r="B720" s="69" t="s">
        <v>20</v>
      </c>
      <c r="C720" s="25">
        <f>VLOOKUP($K716,임금대장!$A$3:$AH$86,9,0)</f>
        <v>2298282</v>
      </c>
      <c r="D720" s="33"/>
      <c r="E720" s="69"/>
      <c r="F720" s="254"/>
      <c r="G720" s="255"/>
      <c r="H720" s="168"/>
      <c r="I720" s="33"/>
      <c r="J720" s="34"/>
    </row>
    <row r="721" spans="1:10" ht="20.45" customHeight="1" x14ac:dyDescent="0.6">
      <c r="A721" s="252"/>
      <c r="B721" s="67" t="s">
        <v>21</v>
      </c>
      <c r="C721" s="35">
        <f>VLOOKUP($K716,임금대장!$A$3:$AH$86,10,0)</f>
        <v>716975</v>
      </c>
      <c r="D721" s="36"/>
      <c r="E721" s="67"/>
      <c r="F721" s="256"/>
      <c r="G721" s="257"/>
      <c r="H721" s="169"/>
      <c r="I721" s="36"/>
      <c r="J721" s="37"/>
    </row>
    <row r="722" spans="1:10" ht="20.45" customHeight="1" x14ac:dyDescent="0.6">
      <c r="A722" s="252"/>
      <c r="B722" s="52" t="s">
        <v>92</v>
      </c>
      <c r="C722" s="35">
        <f>VLOOKUP($K716,임금대장!$A$3:$AH$86,11,0)</f>
        <v>96770</v>
      </c>
      <c r="D722" s="36"/>
      <c r="E722" s="67"/>
      <c r="F722" s="256"/>
      <c r="G722" s="257"/>
      <c r="H722" s="169"/>
      <c r="I722" s="36"/>
      <c r="J722" s="37"/>
    </row>
    <row r="723" spans="1:10" ht="20.45" customHeight="1" x14ac:dyDescent="0.6">
      <c r="A723" s="252"/>
      <c r="B723" s="67" t="s">
        <v>93</v>
      </c>
      <c r="C723" s="35">
        <f>VLOOKUP($K716,임금대장!$A$3:$AH$86,12,0)</f>
        <v>0</v>
      </c>
      <c r="D723" s="36"/>
      <c r="E723" s="67"/>
      <c r="F723" s="256"/>
      <c r="G723" s="257"/>
      <c r="H723" s="169"/>
      <c r="I723" s="36"/>
      <c r="J723" s="37"/>
    </row>
    <row r="724" spans="1:10" ht="20.45" customHeight="1" x14ac:dyDescent="0.6">
      <c r="A724" s="252"/>
      <c r="B724" s="67" t="s">
        <v>94</v>
      </c>
      <c r="C724" s="35">
        <f>VLOOKUP($K716,임금대장!$A$3:$AH$86,13,0)</f>
        <v>87973</v>
      </c>
      <c r="D724" s="36"/>
      <c r="E724" s="36"/>
      <c r="F724" s="258"/>
      <c r="G724" s="259"/>
      <c r="H724" s="169"/>
      <c r="I724" s="36"/>
      <c r="J724" s="37"/>
    </row>
    <row r="725" spans="1:10" ht="20.45" customHeight="1" x14ac:dyDescent="0.6">
      <c r="A725" s="252"/>
      <c r="B725" s="67" t="s">
        <v>24</v>
      </c>
      <c r="C725" s="102">
        <f>VLOOKUP($K716,임금대장!$A$3:$AH$86,14,0)</f>
        <v>154838.70967741936</v>
      </c>
      <c r="D725" s="36"/>
      <c r="E725" s="36"/>
      <c r="F725" s="258"/>
      <c r="G725" s="259"/>
      <c r="H725" s="169"/>
      <c r="I725" s="36"/>
      <c r="J725" s="37"/>
    </row>
    <row r="726" spans="1:10" ht="20.45" customHeight="1" x14ac:dyDescent="0.6">
      <c r="A726" s="252"/>
      <c r="B726" s="67"/>
      <c r="C726" s="35"/>
      <c r="D726" s="36"/>
      <c r="E726" s="36"/>
      <c r="F726" s="258"/>
      <c r="G726" s="259"/>
      <c r="H726" s="169"/>
      <c r="I726" s="36"/>
      <c r="J726" s="37"/>
    </row>
    <row r="727" spans="1:10" ht="20.45" customHeight="1" x14ac:dyDescent="0.6">
      <c r="A727" s="252"/>
      <c r="B727" s="67"/>
      <c r="C727" s="35"/>
      <c r="D727" s="36"/>
      <c r="E727" s="36"/>
      <c r="F727" s="258"/>
      <c r="G727" s="259"/>
      <c r="H727" s="169"/>
      <c r="I727" s="36"/>
      <c r="J727" s="37"/>
    </row>
    <row r="728" spans="1:10" ht="20.45" customHeight="1" x14ac:dyDescent="0.6">
      <c r="A728" s="253"/>
      <c r="B728" s="68"/>
      <c r="C728" s="39"/>
      <c r="D728" s="40"/>
      <c r="E728" s="40"/>
      <c r="F728" s="260"/>
      <c r="G728" s="261"/>
      <c r="H728" s="170"/>
      <c r="I728" s="68" t="s">
        <v>95</v>
      </c>
      <c r="J728" s="41">
        <f>SUM(C720:H726)</f>
        <v>3354838.7096774192</v>
      </c>
    </row>
    <row r="729" spans="1:10" ht="20.45" customHeight="1" x14ac:dyDescent="0.6">
      <c r="A729" s="251" t="s">
        <v>96</v>
      </c>
      <c r="B729" s="36" t="s">
        <v>97</v>
      </c>
      <c r="C729" s="35">
        <f>VLOOKUP($K716,임금대장!$A$3:$AH$86,25,0)</f>
        <v>105210</v>
      </c>
      <c r="D729" s="33"/>
      <c r="E729" s="42"/>
      <c r="F729" s="262" t="s">
        <v>14</v>
      </c>
      <c r="G729" s="263"/>
      <c r="H729" s="169">
        <f>VLOOKUP($K716,임금대장!$A$3:$AH$86,19,0)</f>
        <v>0</v>
      </c>
      <c r="I729" s="33"/>
      <c r="J729" s="34"/>
    </row>
    <row r="730" spans="1:10" ht="20.45" customHeight="1" x14ac:dyDescent="0.6">
      <c r="A730" s="252"/>
      <c r="B730" s="36" t="s">
        <v>98</v>
      </c>
      <c r="C730" s="35">
        <f>VLOOKUP($K716,임금대장!$A$3:$AH$86,26,0)</f>
        <v>10520</v>
      </c>
      <c r="D730" s="36"/>
      <c r="E730" s="43"/>
      <c r="F730" s="258" t="s">
        <v>12</v>
      </c>
      <c r="G730" s="259"/>
      <c r="H730" s="169">
        <f>VLOOKUP($K716,임금대장!$A$3:$AH$86,17,0)</f>
        <v>0</v>
      </c>
      <c r="I730" s="36"/>
      <c r="J730" s="37"/>
    </row>
    <row r="731" spans="1:10" ht="20.45" customHeight="1" x14ac:dyDescent="0.6">
      <c r="A731" s="252"/>
      <c r="B731" s="36" t="s">
        <v>99</v>
      </c>
      <c r="C731" s="35">
        <f>VLOOKUP($K716,임금대장!$A$3:$AH$86,27,0)</f>
        <v>85500</v>
      </c>
      <c r="D731" s="36"/>
      <c r="E731" s="44"/>
      <c r="F731" s="258" t="s">
        <v>100</v>
      </c>
      <c r="G731" s="259"/>
      <c r="H731" s="169">
        <f>VLOOKUP($K716,임금대장!$A$3:$AH$86,31,0)</f>
        <v>0</v>
      </c>
      <c r="I731" s="36"/>
      <c r="J731" s="37"/>
    </row>
    <row r="732" spans="1:10" ht="20.45" customHeight="1" x14ac:dyDescent="0.6">
      <c r="A732" s="252"/>
      <c r="B732" s="36" t="s">
        <v>101</v>
      </c>
      <c r="C732" s="35">
        <f>VLOOKUP($K716,임금대장!$A$3:$AH$86,28,0)</f>
        <v>120600</v>
      </c>
      <c r="D732" s="36"/>
      <c r="E732" s="43"/>
      <c r="F732" s="258" t="s">
        <v>102</v>
      </c>
      <c r="G732" s="259"/>
      <c r="H732" s="169">
        <f>VLOOKUP($K716,임금대장!$A$3:$AH$86,30,0)</f>
        <v>30190</v>
      </c>
      <c r="I732" s="36"/>
      <c r="J732" s="37"/>
    </row>
    <row r="733" spans="1:10" ht="20.45" customHeight="1" x14ac:dyDescent="0.6">
      <c r="A733" s="252"/>
      <c r="B733" s="36" t="s">
        <v>31</v>
      </c>
      <c r="C733" s="35">
        <f>VLOOKUP($K716,임금대장!$A$3:$AH$86,29,0)</f>
        <v>15840</v>
      </c>
      <c r="D733" s="36"/>
      <c r="E733" s="43"/>
      <c r="F733" s="258" t="s">
        <v>328</v>
      </c>
      <c r="G733" s="259"/>
      <c r="H733" s="169">
        <f>VLOOKUP($K716,임금대장!$A$3:$AH$86,32,0)</f>
        <v>0</v>
      </c>
      <c r="I733" s="67" t="s">
        <v>103</v>
      </c>
      <c r="J733" s="47">
        <f>SUM(C729:H734)</f>
        <v>367860</v>
      </c>
    </row>
    <row r="734" spans="1:10" ht="20.45" customHeight="1" x14ac:dyDescent="0.6">
      <c r="A734" s="253"/>
      <c r="B734" s="40"/>
      <c r="C734" s="101"/>
      <c r="D734" s="40"/>
      <c r="E734" s="48"/>
      <c r="F734" s="260"/>
      <c r="G734" s="261"/>
      <c r="H734" s="170"/>
      <c r="I734" s="68" t="s">
        <v>104</v>
      </c>
      <c r="J734" s="49">
        <f>J728-J733</f>
        <v>2986978.7096774192</v>
      </c>
    </row>
    <row r="735" spans="1:10" ht="20.45" customHeight="1" x14ac:dyDescent="0.6">
      <c r="A735" s="50" t="s">
        <v>105</v>
      </c>
      <c r="J735" s="51" t="s">
        <v>0</v>
      </c>
    </row>
    <row r="736" spans="1:10" ht="20.45" customHeight="1" x14ac:dyDescent="0.6">
      <c r="A736" s="50"/>
      <c r="J736" s="51"/>
    </row>
    <row r="737" spans="1:11" ht="20.45" customHeight="1" x14ac:dyDescent="0.6">
      <c r="A737" s="264" t="s">
        <v>399</v>
      </c>
      <c r="B737" s="264"/>
      <c r="C737" s="264"/>
      <c r="D737" s="264"/>
      <c r="E737" s="264"/>
      <c r="F737" s="264"/>
      <c r="G737" s="264"/>
      <c r="H737" s="264"/>
      <c r="I737" s="264"/>
      <c r="J737" s="264"/>
    </row>
    <row r="738" spans="1:11" ht="20.45" customHeight="1" x14ac:dyDescent="0.6">
      <c r="A738" s="286" t="s">
        <v>83</v>
      </c>
      <c r="B738" s="286"/>
      <c r="C738" s="286"/>
      <c r="D738" s="286" t="s">
        <v>84</v>
      </c>
      <c r="E738" s="286"/>
      <c r="F738" s="265" t="s">
        <v>85</v>
      </c>
      <c r="G738" s="250"/>
      <c r="H738" s="266"/>
      <c r="I738" s="286" t="s">
        <v>86</v>
      </c>
      <c r="J738" s="286"/>
    </row>
    <row r="739" spans="1:11" ht="20.45" customHeight="1" x14ac:dyDescent="0.6">
      <c r="A739" s="286" t="str">
        <f>VLOOKUP(K739,임금대장!$A$3:$AH$86,3,0)</f>
        <v>세척</v>
      </c>
      <c r="B739" s="286"/>
      <c r="C739" s="286"/>
      <c r="D739" s="287" t="str">
        <f>VLOOKUP(K739,임금대장!$A$3:$AH$86,2,0)</f>
        <v>이경숙</v>
      </c>
      <c r="E739" s="287"/>
      <c r="F739" s="267">
        <f>임금대장!$O$3</f>
        <v>31</v>
      </c>
      <c r="G739" s="269"/>
      <c r="H739" s="268"/>
      <c r="I739" s="288">
        <f>VLOOKUP(K739,임금대장!$A$3:$AH$86,16,0)</f>
        <v>0</v>
      </c>
      <c r="J739" s="288"/>
      <c r="K739" s="30">
        <v>33</v>
      </c>
    </row>
    <row r="740" spans="1:11" ht="20.45" customHeight="1" x14ac:dyDescent="0.6">
      <c r="A740" s="286" t="s">
        <v>87</v>
      </c>
      <c r="B740" s="286"/>
      <c r="C740" s="286" t="s">
        <v>5</v>
      </c>
      <c r="D740" s="289">
        <f>VLOOKUP($K739,임금대장!$A$3:$AH$86,5,0)</f>
        <v>46001</v>
      </c>
      <c r="E740" s="289"/>
      <c r="F740" s="114" t="s">
        <v>88</v>
      </c>
      <c r="G740" s="292">
        <f>VLOOKUP(K739,임금대장!$A$3:$AH$86,15,0)</f>
        <v>31</v>
      </c>
      <c r="H740" s="293"/>
      <c r="I740" s="286" t="s">
        <v>89</v>
      </c>
      <c r="J740" s="290">
        <f>VLOOKUP(K739,임금대장!$A$3:$AH$86,17,0)</f>
        <v>0</v>
      </c>
    </row>
    <row r="741" spans="1:11" ht="20.45" customHeight="1" x14ac:dyDescent="0.6">
      <c r="A741" s="294">
        <f>VLOOKUP($K739,임금대장!$A$3:$AH$86,7,0)</f>
        <v>3300000</v>
      </c>
      <c r="B741" s="294"/>
      <c r="C741" s="286"/>
      <c r="D741" s="289"/>
      <c r="E741" s="289"/>
      <c r="F741" s="115" t="s">
        <v>90</v>
      </c>
      <c r="G741" s="284">
        <f>VLOOKUP(K739,임금대장!$A$3:$AH$86,16,0)</f>
        <v>0</v>
      </c>
      <c r="H741" s="285"/>
      <c r="I741" s="286"/>
      <c r="J741" s="290"/>
    </row>
    <row r="742" spans="1:11" ht="20.45" customHeight="1" x14ac:dyDescent="0.6">
      <c r="F742" s="250"/>
      <c r="G742" s="250"/>
    </row>
    <row r="743" spans="1:11" ht="20.45" customHeight="1" x14ac:dyDescent="0.6">
      <c r="A743" s="251" t="s">
        <v>91</v>
      </c>
      <c r="B743" s="69" t="s">
        <v>20</v>
      </c>
      <c r="C743" s="25">
        <f>VLOOKUP($K739,임금대장!$A$3:$AH$86,9,0)</f>
        <v>2370103</v>
      </c>
      <c r="D743" s="33"/>
      <c r="E743" s="69"/>
      <c r="F743" s="254"/>
      <c r="G743" s="255"/>
      <c r="H743" s="168"/>
      <c r="I743" s="33"/>
      <c r="J743" s="34"/>
    </row>
    <row r="744" spans="1:11" ht="20.45" customHeight="1" x14ac:dyDescent="0.6">
      <c r="A744" s="252"/>
      <c r="B744" s="67" t="s">
        <v>21</v>
      </c>
      <c r="C744" s="35">
        <f>VLOOKUP($K739,임금대장!$A$3:$AH$86,10,0)</f>
        <v>739381</v>
      </c>
      <c r="D744" s="36"/>
      <c r="E744" s="67"/>
      <c r="F744" s="256"/>
      <c r="G744" s="257"/>
      <c r="H744" s="169"/>
      <c r="I744" s="36"/>
      <c r="J744" s="37"/>
    </row>
    <row r="745" spans="1:11" ht="20.45" customHeight="1" x14ac:dyDescent="0.6">
      <c r="A745" s="252"/>
      <c r="B745" s="52" t="s">
        <v>92</v>
      </c>
      <c r="C745" s="35">
        <f>VLOOKUP($K739,임금대장!$A$3:$AH$86,11,0)</f>
        <v>99794</v>
      </c>
      <c r="D745" s="36"/>
      <c r="E745" s="67"/>
      <c r="F745" s="256"/>
      <c r="G745" s="257"/>
      <c r="H745" s="169"/>
      <c r="I745" s="36"/>
      <c r="J745" s="37"/>
    </row>
    <row r="746" spans="1:11" ht="20.45" customHeight="1" x14ac:dyDescent="0.6">
      <c r="A746" s="252"/>
      <c r="B746" s="67" t="s">
        <v>93</v>
      </c>
      <c r="C746" s="35">
        <f>VLOOKUP($K739,임금대장!$A$3:$AH$86,12,0)</f>
        <v>0</v>
      </c>
      <c r="D746" s="36"/>
      <c r="E746" s="67"/>
      <c r="F746" s="256"/>
      <c r="G746" s="257"/>
      <c r="H746" s="169"/>
      <c r="I746" s="36"/>
      <c r="J746" s="37"/>
    </row>
    <row r="747" spans="1:11" ht="20.45" customHeight="1" x14ac:dyDescent="0.6">
      <c r="A747" s="252"/>
      <c r="B747" s="67" t="s">
        <v>94</v>
      </c>
      <c r="C747" s="35">
        <f>VLOOKUP($K739,임금대장!$A$3:$AH$86,13,0)</f>
        <v>90722</v>
      </c>
      <c r="D747" s="36"/>
      <c r="E747" s="36"/>
      <c r="F747" s="258"/>
      <c r="G747" s="259"/>
      <c r="H747" s="169"/>
      <c r="I747" s="36"/>
      <c r="J747" s="37"/>
    </row>
    <row r="748" spans="1:11" ht="20.45" customHeight="1" x14ac:dyDescent="0.6">
      <c r="A748" s="252"/>
      <c r="B748" s="67" t="s">
        <v>24</v>
      </c>
      <c r="C748" s="102">
        <f>VLOOKUP($K739,임금대장!$A$3:$AH$86,14,0)</f>
        <v>53225.806451612902</v>
      </c>
      <c r="D748" s="36"/>
      <c r="E748" s="36"/>
      <c r="F748" s="258"/>
      <c r="G748" s="259"/>
      <c r="H748" s="169"/>
      <c r="I748" s="36"/>
      <c r="J748" s="37"/>
    </row>
    <row r="749" spans="1:11" ht="20.45" customHeight="1" x14ac:dyDescent="0.6">
      <c r="A749" s="252"/>
      <c r="B749" s="67"/>
      <c r="C749" s="35"/>
      <c r="D749" s="36"/>
      <c r="E749" s="36"/>
      <c r="F749" s="258"/>
      <c r="G749" s="259"/>
      <c r="H749" s="169"/>
      <c r="I749" s="36"/>
      <c r="J749" s="37"/>
    </row>
    <row r="750" spans="1:11" ht="20.45" customHeight="1" x14ac:dyDescent="0.6">
      <c r="A750" s="252"/>
      <c r="B750" s="67"/>
      <c r="C750" s="35"/>
      <c r="D750" s="36"/>
      <c r="E750" s="36"/>
      <c r="F750" s="258"/>
      <c r="G750" s="259"/>
      <c r="H750" s="169"/>
      <c r="I750" s="36"/>
      <c r="J750" s="37"/>
    </row>
    <row r="751" spans="1:11" ht="20.45" customHeight="1" x14ac:dyDescent="0.6">
      <c r="A751" s="253"/>
      <c r="B751" s="68"/>
      <c r="C751" s="39"/>
      <c r="D751" s="40"/>
      <c r="E751" s="40"/>
      <c r="F751" s="260"/>
      <c r="G751" s="261"/>
      <c r="H751" s="170"/>
      <c r="I751" s="68" t="s">
        <v>95</v>
      </c>
      <c r="J751" s="41">
        <f>SUM(C743:H749)</f>
        <v>3353225.8064516131</v>
      </c>
    </row>
    <row r="752" spans="1:11" ht="20.45" customHeight="1" x14ac:dyDescent="0.6">
      <c r="A752" s="251" t="s">
        <v>96</v>
      </c>
      <c r="B752" s="36" t="s">
        <v>97</v>
      </c>
      <c r="C752" s="35">
        <f>VLOOKUP($K739,임금대장!$A$3:$AH$86,25,0)</f>
        <v>0</v>
      </c>
      <c r="D752" s="33"/>
      <c r="E752" s="42"/>
      <c r="F752" s="262" t="s">
        <v>14</v>
      </c>
      <c r="G752" s="263"/>
      <c r="H752" s="169">
        <f>VLOOKUP($K739,임금대장!$A$3:$AH$86,19,0)</f>
        <v>0</v>
      </c>
      <c r="I752" s="33"/>
      <c r="J752" s="34"/>
    </row>
    <row r="753" spans="1:11" ht="20.45" customHeight="1" x14ac:dyDescent="0.6">
      <c r="A753" s="252"/>
      <c r="B753" s="36" t="s">
        <v>98</v>
      </c>
      <c r="C753" s="35">
        <f>VLOOKUP($K739,임금대장!$A$3:$AH$86,26,0)</f>
        <v>0</v>
      </c>
      <c r="D753" s="36"/>
      <c r="E753" s="43"/>
      <c r="F753" s="258" t="s">
        <v>12</v>
      </c>
      <c r="G753" s="259"/>
      <c r="H753" s="169">
        <f>VLOOKUP($K739,임금대장!$A$3:$AH$86,17,0)</f>
        <v>0</v>
      </c>
      <c r="I753" s="36"/>
      <c r="J753" s="37"/>
    </row>
    <row r="754" spans="1:11" ht="20.45" customHeight="1" x14ac:dyDescent="0.6">
      <c r="A754" s="252"/>
      <c r="B754" s="36" t="s">
        <v>99</v>
      </c>
      <c r="C754" s="35">
        <f>VLOOKUP($K739,임금대장!$A$3:$AH$86,27,0)</f>
        <v>0</v>
      </c>
      <c r="D754" s="36"/>
      <c r="E754" s="44"/>
      <c r="F754" s="258" t="s">
        <v>100</v>
      </c>
      <c r="G754" s="259"/>
      <c r="H754" s="169">
        <f>VLOOKUP($K739,임금대장!$A$3:$AH$86,31,0)</f>
        <v>0</v>
      </c>
      <c r="I754" s="36"/>
      <c r="J754" s="37"/>
    </row>
    <row r="755" spans="1:11" ht="20.45" customHeight="1" x14ac:dyDescent="0.6">
      <c r="A755" s="252"/>
      <c r="B755" s="36" t="s">
        <v>101</v>
      </c>
      <c r="C755" s="35">
        <f>VLOOKUP($K739,임금대장!$A$3:$AH$86,28,0)</f>
        <v>120540</v>
      </c>
      <c r="D755" s="36"/>
      <c r="E755" s="43"/>
      <c r="F755" s="258" t="s">
        <v>102</v>
      </c>
      <c r="G755" s="259"/>
      <c r="H755" s="169">
        <f>VLOOKUP($K739,임금대장!$A$3:$AH$86,30,0)</f>
        <v>30170</v>
      </c>
      <c r="I755" s="36"/>
      <c r="J755" s="37"/>
    </row>
    <row r="756" spans="1:11" ht="20.45" customHeight="1" x14ac:dyDescent="0.6">
      <c r="A756" s="252"/>
      <c r="B756" s="36" t="s">
        <v>31</v>
      </c>
      <c r="C756" s="35">
        <f>VLOOKUP($K739,임금대장!$A$3:$AH$86,29,0)</f>
        <v>15830</v>
      </c>
      <c r="D756" s="36"/>
      <c r="E756" s="43"/>
      <c r="F756" s="258" t="s">
        <v>328</v>
      </c>
      <c r="G756" s="259"/>
      <c r="H756" s="169">
        <f>VLOOKUP($K739,임금대장!$A$3:$AH$86,32,0)</f>
        <v>0</v>
      </c>
      <c r="I756" s="67" t="s">
        <v>103</v>
      </c>
      <c r="J756" s="47">
        <f>SUM(C752:H757)</f>
        <v>166540</v>
      </c>
    </row>
    <row r="757" spans="1:11" ht="20.45" customHeight="1" x14ac:dyDescent="0.6">
      <c r="A757" s="253"/>
      <c r="B757" s="40"/>
      <c r="C757" s="101"/>
      <c r="D757" s="40"/>
      <c r="E757" s="48"/>
      <c r="F757" s="260"/>
      <c r="G757" s="261"/>
      <c r="H757" s="170"/>
      <c r="I757" s="68" t="s">
        <v>104</v>
      </c>
      <c r="J757" s="49">
        <f>J751-J756</f>
        <v>3186685.8064516131</v>
      </c>
    </row>
    <row r="758" spans="1:11" ht="20.45" customHeight="1" x14ac:dyDescent="0.6">
      <c r="A758" s="50" t="s">
        <v>105</v>
      </c>
      <c r="J758" s="51" t="s">
        <v>0</v>
      </c>
    </row>
    <row r="759" spans="1:11" ht="20.45" customHeight="1" x14ac:dyDescent="0.6">
      <c r="A759" s="50"/>
      <c r="J759" s="51"/>
    </row>
    <row r="760" spans="1:11" ht="20.45" customHeight="1" x14ac:dyDescent="0.6">
      <c r="A760" s="264" t="s">
        <v>399</v>
      </c>
      <c r="B760" s="264"/>
      <c r="C760" s="264"/>
      <c r="D760" s="264"/>
      <c r="E760" s="264"/>
      <c r="F760" s="264"/>
      <c r="G760" s="264"/>
      <c r="H760" s="264"/>
      <c r="I760" s="264"/>
      <c r="J760" s="264"/>
    </row>
    <row r="761" spans="1:11" ht="20.45" customHeight="1" x14ac:dyDescent="0.6">
      <c r="A761" s="286" t="s">
        <v>83</v>
      </c>
      <c r="B761" s="286"/>
      <c r="C761" s="286"/>
      <c r="D761" s="286" t="s">
        <v>84</v>
      </c>
      <c r="E761" s="286"/>
      <c r="F761" s="265" t="s">
        <v>85</v>
      </c>
      <c r="G761" s="250"/>
      <c r="H761" s="266"/>
      <c r="I761" s="286" t="s">
        <v>86</v>
      </c>
      <c r="J761" s="286"/>
    </row>
    <row r="762" spans="1:11" ht="20.45" customHeight="1" x14ac:dyDescent="0.6">
      <c r="A762" s="286" t="str">
        <f>VLOOKUP(K762,임금대장!$A$3:$AH$86,3,0)</f>
        <v>홀</v>
      </c>
      <c r="B762" s="286"/>
      <c r="C762" s="286"/>
      <c r="D762" s="287" t="str">
        <f>VLOOKUP(K762,임금대장!$A$3:$AH$86,2,0)</f>
        <v>이경수</v>
      </c>
      <c r="E762" s="287"/>
      <c r="F762" s="267">
        <f>임금대장!$O$3</f>
        <v>31</v>
      </c>
      <c r="G762" s="269"/>
      <c r="H762" s="268"/>
      <c r="I762" s="288">
        <f>VLOOKUP(K762,임금대장!$A$3:$AH$86,16,0)</f>
        <v>0</v>
      </c>
      <c r="J762" s="288"/>
      <c r="K762" s="30">
        <v>34</v>
      </c>
    </row>
    <row r="763" spans="1:11" ht="20.45" customHeight="1" x14ac:dyDescent="0.6">
      <c r="A763" s="286" t="s">
        <v>87</v>
      </c>
      <c r="B763" s="286"/>
      <c r="C763" s="286" t="s">
        <v>5</v>
      </c>
      <c r="D763" s="289">
        <f>VLOOKUP($K762,임금대장!$A$3:$AH$86,5,0)</f>
        <v>46013</v>
      </c>
      <c r="E763" s="289"/>
      <c r="F763" s="114" t="s">
        <v>88</v>
      </c>
      <c r="G763" s="292">
        <f>VLOOKUP(K762,임금대장!$A$3:$AH$86,15,0)</f>
        <v>31</v>
      </c>
      <c r="H763" s="293"/>
      <c r="I763" s="286" t="s">
        <v>89</v>
      </c>
      <c r="J763" s="290">
        <f>VLOOKUP(K762,임금대장!$A$3:$AH$86,17,0)</f>
        <v>0</v>
      </c>
    </row>
    <row r="764" spans="1:11" ht="20.45" customHeight="1" x14ac:dyDescent="0.6">
      <c r="A764" s="294">
        <f>VLOOKUP($K762,임금대장!$A$3:$AH$86,7,0)</f>
        <v>3000000</v>
      </c>
      <c r="B764" s="294"/>
      <c r="C764" s="286"/>
      <c r="D764" s="289"/>
      <c r="E764" s="289"/>
      <c r="F764" s="115" t="s">
        <v>90</v>
      </c>
      <c r="G764" s="284">
        <f>VLOOKUP(K762,임금대장!$A$3:$AH$86,16,0)</f>
        <v>0</v>
      </c>
      <c r="H764" s="285"/>
      <c r="I764" s="286"/>
      <c r="J764" s="290"/>
    </row>
    <row r="765" spans="1:11" ht="20.45" customHeight="1" x14ac:dyDescent="0.6">
      <c r="F765" s="250"/>
      <c r="G765" s="250"/>
    </row>
    <row r="766" spans="1:11" ht="20.45" customHeight="1" x14ac:dyDescent="0.6">
      <c r="A766" s="251" t="s">
        <v>91</v>
      </c>
      <c r="B766" s="69" t="s">
        <v>20</v>
      </c>
      <c r="C766" s="25">
        <f>VLOOKUP($K762,임금대장!$A$3:$AH$86,9,0)</f>
        <v>2154639</v>
      </c>
      <c r="D766" s="33"/>
      <c r="E766" s="69"/>
      <c r="F766" s="254"/>
      <c r="G766" s="255"/>
      <c r="H766" s="168"/>
      <c r="I766" s="33"/>
      <c r="J766" s="34"/>
    </row>
    <row r="767" spans="1:11" ht="20.45" customHeight="1" x14ac:dyDescent="0.6">
      <c r="A767" s="252"/>
      <c r="B767" s="67" t="s">
        <v>21</v>
      </c>
      <c r="C767" s="35">
        <f>VLOOKUP($K762,임금대장!$A$3:$AH$86,10,0)</f>
        <v>672164</v>
      </c>
      <c r="D767" s="36"/>
      <c r="E767" s="67"/>
      <c r="F767" s="256"/>
      <c r="G767" s="257"/>
      <c r="H767" s="169"/>
      <c r="I767" s="36"/>
      <c r="J767" s="37"/>
    </row>
    <row r="768" spans="1:11" ht="20.45" customHeight="1" x14ac:dyDescent="0.6">
      <c r="A768" s="252"/>
      <c r="B768" s="52" t="s">
        <v>92</v>
      </c>
      <c r="C768" s="35">
        <f>VLOOKUP($K762,임금대장!$A$3:$AH$86,11,0)</f>
        <v>90722</v>
      </c>
      <c r="D768" s="36"/>
      <c r="E768" s="67"/>
      <c r="F768" s="256"/>
      <c r="G768" s="257"/>
      <c r="H768" s="169"/>
      <c r="I768" s="36"/>
      <c r="J768" s="37"/>
    </row>
    <row r="769" spans="1:10" ht="20.45" customHeight="1" x14ac:dyDescent="0.6">
      <c r="A769" s="252"/>
      <c r="B769" s="67" t="s">
        <v>93</v>
      </c>
      <c r="C769" s="35">
        <f>VLOOKUP($K762,임금대장!$A$3:$AH$86,12,0)</f>
        <v>0</v>
      </c>
      <c r="D769" s="36"/>
      <c r="E769" s="67"/>
      <c r="F769" s="256"/>
      <c r="G769" s="257"/>
      <c r="H769" s="169"/>
      <c r="I769" s="36"/>
      <c r="J769" s="37"/>
    </row>
    <row r="770" spans="1:10" ht="20.45" customHeight="1" x14ac:dyDescent="0.6">
      <c r="A770" s="252"/>
      <c r="B770" s="67" t="s">
        <v>94</v>
      </c>
      <c r="C770" s="35">
        <f>VLOOKUP($K762,임금대장!$A$3:$AH$86,13,0)</f>
        <v>82475</v>
      </c>
      <c r="D770" s="36"/>
      <c r="E770" s="36"/>
      <c r="F770" s="258"/>
      <c r="G770" s="259"/>
      <c r="H770" s="169"/>
      <c r="I770" s="36"/>
      <c r="J770" s="37"/>
    </row>
    <row r="771" spans="1:10" ht="20.45" customHeight="1" x14ac:dyDescent="0.6">
      <c r="A771" s="252"/>
      <c r="B771" s="67" t="s">
        <v>24</v>
      </c>
      <c r="C771" s="102">
        <f>VLOOKUP($K762,임금대장!$A$3:$AH$86,14,0)</f>
        <v>0</v>
      </c>
      <c r="D771" s="36"/>
      <c r="E771" s="36"/>
      <c r="F771" s="258"/>
      <c r="G771" s="259"/>
      <c r="H771" s="169"/>
      <c r="I771" s="36"/>
      <c r="J771" s="37"/>
    </row>
    <row r="772" spans="1:10" ht="20.45" customHeight="1" x14ac:dyDescent="0.6">
      <c r="A772" s="252"/>
      <c r="B772" s="67"/>
      <c r="C772" s="35"/>
      <c r="D772" s="36"/>
      <c r="E772" s="36"/>
      <c r="F772" s="258"/>
      <c r="G772" s="259"/>
      <c r="H772" s="169"/>
      <c r="I772" s="36"/>
      <c r="J772" s="37"/>
    </row>
    <row r="773" spans="1:10" ht="20.45" customHeight="1" x14ac:dyDescent="0.6">
      <c r="A773" s="252"/>
      <c r="B773" s="67"/>
      <c r="C773" s="35"/>
      <c r="D773" s="36"/>
      <c r="E773" s="36"/>
      <c r="F773" s="258"/>
      <c r="G773" s="259"/>
      <c r="H773" s="169"/>
      <c r="I773" s="36"/>
      <c r="J773" s="37"/>
    </row>
    <row r="774" spans="1:10" ht="20.45" customHeight="1" x14ac:dyDescent="0.6">
      <c r="A774" s="253"/>
      <c r="B774" s="68"/>
      <c r="C774" s="39"/>
      <c r="D774" s="40"/>
      <c r="E774" s="40"/>
      <c r="F774" s="260"/>
      <c r="G774" s="261"/>
      <c r="H774" s="170"/>
      <c r="I774" s="68" t="s">
        <v>95</v>
      </c>
      <c r="J774" s="41">
        <f>SUM(C766:H772)</f>
        <v>3000000</v>
      </c>
    </row>
    <row r="775" spans="1:10" ht="20.45" customHeight="1" x14ac:dyDescent="0.6">
      <c r="A775" s="251" t="s">
        <v>96</v>
      </c>
      <c r="B775" s="36" t="s">
        <v>97</v>
      </c>
      <c r="C775" s="35">
        <f>VLOOKUP($K762,임금대장!$A$3:$AH$86,25,0)</f>
        <v>73060</v>
      </c>
      <c r="D775" s="33"/>
      <c r="E775" s="42"/>
      <c r="F775" s="262" t="s">
        <v>14</v>
      </c>
      <c r="G775" s="263"/>
      <c r="H775" s="169">
        <f>VLOOKUP($K762,임금대장!$A$3:$AH$86,19,0)</f>
        <v>0</v>
      </c>
      <c r="I775" s="33"/>
      <c r="J775" s="34"/>
    </row>
    <row r="776" spans="1:10" ht="20.45" customHeight="1" x14ac:dyDescent="0.6">
      <c r="A776" s="252"/>
      <c r="B776" s="36" t="s">
        <v>98</v>
      </c>
      <c r="C776" s="35">
        <f>VLOOKUP($K762,임금대장!$A$3:$AH$86,26,0)</f>
        <v>7300</v>
      </c>
      <c r="D776" s="36"/>
      <c r="E776" s="43"/>
      <c r="F776" s="258" t="s">
        <v>12</v>
      </c>
      <c r="G776" s="259"/>
      <c r="H776" s="169">
        <f>VLOOKUP($K762,임금대장!$A$3:$AH$86,17,0)</f>
        <v>0</v>
      </c>
      <c r="I776" s="36"/>
      <c r="J776" s="37"/>
    </row>
    <row r="777" spans="1:10" ht="20.45" customHeight="1" x14ac:dyDescent="0.6">
      <c r="A777" s="252"/>
      <c r="B777" s="36" t="s">
        <v>99</v>
      </c>
      <c r="C777" s="35">
        <f>VLOOKUP($K762,임금대장!$A$3:$AH$86,27,0)</f>
        <v>85500</v>
      </c>
      <c r="D777" s="36"/>
      <c r="E777" s="44"/>
      <c r="F777" s="258" t="s">
        <v>100</v>
      </c>
      <c r="G777" s="259"/>
      <c r="H777" s="169">
        <f>VLOOKUP($K762,임금대장!$A$3:$AH$86,31,0)</f>
        <v>0</v>
      </c>
      <c r="I777" s="36"/>
      <c r="J777" s="37"/>
    </row>
    <row r="778" spans="1:10" ht="20.45" customHeight="1" x14ac:dyDescent="0.6">
      <c r="A778" s="252"/>
      <c r="B778" s="36" t="s">
        <v>101</v>
      </c>
      <c r="C778" s="35">
        <f>VLOOKUP($K762,임금대장!$A$3:$AH$86,28,0)</f>
        <v>107850</v>
      </c>
      <c r="D778" s="36"/>
      <c r="E778" s="43"/>
      <c r="F778" s="258" t="s">
        <v>102</v>
      </c>
      <c r="G778" s="259"/>
      <c r="H778" s="169">
        <f>VLOOKUP($K762,임금대장!$A$3:$AH$86,30,0)</f>
        <v>27000</v>
      </c>
      <c r="I778" s="36"/>
      <c r="J778" s="37"/>
    </row>
    <row r="779" spans="1:10" ht="20.45" customHeight="1" x14ac:dyDescent="0.6">
      <c r="A779" s="252"/>
      <c r="B779" s="36" t="s">
        <v>31</v>
      </c>
      <c r="C779" s="35">
        <f>VLOOKUP($K762,임금대장!$A$3:$AH$86,29,0)</f>
        <v>14170</v>
      </c>
      <c r="D779" s="36"/>
      <c r="E779" s="43"/>
      <c r="F779" s="258" t="s">
        <v>328</v>
      </c>
      <c r="G779" s="259"/>
      <c r="H779" s="169">
        <f>VLOOKUP($K762,임금대장!$A$3:$AH$86,32,0)</f>
        <v>0</v>
      </c>
      <c r="I779" s="67" t="s">
        <v>103</v>
      </c>
      <c r="J779" s="47">
        <f>SUM(C775:H780)</f>
        <v>314880</v>
      </c>
    </row>
    <row r="780" spans="1:10" ht="20.45" customHeight="1" x14ac:dyDescent="0.6">
      <c r="A780" s="253"/>
      <c r="B780" s="40"/>
      <c r="C780" s="101"/>
      <c r="D780" s="40"/>
      <c r="E780" s="48"/>
      <c r="F780" s="260"/>
      <c r="G780" s="261"/>
      <c r="H780" s="170"/>
      <c r="I780" s="68" t="s">
        <v>104</v>
      </c>
      <c r="J780" s="49">
        <f>J774-J779</f>
        <v>2685120</v>
      </c>
    </row>
    <row r="781" spans="1:10" ht="20.45" customHeight="1" x14ac:dyDescent="0.6">
      <c r="A781" s="50" t="s">
        <v>105</v>
      </c>
      <c r="J781" s="51" t="s">
        <v>0</v>
      </c>
    </row>
    <row r="782" spans="1:10" ht="20.45" customHeight="1" x14ac:dyDescent="0.6">
      <c r="A782" s="50"/>
      <c r="J782" s="51"/>
    </row>
    <row r="783" spans="1:10" ht="20.45" customHeight="1" x14ac:dyDescent="0.6">
      <c r="A783" s="264" t="s">
        <v>399</v>
      </c>
      <c r="B783" s="264"/>
      <c r="C783" s="264"/>
      <c r="D783" s="264"/>
      <c r="E783" s="264"/>
      <c r="F783" s="264"/>
      <c r="G783" s="264"/>
      <c r="H783" s="264"/>
      <c r="I783" s="264"/>
      <c r="J783" s="264"/>
    </row>
    <row r="784" spans="1:10" ht="20.45" customHeight="1" x14ac:dyDescent="0.6">
      <c r="A784" s="286" t="s">
        <v>83</v>
      </c>
      <c r="B784" s="286"/>
      <c r="C784" s="286"/>
      <c r="D784" s="286" t="s">
        <v>84</v>
      </c>
      <c r="E784" s="286"/>
      <c r="F784" s="265" t="s">
        <v>85</v>
      </c>
      <c r="G784" s="250"/>
      <c r="H784" s="266"/>
      <c r="I784" s="286" t="s">
        <v>86</v>
      </c>
      <c r="J784" s="286"/>
    </row>
    <row r="785" spans="1:11" ht="20.45" customHeight="1" x14ac:dyDescent="0.6">
      <c r="A785" s="286" t="str">
        <f>VLOOKUP(K785,임금대장!$A$3:$AH$86,3,0)</f>
        <v>초다이</v>
      </c>
      <c r="B785" s="286"/>
      <c r="C785" s="286"/>
      <c r="D785" s="287" t="str">
        <f>VLOOKUP(K785,임금대장!$A$3:$AH$86,2,0)</f>
        <v>김제우</v>
      </c>
      <c r="E785" s="287"/>
      <c r="F785" s="267">
        <f>임금대장!$O$3</f>
        <v>31</v>
      </c>
      <c r="G785" s="269"/>
      <c r="H785" s="268"/>
      <c r="I785" s="288">
        <f>VLOOKUP(K785,임금대장!$A$3:$AH$86,16,0)</f>
        <v>0</v>
      </c>
      <c r="J785" s="288"/>
      <c r="K785" s="30">
        <v>35</v>
      </c>
    </row>
    <row r="786" spans="1:11" ht="20.45" customHeight="1" x14ac:dyDescent="0.6">
      <c r="A786" s="286" t="s">
        <v>87</v>
      </c>
      <c r="B786" s="286"/>
      <c r="C786" s="286" t="s">
        <v>5</v>
      </c>
      <c r="D786" s="289">
        <f>VLOOKUP($K785,임금대장!$A$3:$AH$86,5,0)</f>
        <v>46013</v>
      </c>
      <c r="E786" s="289"/>
      <c r="F786" s="114" t="s">
        <v>88</v>
      </c>
      <c r="G786" s="292">
        <f>VLOOKUP(K785,임금대장!$A$3:$AH$86,15,0)</f>
        <v>31</v>
      </c>
      <c r="H786" s="293"/>
      <c r="I786" s="286" t="s">
        <v>89</v>
      </c>
      <c r="J786" s="290">
        <f>VLOOKUP(K785,임금대장!$A$3:$AH$86,17,0)</f>
        <v>0</v>
      </c>
    </row>
    <row r="787" spans="1:11" ht="20.45" customHeight="1" x14ac:dyDescent="0.6">
      <c r="A787" s="294">
        <f>VLOOKUP($K785,임금대장!$A$3:$AH$86,7,0)</f>
        <v>3800000</v>
      </c>
      <c r="B787" s="294"/>
      <c r="C787" s="286"/>
      <c r="D787" s="289"/>
      <c r="E787" s="289"/>
      <c r="F787" s="115" t="s">
        <v>90</v>
      </c>
      <c r="G787" s="284">
        <f>VLOOKUP(K785,임금대장!$A$3:$AH$86,16,0)</f>
        <v>0</v>
      </c>
      <c r="H787" s="285"/>
      <c r="I787" s="286"/>
      <c r="J787" s="290"/>
    </row>
    <row r="788" spans="1:11" ht="20.45" customHeight="1" x14ac:dyDescent="0.6">
      <c r="F788" s="250"/>
      <c r="G788" s="250"/>
    </row>
    <row r="789" spans="1:11" ht="20.45" customHeight="1" x14ac:dyDescent="0.6">
      <c r="A789" s="251" t="s">
        <v>91</v>
      </c>
      <c r="B789" s="69" t="s">
        <v>20</v>
      </c>
      <c r="C789" s="25">
        <f>VLOOKUP($K785,임금대장!$A$3:$AH$86,9,0)</f>
        <v>2729209</v>
      </c>
      <c r="D789" s="33"/>
      <c r="E789" s="69"/>
      <c r="F789" s="254"/>
      <c r="G789" s="255"/>
      <c r="H789" s="168"/>
      <c r="I789" s="33"/>
      <c r="J789" s="34"/>
    </row>
    <row r="790" spans="1:11" ht="20.45" customHeight="1" x14ac:dyDescent="0.6">
      <c r="A790" s="252"/>
      <c r="B790" s="67" t="s">
        <v>21</v>
      </c>
      <c r="C790" s="35">
        <f>VLOOKUP($K785,임금대장!$A$3:$AH$86,10,0)</f>
        <v>851408</v>
      </c>
      <c r="D790" s="36"/>
      <c r="E790" s="67"/>
      <c r="F790" s="256"/>
      <c r="G790" s="257"/>
      <c r="H790" s="169"/>
      <c r="I790" s="36"/>
      <c r="J790" s="37"/>
    </row>
    <row r="791" spans="1:11" ht="20.45" customHeight="1" x14ac:dyDescent="0.6">
      <c r="A791" s="252"/>
      <c r="B791" s="52" t="s">
        <v>92</v>
      </c>
      <c r="C791" s="35">
        <f>VLOOKUP($K785,임금대장!$A$3:$AH$86,11,0)</f>
        <v>114915</v>
      </c>
      <c r="D791" s="36"/>
      <c r="E791" s="67"/>
      <c r="F791" s="256"/>
      <c r="G791" s="257"/>
      <c r="H791" s="169"/>
      <c r="I791" s="36"/>
      <c r="J791" s="37"/>
    </row>
    <row r="792" spans="1:11" ht="20.45" customHeight="1" x14ac:dyDescent="0.6">
      <c r="A792" s="252"/>
      <c r="B792" s="67" t="s">
        <v>93</v>
      </c>
      <c r="C792" s="35">
        <f>VLOOKUP($K785,임금대장!$A$3:$AH$86,12,0)</f>
        <v>0</v>
      </c>
      <c r="D792" s="36"/>
      <c r="E792" s="67"/>
      <c r="F792" s="256"/>
      <c r="G792" s="257"/>
      <c r="H792" s="169"/>
      <c r="I792" s="36"/>
      <c r="J792" s="37"/>
    </row>
    <row r="793" spans="1:11" ht="20.45" customHeight="1" x14ac:dyDescent="0.6">
      <c r="A793" s="252"/>
      <c r="B793" s="67" t="s">
        <v>94</v>
      </c>
      <c r="C793" s="35">
        <f>VLOOKUP($K785,임금대장!$A$3:$AH$86,13,0)</f>
        <v>104468</v>
      </c>
      <c r="D793" s="36"/>
      <c r="E793" s="36"/>
      <c r="F793" s="258"/>
      <c r="G793" s="259"/>
      <c r="H793" s="169"/>
      <c r="I793" s="36"/>
      <c r="J793" s="37"/>
    </row>
    <row r="794" spans="1:11" ht="20.45" customHeight="1" x14ac:dyDescent="0.6">
      <c r="A794" s="252"/>
      <c r="B794" s="67" t="s">
        <v>24</v>
      </c>
      <c r="C794" s="102">
        <f>VLOOKUP($K785,임금대장!$A$3:$AH$86,14,0)</f>
        <v>183870.96774193548</v>
      </c>
      <c r="D794" s="36"/>
      <c r="E794" s="36"/>
      <c r="F794" s="258"/>
      <c r="G794" s="259"/>
      <c r="H794" s="169"/>
      <c r="I794" s="36"/>
      <c r="J794" s="37"/>
    </row>
    <row r="795" spans="1:11" ht="20.45" customHeight="1" x14ac:dyDescent="0.6">
      <c r="A795" s="252"/>
      <c r="B795" s="67"/>
      <c r="C795" s="35"/>
      <c r="D795" s="36"/>
      <c r="E795" s="36"/>
      <c r="F795" s="258"/>
      <c r="G795" s="259"/>
      <c r="H795" s="169"/>
      <c r="I795" s="36"/>
      <c r="J795" s="37"/>
    </row>
    <row r="796" spans="1:11" ht="20.45" customHeight="1" x14ac:dyDescent="0.6">
      <c r="A796" s="252"/>
      <c r="B796" s="67"/>
      <c r="C796" s="35"/>
      <c r="D796" s="36"/>
      <c r="E796" s="36"/>
      <c r="F796" s="258"/>
      <c r="G796" s="259"/>
      <c r="H796" s="169"/>
      <c r="I796" s="36"/>
      <c r="J796" s="37"/>
    </row>
    <row r="797" spans="1:11" ht="20.45" customHeight="1" x14ac:dyDescent="0.6">
      <c r="A797" s="253"/>
      <c r="B797" s="68"/>
      <c r="C797" s="39"/>
      <c r="D797" s="40"/>
      <c r="E797" s="40"/>
      <c r="F797" s="260"/>
      <c r="G797" s="261"/>
      <c r="H797" s="170"/>
      <c r="I797" s="68" t="s">
        <v>95</v>
      </c>
      <c r="J797" s="41">
        <f>SUM(C789:H795)</f>
        <v>3983870.9677419355</v>
      </c>
    </row>
    <row r="798" spans="1:11" ht="20.45" customHeight="1" x14ac:dyDescent="0.6">
      <c r="A798" s="251" t="s">
        <v>96</v>
      </c>
      <c r="B798" s="36" t="s">
        <v>97</v>
      </c>
      <c r="C798" s="35">
        <f>VLOOKUP($K785,임금대장!$A$3:$AH$86,25,0)</f>
        <v>190620</v>
      </c>
      <c r="D798" s="33"/>
      <c r="E798" s="42"/>
      <c r="F798" s="262" t="s">
        <v>14</v>
      </c>
      <c r="G798" s="263"/>
      <c r="H798" s="169">
        <f>VLOOKUP($K785,임금대장!$A$3:$AH$86,19,0)</f>
        <v>0</v>
      </c>
      <c r="I798" s="33"/>
      <c r="J798" s="34"/>
    </row>
    <row r="799" spans="1:11" ht="20.45" customHeight="1" x14ac:dyDescent="0.6">
      <c r="A799" s="252"/>
      <c r="B799" s="36" t="s">
        <v>98</v>
      </c>
      <c r="C799" s="35">
        <f>VLOOKUP($K785,임금대장!$A$3:$AH$86,26,0)</f>
        <v>19060</v>
      </c>
      <c r="D799" s="36"/>
      <c r="E799" s="43"/>
      <c r="F799" s="258" t="s">
        <v>12</v>
      </c>
      <c r="G799" s="259"/>
      <c r="H799" s="169">
        <f>VLOOKUP($K785,임금대장!$A$3:$AH$86,17,0)</f>
        <v>0</v>
      </c>
      <c r="I799" s="36"/>
      <c r="J799" s="37"/>
    </row>
    <row r="800" spans="1:11" ht="20.45" customHeight="1" x14ac:dyDescent="0.6">
      <c r="A800" s="252"/>
      <c r="B800" s="36" t="s">
        <v>99</v>
      </c>
      <c r="C800" s="35">
        <f>VLOOKUP($K785,임금대장!$A$3:$AH$86,27,0)</f>
        <v>85500</v>
      </c>
      <c r="D800" s="36"/>
      <c r="E800" s="44"/>
      <c r="F800" s="258" t="s">
        <v>100</v>
      </c>
      <c r="G800" s="259"/>
      <c r="H800" s="169">
        <f>VLOOKUP($K785,임금대장!$A$3:$AH$86,31,0)</f>
        <v>0</v>
      </c>
      <c r="I800" s="36"/>
      <c r="J800" s="37"/>
    </row>
    <row r="801" spans="1:11" ht="20.45" customHeight="1" x14ac:dyDescent="0.6">
      <c r="A801" s="252"/>
      <c r="B801" s="36" t="s">
        <v>101</v>
      </c>
      <c r="C801" s="35">
        <f>VLOOKUP($K785,임금대장!$A$3:$AH$86,28,0)</f>
        <v>143220</v>
      </c>
      <c r="D801" s="36"/>
      <c r="E801" s="43"/>
      <c r="F801" s="258" t="s">
        <v>102</v>
      </c>
      <c r="G801" s="259"/>
      <c r="H801" s="169">
        <f>VLOOKUP($K785,임금대장!$A$3:$AH$86,30,0)</f>
        <v>35850</v>
      </c>
      <c r="I801" s="36"/>
      <c r="J801" s="37"/>
    </row>
    <row r="802" spans="1:11" ht="20.45" customHeight="1" x14ac:dyDescent="0.6">
      <c r="A802" s="252"/>
      <c r="B802" s="36" t="s">
        <v>31</v>
      </c>
      <c r="C802" s="35">
        <f>VLOOKUP($K785,임금대장!$A$3:$AH$86,29,0)</f>
        <v>18810</v>
      </c>
      <c r="D802" s="36"/>
      <c r="E802" s="43"/>
      <c r="F802" s="258" t="s">
        <v>328</v>
      </c>
      <c r="G802" s="259"/>
      <c r="H802" s="169">
        <f>VLOOKUP($K785,임금대장!$A$3:$AH$86,32,0)</f>
        <v>0</v>
      </c>
      <c r="I802" s="67" t="s">
        <v>103</v>
      </c>
      <c r="J802" s="47">
        <f>SUM(C798:H803)</f>
        <v>493060</v>
      </c>
    </row>
    <row r="803" spans="1:11" ht="20.45" customHeight="1" x14ac:dyDescent="0.6">
      <c r="A803" s="253"/>
      <c r="B803" s="40"/>
      <c r="C803" s="101"/>
      <c r="D803" s="40"/>
      <c r="E803" s="48"/>
      <c r="F803" s="260"/>
      <c r="G803" s="261"/>
      <c r="H803" s="170"/>
      <c r="I803" s="68" t="s">
        <v>104</v>
      </c>
      <c r="J803" s="49">
        <f>J797-J802</f>
        <v>3490810.9677419355</v>
      </c>
    </row>
    <row r="804" spans="1:11" ht="20.45" customHeight="1" x14ac:dyDescent="0.6">
      <c r="A804" s="50" t="s">
        <v>105</v>
      </c>
      <c r="J804" s="51" t="s">
        <v>0</v>
      </c>
    </row>
    <row r="805" spans="1:11" ht="20.45" customHeight="1" x14ac:dyDescent="0.6">
      <c r="A805" s="50"/>
      <c r="J805" s="51"/>
    </row>
    <row r="806" spans="1:11" ht="20.45" customHeight="1" x14ac:dyDescent="0.6">
      <c r="A806" s="264" t="s">
        <v>399</v>
      </c>
      <c r="B806" s="264"/>
      <c r="C806" s="264"/>
      <c r="D806" s="264"/>
      <c r="E806" s="264"/>
      <c r="F806" s="264"/>
      <c r="G806" s="264"/>
      <c r="H806" s="264"/>
      <c r="I806" s="264"/>
      <c r="J806" s="264"/>
    </row>
    <row r="807" spans="1:11" ht="20.45" customHeight="1" x14ac:dyDescent="0.6">
      <c r="A807" s="286" t="s">
        <v>83</v>
      </c>
      <c r="B807" s="286"/>
      <c r="C807" s="286"/>
      <c r="D807" s="286" t="s">
        <v>84</v>
      </c>
      <c r="E807" s="286"/>
      <c r="F807" s="265" t="s">
        <v>85</v>
      </c>
      <c r="G807" s="250"/>
      <c r="H807" s="266"/>
      <c r="I807" s="286" t="s">
        <v>86</v>
      </c>
      <c r="J807" s="286"/>
    </row>
    <row r="808" spans="1:11" ht="20.45" customHeight="1" x14ac:dyDescent="0.6">
      <c r="A808" s="286" t="str">
        <f>VLOOKUP(K808,임금대장!$A$3:$AH$86,3,0)</f>
        <v>초다이</v>
      </c>
      <c r="B808" s="286"/>
      <c r="C808" s="286"/>
      <c r="D808" s="287" t="str">
        <f>VLOOKUP(K808,임금대장!$A$3:$AH$86,2,0)</f>
        <v>김광신</v>
      </c>
      <c r="E808" s="287"/>
      <c r="F808" s="267">
        <f>임금대장!$O$3</f>
        <v>31</v>
      </c>
      <c r="G808" s="269"/>
      <c r="H808" s="268"/>
      <c r="I808" s="288">
        <f>VLOOKUP(K808,임금대장!$A$3:$AH$86,16,0)</f>
        <v>0</v>
      </c>
      <c r="J808" s="288"/>
      <c r="K808" s="30">
        <v>36</v>
      </c>
    </row>
    <row r="809" spans="1:11" ht="20.45" customHeight="1" x14ac:dyDescent="0.6">
      <c r="A809" s="286" t="s">
        <v>87</v>
      </c>
      <c r="B809" s="286"/>
      <c r="C809" s="286" t="s">
        <v>5</v>
      </c>
      <c r="D809" s="289">
        <f>VLOOKUP($K808,임금대장!$A$3:$AH$86,5,0)</f>
        <v>46015</v>
      </c>
      <c r="E809" s="289"/>
      <c r="F809" s="114" t="s">
        <v>88</v>
      </c>
      <c r="G809" s="292">
        <f>VLOOKUP(K808,임금대장!$A$3:$AH$86,15,0)</f>
        <v>31</v>
      </c>
      <c r="H809" s="293"/>
      <c r="I809" s="286" t="s">
        <v>89</v>
      </c>
      <c r="J809" s="290">
        <f>VLOOKUP(K808,임금대장!$A$3:$AH$86,17,0)</f>
        <v>0</v>
      </c>
    </row>
    <row r="810" spans="1:11" ht="20.45" customHeight="1" x14ac:dyDescent="0.6">
      <c r="A810" s="294">
        <f>VLOOKUP($K808,임금대장!$A$3:$AH$86,7,0)</f>
        <v>3500000</v>
      </c>
      <c r="B810" s="294"/>
      <c r="C810" s="286"/>
      <c r="D810" s="289"/>
      <c r="E810" s="289"/>
      <c r="F810" s="115" t="s">
        <v>90</v>
      </c>
      <c r="G810" s="284">
        <f>VLOOKUP(K808,임금대장!$A$3:$AH$86,16,0)</f>
        <v>0</v>
      </c>
      <c r="H810" s="285"/>
      <c r="I810" s="286"/>
      <c r="J810" s="290"/>
    </row>
    <row r="811" spans="1:11" ht="20.45" customHeight="1" x14ac:dyDescent="0.6">
      <c r="F811" s="250"/>
      <c r="G811" s="250"/>
    </row>
    <row r="812" spans="1:11" ht="20.45" customHeight="1" x14ac:dyDescent="0.6">
      <c r="A812" s="251" t="s">
        <v>91</v>
      </c>
      <c r="B812" s="69" t="s">
        <v>20</v>
      </c>
      <c r="C812" s="25">
        <f>VLOOKUP($K808,임금대장!$A$3:$AH$86,9,0)</f>
        <v>2513746</v>
      </c>
      <c r="D812" s="33"/>
      <c r="E812" s="69"/>
      <c r="F812" s="254"/>
      <c r="G812" s="255"/>
      <c r="H812" s="168"/>
      <c r="I812" s="33"/>
      <c r="J812" s="34"/>
    </row>
    <row r="813" spans="1:11" ht="20.45" customHeight="1" x14ac:dyDescent="0.6">
      <c r="A813" s="252"/>
      <c r="B813" s="67" t="s">
        <v>21</v>
      </c>
      <c r="C813" s="35">
        <f>VLOOKUP($K808,임금대장!$A$3:$AH$86,10,0)</f>
        <v>784192</v>
      </c>
      <c r="D813" s="36"/>
      <c r="E813" s="67"/>
      <c r="F813" s="256"/>
      <c r="G813" s="257"/>
      <c r="H813" s="169"/>
      <c r="I813" s="36"/>
      <c r="J813" s="37"/>
    </row>
    <row r="814" spans="1:11" ht="20.45" customHeight="1" x14ac:dyDescent="0.6">
      <c r="A814" s="252"/>
      <c r="B814" s="52" t="s">
        <v>92</v>
      </c>
      <c r="C814" s="35">
        <f>VLOOKUP($K808,임금대장!$A$3:$AH$86,11,0)</f>
        <v>105842</v>
      </c>
      <c r="D814" s="36"/>
      <c r="E814" s="67"/>
      <c r="F814" s="256"/>
      <c r="G814" s="257"/>
      <c r="H814" s="169"/>
      <c r="I814" s="36"/>
      <c r="J814" s="37"/>
    </row>
    <row r="815" spans="1:11" ht="20.45" customHeight="1" x14ac:dyDescent="0.6">
      <c r="A815" s="252"/>
      <c r="B815" s="67" t="s">
        <v>93</v>
      </c>
      <c r="C815" s="35">
        <f>VLOOKUP($K808,임금대장!$A$3:$AH$86,12,0)</f>
        <v>0</v>
      </c>
      <c r="D815" s="36"/>
      <c r="E815" s="67"/>
      <c r="F815" s="256"/>
      <c r="G815" s="257"/>
      <c r="H815" s="169"/>
      <c r="I815" s="36"/>
      <c r="J815" s="37"/>
    </row>
    <row r="816" spans="1:11" ht="20.45" customHeight="1" x14ac:dyDescent="0.6">
      <c r="A816" s="252"/>
      <c r="B816" s="67" t="s">
        <v>94</v>
      </c>
      <c r="C816" s="35">
        <f>VLOOKUP($K808,임금대장!$A$3:$AH$86,13,0)</f>
        <v>96220</v>
      </c>
      <c r="D816" s="36"/>
      <c r="E816" s="36"/>
      <c r="F816" s="258"/>
      <c r="G816" s="259"/>
      <c r="H816" s="169"/>
      <c r="I816" s="36"/>
      <c r="J816" s="37"/>
    </row>
    <row r="817" spans="1:11" ht="20.45" customHeight="1" x14ac:dyDescent="0.6">
      <c r="A817" s="252"/>
      <c r="B817" s="67" t="s">
        <v>24</v>
      </c>
      <c r="C817" s="102">
        <f>VLOOKUP($K808,임금대장!$A$3:$AH$86,14,0)</f>
        <v>56451.612903225803</v>
      </c>
      <c r="D817" s="36"/>
      <c r="E817" s="36"/>
      <c r="F817" s="258"/>
      <c r="G817" s="259"/>
      <c r="H817" s="169"/>
      <c r="I817" s="36"/>
      <c r="J817" s="37"/>
    </row>
    <row r="818" spans="1:11" ht="20.45" customHeight="1" x14ac:dyDescent="0.6">
      <c r="A818" s="252"/>
      <c r="B818" s="67"/>
      <c r="C818" s="35"/>
      <c r="D818" s="36"/>
      <c r="E818" s="36"/>
      <c r="F818" s="258"/>
      <c r="G818" s="259"/>
      <c r="H818" s="169"/>
      <c r="I818" s="36"/>
      <c r="J818" s="37"/>
    </row>
    <row r="819" spans="1:11" ht="20.45" customHeight="1" x14ac:dyDescent="0.6">
      <c r="A819" s="252"/>
      <c r="B819" s="67"/>
      <c r="C819" s="35"/>
      <c r="D819" s="36"/>
      <c r="E819" s="36"/>
      <c r="F819" s="258"/>
      <c r="G819" s="259"/>
      <c r="H819" s="169"/>
      <c r="I819" s="36"/>
      <c r="J819" s="37"/>
    </row>
    <row r="820" spans="1:11" ht="20.45" customHeight="1" x14ac:dyDescent="0.6">
      <c r="A820" s="253"/>
      <c r="B820" s="68"/>
      <c r="C820" s="39"/>
      <c r="D820" s="40"/>
      <c r="E820" s="40"/>
      <c r="F820" s="260"/>
      <c r="G820" s="261"/>
      <c r="H820" s="170"/>
      <c r="I820" s="68" t="s">
        <v>95</v>
      </c>
      <c r="J820" s="41">
        <f>SUM(C812:H818)</f>
        <v>3556451.6129032257</v>
      </c>
    </row>
    <row r="821" spans="1:11" ht="20.45" customHeight="1" x14ac:dyDescent="0.6">
      <c r="A821" s="251" t="s">
        <v>96</v>
      </c>
      <c r="B821" s="36" t="s">
        <v>97</v>
      </c>
      <c r="C821" s="35">
        <f>VLOOKUP($K808,임금대장!$A$3:$AH$86,25,0)</f>
        <v>129660</v>
      </c>
      <c r="D821" s="33"/>
      <c r="E821" s="42"/>
      <c r="F821" s="262" t="s">
        <v>14</v>
      </c>
      <c r="G821" s="263"/>
      <c r="H821" s="169">
        <f>VLOOKUP($K808,임금대장!$A$3:$AH$86,19,0)</f>
        <v>0</v>
      </c>
      <c r="I821" s="33"/>
      <c r="J821" s="34"/>
    </row>
    <row r="822" spans="1:11" ht="20.45" customHeight="1" x14ac:dyDescent="0.6">
      <c r="A822" s="252"/>
      <c r="B822" s="36" t="s">
        <v>98</v>
      </c>
      <c r="C822" s="35">
        <f>VLOOKUP($K808,임금대장!$A$3:$AH$86,26,0)</f>
        <v>12960</v>
      </c>
      <c r="D822" s="36"/>
      <c r="E822" s="43"/>
      <c r="F822" s="258" t="s">
        <v>12</v>
      </c>
      <c r="G822" s="259"/>
      <c r="H822" s="169">
        <f>VLOOKUP($K808,임금대장!$A$3:$AH$86,17,0)</f>
        <v>0</v>
      </c>
      <c r="I822" s="36"/>
      <c r="J822" s="37"/>
    </row>
    <row r="823" spans="1:11" ht="20.45" customHeight="1" x14ac:dyDescent="0.6">
      <c r="A823" s="252"/>
      <c r="B823" s="36" t="s">
        <v>99</v>
      </c>
      <c r="C823" s="35">
        <f>VLOOKUP($K808,임금대장!$A$3:$AH$86,27,0)</f>
        <v>85500</v>
      </c>
      <c r="D823" s="36"/>
      <c r="E823" s="44"/>
      <c r="F823" s="258" t="s">
        <v>100</v>
      </c>
      <c r="G823" s="259"/>
      <c r="H823" s="169">
        <f>VLOOKUP($K808,임금대장!$A$3:$AH$86,31,0)</f>
        <v>0</v>
      </c>
      <c r="I823" s="36"/>
      <c r="J823" s="37"/>
    </row>
    <row r="824" spans="1:11" ht="20.45" customHeight="1" x14ac:dyDescent="0.6">
      <c r="A824" s="252"/>
      <c r="B824" s="36" t="s">
        <v>101</v>
      </c>
      <c r="C824" s="35">
        <f>VLOOKUP($K808,임금대장!$A$3:$AH$86,28,0)</f>
        <v>127850</v>
      </c>
      <c r="D824" s="36"/>
      <c r="E824" s="43"/>
      <c r="F824" s="258" t="s">
        <v>102</v>
      </c>
      <c r="G824" s="259"/>
      <c r="H824" s="169">
        <f>VLOOKUP($K808,임금대장!$A$3:$AH$86,30,0)</f>
        <v>32000</v>
      </c>
      <c r="I824" s="36"/>
      <c r="J824" s="37"/>
    </row>
    <row r="825" spans="1:11" ht="20.45" customHeight="1" x14ac:dyDescent="0.6">
      <c r="A825" s="252"/>
      <c r="B825" s="36" t="s">
        <v>31</v>
      </c>
      <c r="C825" s="35">
        <f>VLOOKUP($K808,임금대장!$A$3:$AH$86,29,0)</f>
        <v>16790</v>
      </c>
      <c r="D825" s="36"/>
      <c r="E825" s="43"/>
      <c r="F825" s="258" t="s">
        <v>328</v>
      </c>
      <c r="G825" s="259"/>
      <c r="H825" s="169">
        <f>VLOOKUP($K808,임금대장!$A$3:$AH$86,32,0)</f>
        <v>0</v>
      </c>
      <c r="I825" s="67" t="s">
        <v>103</v>
      </c>
      <c r="J825" s="47">
        <f>SUM(C821:H826)</f>
        <v>404760</v>
      </c>
    </row>
    <row r="826" spans="1:11" ht="20.45" customHeight="1" x14ac:dyDescent="0.6">
      <c r="A826" s="253"/>
      <c r="B826" s="40"/>
      <c r="C826" s="101"/>
      <c r="D826" s="40"/>
      <c r="E826" s="48"/>
      <c r="F826" s="260"/>
      <c r="G826" s="261"/>
      <c r="H826" s="170"/>
      <c r="I826" s="68" t="s">
        <v>104</v>
      </c>
      <c r="J826" s="49">
        <f>J820-J825</f>
        <v>3151691.6129032257</v>
      </c>
    </row>
    <row r="827" spans="1:11" ht="20.45" customHeight="1" x14ac:dyDescent="0.6">
      <c r="A827" s="50" t="s">
        <v>105</v>
      </c>
      <c r="J827" s="51" t="s">
        <v>0</v>
      </c>
    </row>
    <row r="828" spans="1:11" ht="20.45" customHeight="1" x14ac:dyDescent="0.6">
      <c r="A828" s="50"/>
      <c r="J828" s="51"/>
    </row>
    <row r="829" spans="1:11" ht="20.45" customHeight="1" x14ac:dyDescent="0.6">
      <c r="A829" s="264" t="s">
        <v>399</v>
      </c>
      <c r="B829" s="264"/>
      <c r="C829" s="264"/>
      <c r="D829" s="264"/>
      <c r="E829" s="264"/>
      <c r="F829" s="264"/>
      <c r="G829" s="264"/>
      <c r="H829" s="264"/>
      <c r="I829" s="264"/>
      <c r="J829" s="264"/>
    </row>
    <row r="830" spans="1:11" ht="20.45" customHeight="1" x14ac:dyDescent="0.6">
      <c r="A830" s="286" t="s">
        <v>83</v>
      </c>
      <c r="B830" s="286"/>
      <c r="C830" s="286"/>
      <c r="D830" s="286" t="s">
        <v>84</v>
      </c>
      <c r="E830" s="286"/>
      <c r="F830" s="265" t="s">
        <v>85</v>
      </c>
      <c r="G830" s="250"/>
      <c r="H830" s="266"/>
      <c r="I830" s="286" t="s">
        <v>86</v>
      </c>
      <c r="J830" s="286"/>
    </row>
    <row r="831" spans="1:11" ht="20.45" customHeight="1" x14ac:dyDescent="0.6">
      <c r="A831" s="286">
        <f>VLOOKUP(K831,임금대장!$A$3:$AH$86,3,0)</f>
        <v>0</v>
      </c>
      <c r="B831" s="286"/>
      <c r="C831" s="286"/>
      <c r="D831" s="287" t="str">
        <f>VLOOKUP(K831,임금대장!$A$3:$AH$86,2,0)</f>
        <v>이다연</v>
      </c>
      <c r="E831" s="287"/>
      <c r="F831" s="267">
        <f>임금대장!$O$3</f>
        <v>31</v>
      </c>
      <c r="G831" s="269"/>
      <c r="H831" s="268"/>
      <c r="I831" s="288">
        <f>VLOOKUP(K831,임금대장!$A$3:$AH$86,16,0)</f>
        <v>0</v>
      </c>
      <c r="J831" s="288"/>
      <c r="K831" s="30">
        <v>37</v>
      </c>
    </row>
    <row r="832" spans="1:11" ht="20.45" customHeight="1" x14ac:dyDescent="0.6">
      <c r="A832" s="286" t="s">
        <v>87</v>
      </c>
      <c r="B832" s="286"/>
      <c r="C832" s="286" t="s">
        <v>5</v>
      </c>
      <c r="D832" s="289">
        <f>VLOOKUP($K831,임금대장!$A$3:$AH$86,5,0)</f>
        <v>46023</v>
      </c>
      <c r="E832" s="289"/>
      <c r="F832" s="114" t="s">
        <v>88</v>
      </c>
      <c r="G832" s="292">
        <f>VLOOKUP(K831,임금대장!$A$3:$AH$86,15,0)</f>
        <v>31</v>
      </c>
      <c r="H832" s="293"/>
      <c r="I832" s="286" t="s">
        <v>89</v>
      </c>
      <c r="J832" s="290">
        <f>VLOOKUP(K831,임금대장!$A$3:$AH$86,17,0)</f>
        <v>0</v>
      </c>
    </row>
    <row r="833" spans="1:10" ht="20.45" customHeight="1" x14ac:dyDescent="0.6">
      <c r="A833" s="294">
        <f>VLOOKUP($K831,임금대장!$A$3:$AH$86,7,0)</f>
        <v>3000000</v>
      </c>
      <c r="B833" s="294"/>
      <c r="C833" s="286"/>
      <c r="D833" s="289"/>
      <c r="E833" s="289"/>
      <c r="F833" s="115" t="s">
        <v>90</v>
      </c>
      <c r="G833" s="284">
        <f>VLOOKUP(K831,임금대장!$A$3:$AH$86,16,0)</f>
        <v>0</v>
      </c>
      <c r="H833" s="285"/>
      <c r="I833" s="286"/>
      <c r="J833" s="290"/>
    </row>
    <row r="834" spans="1:10" ht="20.45" customHeight="1" x14ac:dyDescent="0.6">
      <c r="F834" s="250"/>
      <c r="G834" s="250"/>
    </row>
    <row r="835" spans="1:10" ht="20.45" customHeight="1" x14ac:dyDescent="0.6">
      <c r="A835" s="251" t="s">
        <v>91</v>
      </c>
      <c r="B835" s="69" t="s">
        <v>20</v>
      </c>
      <c r="C835" s="25">
        <f>VLOOKUP($K831,임금대장!$A$3:$AH$86,9,0)</f>
        <v>2154640</v>
      </c>
      <c r="D835" s="33"/>
      <c r="E835" s="69"/>
      <c r="F835" s="254"/>
      <c r="G835" s="255"/>
      <c r="H835" s="168"/>
      <c r="I835" s="33"/>
      <c r="J835" s="34"/>
    </row>
    <row r="836" spans="1:10" ht="20.45" customHeight="1" x14ac:dyDescent="0.6">
      <c r="A836" s="252"/>
      <c r="B836" s="67" t="s">
        <v>21</v>
      </c>
      <c r="C836" s="35">
        <f>VLOOKUP($K831,임금대장!$A$3:$AH$86,10,0)</f>
        <v>672164</v>
      </c>
      <c r="D836" s="36"/>
      <c r="E836" s="67"/>
      <c r="F836" s="256"/>
      <c r="G836" s="257"/>
      <c r="H836" s="169"/>
      <c r="I836" s="36"/>
      <c r="J836" s="37"/>
    </row>
    <row r="837" spans="1:10" ht="20.45" customHeight="1" x14ac:dyDescent="0.6">
      <c r="A837" s="252"/>
      <c r="B837" s="52" t="s">
        <v>92</v>
      </c>
      <c r="C837" s="35">
        <f>VLOOKUP($K831,임금대장!$A$3:$AH$86,11,0)</f>
        <v>90722</v>
      </c>
      <c r="D837" s="36"/>
      <c r="E837" s="67"/>
      <c r="F837" s="256"/>
      <c r="G837" s="257"/>
      <c r="H837" s="169"/>
      <c r="I837" s="36"/>
      <c r="J837" s="37"/>
    </row>
    <row r="838" spans="1:10" ht="20.45" customHeight="1" x14ac:dyDescent="0.6">
      <c r="A838" s="252"/>
      <c r="B838" s="67" t="s">
        <v>93</v>
      </c>
      <c r="C838" s="35">
        <f>VLOOKUP($K831,임금대장!$A$3:$AH$86,12,0)</f>
        <v>0</v>
      </c>
      <c r="D838" s="36"/>
      <c r="E838" s="67"/>
      <c r="F838" s="256"/>
      <c r="G838" s="257"/>
      <c r="H838" s="169"/>
      <c r="I838" s="36"/>
      <c r="J838" s="37"/>
    </row>
    <row r="839" spans="1:10" ht="20.45" customHeight="1" x14ac:dyDescent="0.6">
      <c r="A839" s="252"/>
      <c r="B839" s="67" t="s">
        <v>94</v>
      </c>
      <c r="C839" s="35">
        <f>VLOOKUP($K831,임금대장!$A$3:$AH$86,13,0)</f>
        <v>82475</v>
      </c>
      <c r="D839" s="36"/>
      <c r="E839" s="36"/>
      <c r="F839" s="258"/>
      <c r="G839" s="259"/>
      <c r="H839" s="169"/>
      <c r="I839" s="36"/>
      <c r="J839" s="37"/>
    </row>
    <row r="840" spans="1:10" ht="20.45" customHeight="1" x14ac:dyDescent="0.6">
      <c r="A840" s="252"/>
      <c r="B840" s="67" t="s">
        <v>24</v>
      </c>
      <c r="C840" s="102">
        <f>VLOOKUP($K831,임금대장!$A$3:$AH$86,14,0)</f>
        <v>0</v>
      </c>
      <c r="D840" s="36"/>
      <c r="E840" s="36"/>
      <c r="F840" s="258"/>
      <c r="G840" s="259"/>
      <c r="H840" s="169"/>
      <c r="I840" s="36"/>
      <c r="J840" s="37"/>
    </row>
    <row r="841" spans="1:10" ht="20.45" customHeight="1" x14ac:dyDescent="0.6">
      <c r="A841" s="252"/>
      <c r="B841" s="67"/>
      <c r="C841" s="35"/>
      <c r="D841" s="36"/>
      <c r="E841" s="36"/>
      <c r="F841" s="258"/>
      <c r="G841" s="259"/>
      <c r="H841" s="169"/>
      <c r="I841" s="36"/>
      <c r="J841" s="37"/>
    </row>
    <row r="842" spans="1:10" ht="20.45" customHeight="1" x14ac:dyDescent="0.6">
      <c r="A842" s="252"/>
      <c r="B842" s="67"/>
      <c r="C842" s="35"/>
      <c r="D842" s="36"/>
      <c r="E842" s="36"/>
      <c r="F842" s="258"/>
      <c r="G842" s="259"/>
      <c r="H842" s="169"/>
      <c r="I842" s="36"/>
      <c r="J842" s="37"/>
    </row>
    <row r="843" spans="1:10" ht="20.45" customHeight="1" x14ac:dyDescent="0.6">
      <c r="A843" s="253"/>
      <c r="B843" s="68"/>
      <c r="C843" s="39"/>
      <c r="D843" s="40"/>
      <c r="E843" s="40"/>
      <c r="F843" s="260"/>
      <c r="G843" s="261"/>
      <c r="H843" s="170"/>
      <c r="I843" s="68" t="s">
        <v>95</v>
      </c>
      <c r="J843" s="41">
        <f>SUM(C835:H841)</f>
        <v>3000001</v>
      </c>
    </row>
    <row r="844" spans="1:10" ht="20.45" customHeight="1" x14ac:dyDescent="0.6">
      <c r="A844" s="251" t="s">
        <v>96</v>
      </c>
      <c r="B844" s="36" t="s">
        <v>97</v>
      </c>
      <c r="C844" s="35">
        <f>VLOOKUP($K831,임금대장!$A$3:$AH$86,25,0)</f>
        <v>73060</v>
      </c>
      <c r="D844" s="33"/>
      <c r="E844" s="42"/>
      <c r="F844" s="262" t="s">
        <v>14</v>
      </c>
      <c r="G844" s="263"/>
      <c r="H844" s="169">
        <f>VLOOKUP($K831,임금대장!$A$3:$AH$86,19,0)</f>
        <v>0</v>
      </c>
      <c r="I844" s="33"/>
      <c r="J844" s="34"/>
    </row>
    <row r="845" spans="1:10" ht="20.45" customHeight="1" x14ac:dyDescent="0.6">
      <c r="A845" s="252"/>
      <c r="B845" s="36" t="s">
        <v>98</v>
      </c>
      <c r="C845" s="35">
        <f>VLOOKUP($K831,임금대장!$A$3:$AH$86,26,0)</f>
        <v>7300</v>
      </c>
      <c r="D845" s="36"/>
      <c r="E845" s="43"/>
      <c r="F845" s="258" t="s">
        <v>12</v>
      </c>
      <c r="G845" s="259"/>
      <c r="H845" s="169">
        <f>VLOOKUP($K831,임금대장!$A$3:$AH$86,17,0)</f>
        <v>0</v>
      </c>
      <c r="I845" s="36"/>
      <c r="J845" s="37"/>
    </row>
    <row r="846" spans="1:10" ht="20.45" customHeight="1" x14ac:dyDescent="0.6">
      <c r="A846" s="252"/>
      <c r="B846" s="36" t="s">
        <v>99</v>
      </c>
      <c r="C846" s="35">
        <f>VLOOKUP($K831,임금대장!$A$3:$AH$86,27,0)</f>
        <v>85500</v>
      </c>
      <c r="D846" s="36"/>
      <c r="E846" s="44"/>
      <c r="F846" s="258" t="s">
        <v>100</v>
      </c>
      <c r="G846" s="259"/>
      <c r="H846" s="169">
        <f>VLOOKUP($K831,임금대장!$A$3:$AH$86,31,0)</f>
        <v>0</v>
      </c>
      <c r="I846" s="36"/>
      <c r="J846" s="37"/>
    </row>
    <row r="847" spans="1:10" ht="20.45" customHeight="1" x14ac:dyDescent="0.6">
      <c r="A847" s="252"/>
      <c r="B847" s="36" t="s">
        <v>101</v>
      </c>
      <c r="C847" s="35">
        <f>VLOOKUP($K831,임금대장!$A$3:$AH$86,28,0)</f>
        <v>107850</v>
      </c>
      <c r="D847" s="36"/>
      <c r="E847" s="43"/>
      <c r="F847" s="258" t="s">
        <v>102</v>
      </c>
      <c r="G847" s="259"/>
      <c r="H847" s="169">
        <f>VLOOKUP($K831,임금대장!$A$3:$AH$86,30,0)</f>
        <v>27000</v>
      </c>
      <c r="I847" s="36"/>
      <c r="J847" s="37"/>
    </row>
    <row r="848" spans="1:10" ht="20.45" customHeight="1" x14ac:dyDescent="0.6">
      <c r="A848" s="252"/>
      <c r="B848" s="36" t="s">
        <v>31</v>
      </c>
      <c r="C848" s="35">
        <f>VLOOKUP($K831,임금대장!$A$3:$AH$86,29,0)</f>
        <v>14170</v>
      </c>
      <c r="D848" s="36"/>
      <c r="E848" s="43"/>
      <c r="F848" s="258" t="s">
        <v>328</v>
      </c>
      <c r="G848" s="259"/>
      <c r="H848" s="169">
        <f>VLOOKUP($K831,임금대장!$A$3:$AH$86,32,0)</f>
        <v>0</v>
      </c>
      <c r="I848" s="67" t="s">
        <v>103</v>
      </c>
      <c r="J848" s="47">
        <f>SUM(C844:H849)</f>
        <v>314880</v>
      </c>
    </row>
    <row r="849" spans="1:11" ht="20.45" customHeight="1" x14ac:dyDescent="0.6">
      <c r="A849" s="253"/>
      <c r="B849" s="40"/>
      <c r="C849" s="101"/>
      <c r="D849" s="40"/>
      <c r="E849" s="48"/>
      <c r="F849" s="260"/>
      <c r="G849" s="261"/>
      <c r="H849" s="170"/>
      <c r="I849" s="68" t="s">
        <v>104</v>
      </c>
      <c r="J849" s="49">
        <f>J843-J848</f>
        <v>2685121</v>
      </c>
    </row>
    <row r="850" spans="1:11" ht="20.45" customHeight="1" x14ac:dyDescent="0.6">
      <c r="A850" s="50" t="s">
        <v>105</v>
      </c>
      <c r="J850" s="51" t="s">
        <v>0</v>
      </c>
    </row>
    <row r="851" spans="1:11" ht="20.45" customHeight="1" x14ac:dyDescent="0.6">
      <c r="A851" s="50"/>
      <c r="J851" s="51"/>
    </row>
    <row r="852" spans="1:11" ht="20.45" customHeight="1" x14ac:dyDescent="0.6">
      <c r="A852" s="264" t="s">
        <v>399</v>
      </c>
      <c r="B852" s="264"/>
      <c r="C852" s="264"/>
      <c r="D852" s="264"/>
      <c r="E852" s="264"/>
      <c r="F852" s="264"/>
      <c r="G852" s="264"/>
      <c r="H852" s="264"/>
      <c r="I852" s="264"/>
      <c r="J852" s="264"/>
    </row>
    <row r="853" spans="1:11" ht="20.45" customHeight="1" x14ac:dyDescent="0.6">
      <c r="A853" s="286" t="s">
        <v>83</v>
      </c>
      <c r="B853" s="286"/>
      <c r="C853" s="286"/>
      <c r="D853" s="286" t="s">
        <v>84</v>
      </c>
      <c r="E853" s="286"/>
      <c r="F853" s="265" t="s">
        <v>85</v>
      </c>
      <c r="G853" s="250"/>
      <c r="H853" s="266"/>
      <c r="I853" s="286" t="s">
        <v>86</v>
      </c>
      <c r="J853" s="286"/>
    </row>
    <row r="854" spans="1:11" ht="20.45" customHeight="1" x14ac:dyDescent="0.6">
      <c r="A854" s="286" t="str">
        <f>VLOOKUP(K854,임금대장!$A$3:$AH$86,3,0)</f>
        <v>핫/즉석</v>
      </c>
      <c r="B854" s="286"/>
      <c r="C854" s="286"/>
      <c r="D854" s="287" t="str">
        <f>VLOOKUP(K854,임금대장!$A$3:$AH$86,2,0)</f>
        <v>강봉국</v>
      </c>
      <c r="E854" s="287"/>
      <c r="F854" s="267">
        <f>임금대장!$O$3</f>
        <v>31</v>
      </c>
      <c r="G854" s="269"/>
      <c r="H854" s="268"/>
      <c r="I854" s="288">
        <f>VLOOKUP(K854,임금대장!$A$3:$AH$86,16,0)</f>
        <v>5</v>
      </c>
      <c r="J854" s="288"/>
      <c r="K854" s="30">
        <v>38</v>
      </c>
    </row>
    <row r="855" spans="1:11" ht="20.45" customHeight="1" x14ac:dyDescent="0.6">
      <c r="A855" s="286" t="s">
        <v>87</v>
      </c>
      <c r="B855" s="286"/>
      <c r="C855" s="286" t="s">
        <v>5</v>
      </c>
      <c r="D855" s="289">
        <f>VLOOKUP($K854,임금대장!$A$3:$AH$86,5,0)</f>
        <v>46028</v>
      </c>
      <c r="E855" s="289"/>
      <c r="F855" s="114" t="s">
        <v>88</v>
      </c>
      <c r="G855" s="292">
        <f>VLOOKUP(K854,임금대장!$A$3:$AH$86,15,0)</f>
        <v>26</v>
      </c>
      <c r="H855" s="293"/>
      <c r="I855" s="286" t="s">
        <v>89</v>
      </c>
      <c r="J855" s="290">
        <f>VLOOKUP(K854,임금대장!$A$3:$AH$86,17,0)</f>
        <v>532250</v>
      </c>
    </row>
    <row r="856" spans="1:11" ht="20.45" customHeight="1" x14ac:dyDescent="0.6">
      <c r="A856" s="294">
        <f>VLOOKUP($K854,임금대장!$A$3:$AH$86,7,0)</f>
        <v>3300000</v>
      </c>
      <c r="B856" s="294"/>
      <c r="C856" s="286"/>
      <c r="D856" s="289"/>
      <c r="E856" s="289"/>
      <c r="F856" s="115" t="s">
        <v>90</v>
      </c>
      <c r="G856" s="284">
        <f>VLOOKUP(K854,임금대장!$A$3:$AH$86,16,0)</f>
        <v>5</v>
      </c>
      <c r="H856" s="285"/>
      <c r="I856" s="286"/>
      <c r="J856" s="290"/>
    </row>
    <row r="857" spans="1:11" ht="20.45" customHeight="1" x14ac:dyDescent="0.6">
      <c r="F857" s="250"/>
      <c r="G857" s="250"/>
    </row>
    <row r="858" spans="1:11" ht="20.45" customHeight="1" x14ac:dyDescent="0.6">
      <c r="A858" s="251" t="s">
        <v>91</v>
      </c>
      <c r="B858" s="69" t="s">
        <v>20</v>
      </c>
      <c r="C858" s="25">
        <f>VLOOKUP($K854,임금대장!$A$3:$AH$86,9,0)</f>
        <v>2370103</v>
      </c>
      <c r="D858" s="33"/>
      <c r="E858" s="69"/>
      <c r="F858" s="254"/>
      <c r="G858" s="255"/>
      <c r="H858" s="168"/>
      <c r="I858" s="33"/>
      <c r="J858" s="34"/>
    </row>
    <row r="859" spans="1:11" ht="20.45" customHeight="1" x14ac:dyDescent="0.6">
      <c r="A859" s="252"/>
      <c r="B859" s="67" t="s">
        <v>21</v>
      </c>
      <c r="C859" s="35">
        <f>VLOOKUP($K854,임금대장!$A$3:$AH$86,10,0)</f>
        <v>739381</v>
      </c>
      <c r="D859" s="36"/>
      <c r="E859" s="67"/>
      <c r="F859" s="256"/>
      <c r="G859" s="257"/>
      <c r="H859" s="169"/>
      <c r="I859" s="36"/>
      <c r="J859" s="37"/>
    </row>
    <row r="860" spans="1:11" ht="20.45" customHeight="1" x14ac:dyDescent="0.6">
      <c r="A860" s="252"/>
      <c r="B860" s="52" t="s">
        <v>92</v>
      </c>
      <c r="C860" s="35">
        <f>VLOOKUP($K854,임금대장!$A$3:$AH$86,11,0)</f>
        <v>99794</v>
      </c>
      <c r="D860" s="36"/>
      <c r="E860" s="67"/>
      <c r="F860" s="256"/>
      <c r="G860" s="257"/>
      <c r="H860" s="169"/>
      <c r="I860" s="36"/>
      <c r="J860" s="37"/>
    </row>
    <row r="861" spans="1:11" ht="20.45" customHeight="1" x14ac:dyDescent="0.6">
      <c r="A861" s="252"/>
      <c r="B861" s="67" t="s">
        <v>93</v>
      </c>
      <c r="C861" s="35">
        <f>VLOOKUP($K854,임금대장!$A$3:$AH$86,12,0)</f>
        <v>0</v>
      </c>
      <c r="D861" s="36"/>
      <c r="E861" s="67"/>
      <c r="F861" s="256"/>
      <c r="G861" s="257"/>
      <c r="H861" s="169"/>
      <c r="I861" s="36"/>
      <c r="J861" s="37"/>
    </row>
    <row r="862" spans="1:11" ht="20.45" customHeight="1" x14ac:dyDescent="0.6">
      <c r="A862" s="252"/>
      <c r="B862" s="67" t="s">
        <v>94</v>
      </c>
      <c r="C862" s="35">
        <f>VLOOKUP($K854,임금대장!$A$3:$AH$86,13,0)</f>
        <v>90722</v>
      </c>
      <c r="D862" s="36"/>
      <c r="E862" s="36"/>
      <c r="F862" s="258"/>
      <c r="G862" s="259"/>
      <c r="H862" s="169"/>
      <c r="I862" s="36"/>
      <c r="J862" s="37"/>
    </row>
    <row r="863" spans="1:11" ht="20.45" customHeight="1" x14ac:dyDescent="0.6">
      <c r="A863" s="252"/>
      <c r="B863" s="67" t="s">
        <v>24</v>
      </c>
      <c r="C863" s="102">
        <f>VLOOKUP($K854,임금대장!$A$3:$AH$86,14,0)</f>
        <v>0</v>
      </c>
      <c r="D863" s="36"/>
      <c r="E863" s="36"/>
      <c r="F863" s="258"/>
      <c r="G863" s="259"/>
      <c r="H863" s="169"/>
      <c r="I863" s="36"/>
      <c r="J863" s="37"/>
    </row>
    <row r="864" spans="1:11" ht="20.45" customHeight="1" x14ac:dyDescent="0.6">
      <c r="A864" s="252"/>
      <c r="B864" s="67"/>
      <c r="C864" s="35"/>
      <c r="D864" s="36"/>
      <c r="E864" s="36"/>
      <c r="F864" s="258"/>
      <c r="G864" s="259"/>
      <c r="H864" s="169"/>
      <c r="I864" s="36"/>
      <c r="J864" s="37"/>
    </row>
    <row r="865" spans="1:11" ht="20.45" customHeight="1" x14ac:dyDescent="0.6">
      <c r="A865" s="252"/>
      <c r="B865" s="67"/>
      <c r="C865" s="35"/>
      <c r="D865" s="36"/>
      <c r="E865" s="36"/>
      <c r="F865" s="258"/>
      <c r="G865" s="259"/>
      <c r="H865" s="169"/>
      <c r="I865" s="36"/>
      <c r="J865" s="37"/>
    </row>
    <row r="866" spans="1:11" ht="20.45" customHeight="1" x14ac:dyDescent="0.6">
      <c r="A866" s="253"/>
      <c r="B866" s="68"/>
      <c r="C866" s="39"/>
      <c r="D866" s="40"/>
      <c r="E866" s="40"/>
      <c r="F866" s="260"/>
      <c r="G866" s="261"/>
      <c r="H866" s="170"/>
      <c r="I866" s="68" t="s">
        <v>95</v>
      </c>
      <c r="J866" s="41">
        <f>SUM(C858:H864)</f>
        <v>3300000</v>
      </c>
    </row>
    <row r="867" spans="1:11" ht="20.45" customHeight="1" x14ac:dyDescent="0.6">
      <c r="A867" s="251" t="s">
        <v>96</v>
      </c>
      <c r="B867" s="36" t="s">
        <v>97</v>
      </c>
      <c r="C867" s="35">
        <f>VLOOKUP($K854,임금대장!$A$3:$AH$86,25,0)</f>
        <v>52530</v>
      </c>
      <c r="D867" s="33"/>
      <c r="E867" s="42"/>
      <c r="F867" s="262" t="s">
        <v>14</v>
      </c>
      <c r="G867" s="263"/>
      <c r="H867" s="169">
        <f>VLOOKUP($K854,임금대장!$A$3:$AH$86,19,0)</f>
        <v>0</v>
      </c>
      <c r="I867" s="33"/>
      <c r="J867" s="34"/>
    </row>
    <row r="868" spans="1:11" ht="20.45" customHeight="1" x14ac:dyDescent="0.6">
      <c r="A868" s="252"/>
      <c r="B868" s="36" t="s">
        <v>98</v>
      </c>
      <c r="C868" s="35">
        <f>VLOOKUP($K854,임금대장!$A$3:$AH$86,26,0)</f>
        <v>5250</v>
      </c>
      <c r="D868" s="36"/>
      <c r="E868" s="43"/>
      <c r="F868" s="258" t="s">
        <v>12</v>
      </c>
      <c r="G868" s="259"/>
      <c r="H868" s="169">
        <f>VLOOKUP($K854,임금대장!$A$3:$AH$86,17,0)</f>
        <v>532250</v>
      </c>
      <c r="I868" s="36"/>
      <c r="J868" s="37"/>
    </row>
    <row r="869" spans="1:11" ht="20.45" customHeight="1" x14ac:dyDescent="0.6">
      <c r="A869" s="252"/>
      <c r="B869" s="36" t="s">
        <v>99</v>
      </c>
      <c r="C869" s="35">
        <f>VLOOKUP($K854,임금대장!$A$3:$AH$86,27,0)</f>
        <v>0</v>
      </c>
      <c r="D869" s="36"/>
      <c r="E869" s="44"/>
      <c r="F869" s="258" t="s">
        <v>100</v>
      </c>
      <c r="G869" s="259"/>
      <c r="H869" s="169">
        <f>VLOOKUP($K854,임금대장!$A$3:$AH$86,31,0)</f>
        <v>0</v>
      </c>
      <c r="I869" s="36"/>
      <c r="J869" s="37"/>
    </row>
    <row r="870" spans="1:11" ht="20.45" customHeight="1" x14ac:dyDescent="0.6">
      <c r="A870" s="252"/>
      <c r="B870" s="36" t="s">
        <v>101</v>
      </c>
      <c r="C870" s="35">
        <f>VLOOKUP($K854,임금대장!$A$3:$AH$86,28,0)</f>
        <v>0</v>
      </c>
      <c r="D870" s="36"/>
      <c r="E870" s="43"/>
      <c r="F870" s="258" t="s">
        <v>102</v>
      </c>
      <c r="G870" s="259"/>
      <c r="H870" s="169">
        <f>VLOOKUP($K854,임금대장!$A$3:$AH$86,30,0)</f>
        <v>24900</v>
      </c>
      <c r="I870" s="36"/>
      <c r="J870" s="37"/>
    </row>
    <row r="871" spans="1:11" ht="20.45" customHeight="1" x14ac:dyDescent="0.6">
      <c r="A871" s="252"/>
      <c r="B871" s="36" t="s">
        <v>31</v>
      </c>
      <c r="C871" s="35">
        <f>VLOOKUP($K854,임금대장!$A$3:$AH$86,29,0)</f>
        <v>0</v>
      </c>
      <c r="D871" s="36"/>
      <c r="E871" s="43"/>
      <c r="F871" s="258" t="s">
        <v>328</v>
      </c>
      <c r="G871" s="259"/>
      <c r="H871" s="169">
        <f>VLOOKUP($K854,임금대장!$A$3:$AH$86,32,0)</f>
        <v>0</v>
      </c>
      <c r="I871" s="67" t="s">
        <v>103</v>
      </c>
      <c r="J871" s="47">
        <f>SUM(C867:H872)</f>
        <v>614930</v>
      </c>
    </row>
    <row r="872" spans="1:11" ht="20.45" customHeight="1" x14ac:dyDescent="0.6">
      <c r="A872" s="253"/>
      <c r="B872" s="40"/>
      <c r="C872" s="101"/>
      <c r="D872" s="40"/>
      <c r="E872" s="48"/>
      <c r="F872" s="260"/>
      <c r="G872" s="261"/>
      <c r="H872" s="170"/>
      <c r="I872" s="68" t="s">
        <v>104</v>
      </c>
      <c r="J872" s="49">
        <f>J866-J871</f>
        <v>2685070</v>
      </c>
    </row>
    <row r="873" spans="1:11" ht="20.45" customHeight="1" x14ac:dyDescent="0.6">
      <c r="A873" s="50" t="s">
        <v>105</v>
      </c>
      <c r="J873" s="51" t="s">
        <v>0</v>
      </c>
    </row>
    <row r="874" spans="1:11" ht="20.45" customHeight="1" x14ac:dyDescent="0.6">
      <c r="A874" s="50"/>
      <c r="J874" s="51"/>
    </row>
    <row r="875" spans="1:11" ht="20.45" customHeight="1" x14ac:dyDescent="0.6">
      <c r="A875" s="264" t="s">
        <v>399</v>
      </c>
      <c r="B875" s="264"/>
      <c r="C875" s="264"/>
      <c r="D875" s="264"/>
      <c r="E875" s="264"/>
      <c r="F875" s="264"/>
      <c r="G875" s="264"/>
      <c r="H875" s="264"/>
      <c r="I875" s="264"/>
      <c r="J875" s="264"/>
    </row>
    <row r="876" spans="1:11" ht="20.45" customHeight="1" x14ac:dyDescent="0.6">
      <c r="A876" s="286" t="s">
        <v>83</v>
      </c>
      <c r="B876" s="286"/>
      <c r="C876" s="286"/>
      <c r="D876" s="286" t="s">
        <v>84</v>
      </c>
      <c r="E876" s="286"/>
      <c r="F876" s="265" t="s">
        <v>85</v>
      </c>
      <c r="G876" s="250"/>
      <c r="H876" s="266"/>
      <c r="I876" s="286" t="s">
        <v>86</v>
      </c>
      <c r="J876" s="286"/>
    </row>
    <row r="877" spans="1:11" ht="20.45" customHeight="1" x14ac:dyDescent="0.6">
      <c r="A877" s="286" t="str">
        <f>VLOOKUP(K877,임금대장!$A$3:$AH$86,3,0)</f>
        <v>핫/즉석</v>
      </c>
      <c r="B877" s="286"/>
      <c r="C877" s="286"/>
      <c r="D877" s="287" t="str">
        <f>VLOOKUP(K877,임금대장!$A$3:$AH$86,2,0)</f>
        <v>남궁현</v>
      </c>
      <c r="E877" s="287"/>
      <c r="F877" s="267">
        <f>임금대장!$O$3</f>
        <v>31</v>
      </c>
      <c r="G877" s="269"/>
      <c r="H877" s="268"/>
      <c r="I877" s="288">
        <f>VLOOKUP(K877,임금대장!$A$3:$AH$86,16,0)</f>
        <v>12</v>
      </c>
      <c r="J877" s="288"/>
      <c r="K877" s="30">
        <v>39</v>
      </c>
    </row>
    <row r="878" spans="1:11" ht="20.45" customHeight="1" x14ac:dyDescent="0.6">
      <c r="A878" s="286" t="s">
        <v>87</v>
      </c>
      <c r="B878" s="286"/>
      <c r="C878" s="286" t="s">
        <v>5</v>
      </c>
      <c r="D878" s="289">
        <f>VLOOKUP($K877,임금대장!$A$3:$AH$86,5,0)</f>
        <v>46035</v>
      </c>
      <c r="E878" s="289"/>
      <c r="F878" s="114" t="s">
        <v>88</v>
      </c>
      <c r="G878" s="292">
        <f>VLOOKUP(K877,임금대장!$A$3:$AH$86,15,0)</f>
        <v>19</v>
      </c>
      <c r="H878" s="293"/>
      <c r="I878" s="286" t="s">
        <v>89</v>
      </c>
      <c r="J878" s="290">
        <f>VLOOKUP(K877,임금대장!$A$3:$AH$86,17,0)</f>
        <v>1277410</v>
      </c>
    </row>
    <row r="879" spans="1:11" ht="20.45" customHeight="1" x14ac:dyDescent="0.6">
      <c r="A879" s="294">
        <f>VLOOKUP($K877,임금대장!$A$3:$AH$86,7,0)</f>
        <v>3300000</v>
      </c>
      <c r="B879" s="294"/>
      <c r="C879" s="286"/>
      <c r="D879" s="289"/>
      <c r="E879" s="289"/>
      <c r="F879" s="115" t="s">
        <v>90</v>
      </c>
      <c r="G879" s="284">
        <f>VLOOKUP(K877,임금대장!$A$3:$AH$86,16,0)</f>
        <v>12</v>
      </c>
      <c r="H879" s="285"/>
      <c r="I879" s="286"/>
      <c r="J879" s="290"/>
    </row>
    <row r="880" spans="1:11" ht="20.45" customHeight="1" x14ac:dyDescent="0.6">
      <c r="F880" s="250"/>
      <c r="G880" s="250"/>
    </row>
    <row r="881" spans="1:10" ht="20.45" customHeight="1" x14ac:dyDescent="0.6">
      <c r="A881" s="251" t="s">
        <v>91</v>
      </c>
      <c r="B881" s="69" t="s">
        <v>20</v>
      </c>
      <c r="C881" s="25">
        <f>VLOOKUP($K877,임금대장!$A$3:$AH$86,9,0)</f>
        <v>2370104</v>
      </c>
      <c r="D881" s="33"/>
      <c r="E881" s="69"/>
      <c r="F881" s="254"/>
      <c r="G881" s="255"/>
      <c r="H881" s="168"/>
      <c r="I881" s="33"/>
      <c r="J881" s="34"/>
    </row>
    <row r="882" spans="1:10" ht="20.45" customHeight="1" x14ac:dyDescent="0.6">
      <c r="A882" s="252"/>
      <c r="B882" s="67" t="s">
        <v>21</v>
      </c>
      <c r="C882" s="35">
        <f>VLOOKUP($K877,임금대장!$A$3:$AH$86,10,0)</f>
        <v>739381</v>
      </c>
      <c r="D882" s="36"/>
      <c r="E882" s="67"/>
      <c r="F882" s="256"/>
      <c r="G882" s="257"/>
      <c r="H882" s="169"/>
      <c r="I882" s="36"/>
      <c r="J882" s="37"/>
    </row>
    <row r="883" spans="1:10" ht="20.45" customHeight="1" x14ac:dyDescent="0.6">
      <c r="A883" s="252"/>
      <c r="B883" s="52" t="s">
        <v>92</v>
      </c>
      <c r="C883" s="35">
        <f>VLOOKUP($K877,임금대장!$A$3:$AH$86,11,0)</f>
        <v>99794</v>
      </c>
      <c r="D883" s="36"/>
      <c r="E883" s="67"/>
      <c r="F883" s="256"/>
      <c r="G883" s="257"/>
      <c r="H883" s="169"/>
      <c r="I883" s="36"/>
      <c r="J883" s="37"/>
    </row>
    <row r="884" spans="1:10" ht="20.45" customHeight="1" x14ac:dyDescent="0.6">
      <c r="A884" s="252"/>
      <c r="B884" s="67" t="s">
        <v>93</v>
      </c>
      <c r="C884" s="35">
        <f>VLOOKUP($K877,임금대장!$A$3:$AH$86,12,0)</f>
        <v>0</v>
      </c>
      <c r="D884" s="36"/>
      <c r="E884" s="67"/>
      <c r="F884" s="256"/>
      <c r="G884" s="257"/>
      <c r="H884" s="169"/>
      <c r="I884" s="36"/>
      <c r="J884" s="37"/>
    </row>
    <row r="885" spans="1:10" ht="20.45" customHeight="1" x14ac:dyDescent="0.6">
      <c r="A885" s="252"/>
      <c r="B885" s="67" t="s">
        <v>94</v>
      </c>
      <c r="C885" s="35">
        <f>VLOOKUP($K877,임금대장!$A$3:$AH$86,13,0)</f>
        <v>90722</v>
      </c>
      <c r="D885" s="36"/>
      <c r="E885" s="36"/>
      <c r="F885" s="258"/>
      <c r="G885" s="259"/>
      <c r="H885" s="169"/>
      <c r="I885" s="36"/>
      <c r="J885" s="37"/>
    </row>
    <row r="886" spans="1:10" ht="20.45" customHeight="1" x14ac:dyDescent="0.6">
      <c r="A886" s="252"/>
      <c r="B886" s="67" t="s">
        <v>24</v>
      </c>
      <c r="C886" s="102">
        <f>VLOOKUP($K877,임금대장!$A$3:$AH$86,14,0)</f>
        <v>0</v>
      </c>
      <c r="D886" s="36"/>
      <c r="E886" s="36"/>
      <c r="F886" s="258"/>
      <c r="G886" s="259"/>
      <c r="H886" s="169"/>
      <c r="I886" s="36"/>
      <c r="J886" s="37"/>
    </row>
    <row r="887" spans="1:10" ht="20.45" customHeight="1" x14ac:dyDescent="0.6">
      <c r="A887" s="252"/>
      <c r="B887" s="67"/>
      <c r="C887" s="35"/>
      <c r="D887" s="36"/>
      <c r="E887" s="36"/>
      <c r="F887" s="258"/>
      <c r="G887" s="259"/>
      <c r="H887" s="169"/>
      <c r="I887" s="36"/>
      <c r="J887" s="37"/>
    </row>
    <row r="888" spans="1:10" ht="20.45" customHeight="1" x14ac:dyDescent="0.6">
      <c r="A888" s="252"/>
      <c r="B888" s="67"/>
      <c r="C888" s="35"/>
      <c r="D888" s="36"/>
      <c r="E888" s="36"/>
      <c r="F888" s="258"/>
      <c r="G888" s="259"/>
      <c r="H888" s="169"/>
      <c r="I888" s="36"/>
      <c r="J888" s="37"/>
    </row>
    <row r="889" spans="1:10" ht="20.45" customHeight="1" x14ac:dyDescent="0.6">
      <c r="A889" s="253"/>
      <c r="B889" s="68"/>
      <c r="C889" s="39"/>
      <c r="D889" s="40"/>
      <c r="E889" s="40"/>
      <c r="F889" s="260"/>
      <c r="G889" s="261"/>
      <c r="H889" s="170"/>
      <c r="I889" s="68" t="s">
        <v>95</v>
      </c>
      <c r="J889" s="41">
        <f>SUM(C881:H887)</f>
        <v>3300001</v>
      </c>
    </row>
    <row r="890" spans="1:10" ht="20.45" customHeight="1" x14ac:dyDescent="0.6">
      <c r="A890" s="251" t="s">
        <v>96</v>
      </c>
      <c r="B890" s="36" t="s">
        <v>97</v>
      </c>
      <c r="C890" s="35">
        <f>VLOOKUP($K877,임금대장!$A$3:$AH$86,25,0)</f>
        <v>19850</v>
      </c>
      <c r="D890" s="33"/>
      <c r="E890" s="42"/>
      <c r="F890" s="262" t="s">
        <v>14</v>
      </c>
      <c r="G890" s="263"/>
      <c r="H890" s="169">
        <f>VLOOKUP($K877,임금대장!$A$3:$AH$86,19,0)</f>
        <v>0</v>
      </c>
      <c r="I890" s="33"/>
      <c r="J890" s="34"/>
    </row>
    <row r="891" spans="1:10" ht="20.45" customHeight="1" x14ac:dyDescent="0.6">
      <c r="A891" s="252"/>
      <c r="B891" s="36" t="s">
        <v>98</v>
      </c>
      <c r="C891" s="35">
        <f>VLOOKUP($K877,임금대장!$A$3:$AH$86,26,0)</f>
        <v>1980</v>
      </c>
      <c r="D891" s="36"/>
      <c r="E891" s="43"/>
      <c r="F891" s="258" t="s">
        <v>12</v>
      </c>
      <c r="G891" s="259"/>
      <c r="H891" s="169">
        <f>VLOOKUP($K877,임금대장!$A$3:$AH$86,17,0)</f>
        <v>1277410</v>
      </c>
      <c r="I891" s="36"/>
      <c r="J891" s="37"/>
    </row>
    <row r="892" spans="1:10" ht="20.45" customHeight="1" x14ac:dyDescent="0.6">
      <c r="A892" s="252"/>
      <c r="B892" s="36" t="s">
        <v>99</v>
      </c>
      <c r="C892" s="35">
        <f>VLOOKUP($K877,임금대장!$A$3:$AH$86,27,0)</f>
        <v>0</v>
      </c>
      <c r="D892" s="36"/>
      <c r="E892" s="44"/>
      <c r="F892" s="258" t="s">
        <v>100</v>
      </c>
      <c r="G892" s="259"/>
      <c r="H892" s="169">
        <f>VLOOKUP($K877,임금대장!$A$3:$AH$86,31,0)</f>
        <v>0</v>
      </c>
      <c r="I892" s="36"/>
      <c r="J892" s="37"/>
    </row>
    <row r="893" spans="1:10" ht="20.45" customHeight="1" x14ac:dyDescent="0.6">
      <c r="A893" s="252"/>
      <c r="B893" s="36" t="s">
        <v>101</v>
      </c>
      <c r="C893" s="35">
        <f>VLOOKUP($K877,임금대장!$A$3:$AH$86,28,0)</f>
        <v>0</v>
      </c>
      <c r="D893" s="36"/>
      <c r="E893" s="43"/>
      <c r="F893" s="258" t="s">
        <v>102</v>
      </c>
      <c r="G893" s="259"/>
      <c r="H893" s="169">
        <f>VLOOKUP($K877,임금대장!$A$3:$AH$86,30,0)</f>
        <v>18200</v>
      </c>
      <c r="I893" s="36"/>
      <c r="J893" s="37"/>
    </row>
    <row r="894" spans="1:10" ht="20.45" customHeight="1" x14ac:dyDescent="0.6">
      <c r="A894" s="252"/>
      <c r="B894" s="36" t="s">
        <v>31</v>
      </c>
      <c r="C894" s="35">
        <f>VLOOKUP($K877,임금대장!$A$3:$AH$86,29,0)</f>
        <v>0</v>
      </c>
      <c r="D894" s="36"/>
      <c r="E894" s="43"/>
      <c r="F894" s="258" t="s">
        <v>328</v>
      </c>
      <c r="G894" s="259"/>
      <c r="H894" s="169">
        <f>VLOOKUP($K877,임금대장!$A$3:$AH$86,32,0)</f>
        <v>0</v>
      </c>
      <c r="I894" s="67" t="s">
        <v>103</v>
      </c>
      <c r="J894" s="47">
        <f>SUM(C890:H895)</f>
        <v>1317440</v>
      </c>
    </row>
    <row r="895" spans="1:10" ht="20.45" customHeight="1" x14ac:dyDescent="0.6">
      <c r="A895" s="253"/>
      <c r="B895" s="40"/>
      <c r="C895" s="101"/>
      <c r="D895" s="40"/>
      <c r="E895" s="48"/>
      <c r="F895" s="260"/>
      <c r="G895" s="261"/>
      <c r="H895" s="170"/>
      <c r="I895" s="68" t="s">
        <v>104</v>
      </c>
      <c r="J895" s="49">
        <f>J889-J894</f>
        <v>1982561</v>
      </c>
    </row>
    <row r="896" spans="1:10" ht="20.45" customHeight="1" x14ac:dyDescent="0.6">
      <c r="A896" s="50" t="s">
        <v>105</v>
      </c>
      <c r="J896" s="51" t="s">
        <v>0</v>
      </c>
    </row>
    <row r="897" spans="1:11" ht="20.45" customHeight="1" x14ac:dyDescent="0.6">
      <c r="A897" s="50"/>
      <c r="J897" s="51"/>
    </row>
    <row r="898" spans="1:11" ht="20.45" customHeight="1" x14ac:dyDescent="0.6">
      <c r="A898" s="264" t="s">
        <v>399</v>
      </c>
      <c r="B898" s="264"/>
      <c r="C898" s="264"/>
      <c r="D898" s="264"/>
      <c r="E898" s="264"/>
      <c r="F898" s="264"/>
      <c r="G898" s="264"/>
      <c r="H898" s="264"/>
      <c r="I898" s="264"/>
      <c r="J898" s="264"/>
    </row>
    <row r="899" spans="1:11" ht="20.45" customHeight="1" x14ac:dyDescent="0.6">
      <c r="A899" s="286" t="s">
        <v>83</v>
      </c>
      <c r="B899" s="286"/>
      <c r="C899" s="286"/>
      <c r="D899" s="286" t="s">
        <v>84</v>
      </c>
      <c r="E899" s="286"/>
      <c r="F899" s="265" t="s">
        <v>85</v>
      </c>
      <c r="G899" s="250"/>
      <c r="H899" s="266"/>
      <c r="I899" s="286" t="s">
        <v>86</v>
      </c>
      <c r="J899" s="286"/>
    </row>
    <row r="900" spans="1:11" ht="20.45" customHeight="1" x14ac:dyDescent="0.6">
      <c r="A900" s="286" t="str">
        <f>VLOOKUP(K900,임금대장!$A$6:$AH$86,3,0)</f>
        <v>파트</v>
      </c>
      <c r="B900" s="286"/>
      <c r="C900" s="286"/>
      <c r="D900" s="287" t="str">
        <f>VLOOKUP(K900,임금대장!$A$6:$AH$86,2,0)</f>
        <v>홍이준</v>
      </c>
      <c r="E900" s="287"/>
      <c r="F900" s="267">
        <f>임금대장!$O$3</f>
        <v>31</v>
      </c>
      <c r="G900" s="269"/>
      <c r="H900" s="268"/>
      <c r="I900" s="288">
        <f>VLOOKUP(K900,임금대장!$A$6:$AH$86,16,0)</f>
        <v>0</v>
      </c>
      <c r="J900" s="288"/>
      <c r="K900" s="30">
        <v>40</v>
      </c>
    </row>
    <row r="901" spans="1:11" ht="20.45" customHeight="1" x14ac:dyDescent="0.6">
      <c r="A901" s="286" t="s">
        <v>107</v>
      </c>
      <c r="B901" s="286"/>
      <c r="C901" s="286" t="s">
        <v>5</v>
      </c>
      <c r="D901" s="289"/>
      <c r="E901" s="289"/>
      <c r="F901" s="114" t="s">
        <v>108</v>
      </c>
      <c r="G901" s="278">
        <f>VLOOKUP(K900,임금대장!$A$6:$AH$86,15,0)</f>
        <v>80.5</v>
      </c>
      <c r="H901" s="279"/>
      <c r="I901" s="286" t="s">
        <v>89</v>
      </c>
      <c r="J901" s="290">
        <f>VLOOKUP(K900,임금대장!$A$6:$AH$86,17,0)</f>
        <v>0</v>
      </c>
    </row>
    <row r="902" spans="1:11" ht="20.45" customHeight="1" x14ac:dyDescent="0.6">
      <c r="A902" s="291">
        <f>C904/G901</f>
        <v>13000</v>
      </c>
      <c r="B902" s="291"/>
      <c r="C902" s="286"/>
      <c r="D902" s="289"/>
      <c r="E902" s="289"/>
      <c r="F902" s="115" t="s">
        <v>90</v>
      </c>
      <c r="G902" s="284">
        <f>VLOOKUP(K900,임금대장!$A$6:$AH$86,16,0)</f>
        <v>0</v>
      </c>
      <c r="H902" s="285"/>
      <c r="I902" s="286"/>
      <c r="J902" s="290"/>
    </row>
    <row r="903" spans="1:11" ht="20.45" customHeight="1" x14ac:dyDescent="0.6">
      <c r="F903" s="250"/>
      <c r="G903" s="250"/>
    </row>
    <row r="904" spans="1:11" ht="20.45" customHeight="1" x14ac:dyDescent="0.6">
      <c r="A904" s="251" t="s">
        <v>91</v>
      </c>
      <c r="B904" s="69" t="s">
        <v>109</v>
      </c>
      <c r="C904" s="25">
        <f>VLOOKUP($K900,임금대장!$A$6:$AH$86,9,0)</f>
        <v>1046500</v>
      </c>
      <c r="D904" s="33" t="s">
        <v>110</v>
      </c>
      <c r="E904" s="69"/>
      <c r="F904" s="254"/>
      <c r="G904" s="255"/>
      <c r="H904" s="168"/>
      <c r="I904" s="33"/>
      <c r="J904" s="34"/>
    </row>
    <row r="905" spans="1:11" ht="20.45" customHeight="1" x14ac:dyDescent="0.6">
      <c r="A905" s="252"/>
      <c r="B905" s="67"/>
      <c r="C905" s="35"/>
      <c r="D905" s="36"/>
      <c r="E905" s="67"/>
      <c r="F905" s="256"/>
      <c r="G905" s="257"/>
      <c r="H905" s="169"/>
      <c r="I905" s="36"/>
      <c r="J905" s="37"/>
    </row>
    <row r="906" spans="1:11" ht="20.45" customHeight="1" x14ac:dyDescent="0.6">
      <c r="A906" s="252"/>
      <c r="B906" s="52"/>
      <c r="C906" s="35"/>
      <c r="D906" s="36"/>
      <c r="E906" s="67"/>
      <c r="F906" s="256"/>
      <c r="G906" s="257"/>
      <c r="H906" s="169"/>
      <c r="I906" s="36"/>
      <c r="J906" s="37"/>
    </row>
    <row r="907" spans="1:11" ht="20.45" customHeight="1" x14ac:dyDescent="0.6">
      <c r="A907" s="252"/>
      <c r="B907" s="67"/>
      <c r="C907" s="35"/>
      <c r="D907" s="36"/>
      <c r="E907" s="67"/>
      <c r="F907" s="256"/>
      <c r="G907" s="257"/>
      <c r="H907" s="169"/>
      <c r="I907" s="36"/>
      <c r="J907" s="37"/>
    </row>
    <row r="908" spans="1:11" ht="20.45" customHeight="1" x14ac:dyDescent="0.6">
      <c r="A908" s="252"/>
      <c r="B908" s="67"/>
      <c r="C908" s="35"/>
      <c r="D908" s="36"/>
      <c r="E908" s="36"/>
      <c r="F908" s="258"/>
      <c r="G908" s="259"/>
      <c r="H908" s="169"/>
      <c r="I908" s="36"/>
      <c r="J908" s="37"/>
    </row>
    <row r="909" spans="1:11" ht="20.45" customHeight="1" x14ac:dyDescent="0.6">
      <c r="A909" s="252"/>
      <c r="B909" s="67"/>
      <c r="C909" s="102"/>
      <c r="D909" s="36"/>
      <c r="E909" s="36"/>
      <c r="F909" s="258"/>
      <c r="G909" s="259"/>
      <c r="H909" s="169"/>
      <c r="I909" s="36"/>
      <c r="J909" s="37"/>
    </row>
    <row r="910" spans="1:11" ht="20.45" customHeight="1" x14ac:dyDescent="0.6">
      <c r="A910" s="252"/>
      <c r="B910" s="67"/>
      <c r="C910" s="35"/>
      <c r="D910" s="36"/>
      <c r="E910" s="36"/>
      <c r="F910" s="258"/>
      <c r="G910" s="259"/>
      <c r="H910" s="169"/>
      <c r="I910" s="36"/>
      <c r="J910" s="37"/>
    </row>
    <row r="911" spans="1:11" ht="20.45" customHeight="1" x14ac:dyDescent="0.6">
      <c r="A911" s="252"/>
      <c r="B911" s="67"/>
      <c r="C911" s="35"/>
      <c r="D911" s="36"/>
      <c r="E911" s="36"/>
      <c r="F911" s="258"/>
      <c r="G911" s="259"/>
      <c r="H911" s="169"/>
      <c r="I911" s="36"/>
      <c r="J911" s="37"/>
    </row>
    <row r="912" spans="1:11" ht="20.45" customHeight="1" x14ac:dyDescent="0.6">
      <c r="A912" s="253"/>
      <c r="B912" s="68"/>
      <c r="C912" s="39"/>
      <c r="D912" s="40"/>
      <c r="E912" s="40"/>
      <c r="F912" s="260"/>
      <c r="G912" s="261"/>
      <c r="H912" s="170"/>
      <c r="I912" s="68" t="s">
        <v>95</v>
      </c>
      <c r="J912" s="41">
        <f>SUM(C904:H910)</f>
        <v>1046500</v>
      </c>
    </row>
    <row r="913" spans="1:11" ht="20.45" customHeight="1" x14ac:dyDescent="0.6">
      <c r="A913" s="251" t="s">
        <v>96</v>
      </c>
      <c r="B913" s="36" t="s">
        <v>97</v>
      </c>
      <c r="C913" s="35">
        <f>VLOOKUP($K900,임금대장!$A$6:$AH$86,25,0)</f>
        <v>31390</v>
      </c>
      <c r="D913" s="33"/>
      <c r="E913" s="42"/>
      <c r="F913" s="262" t="s">
        <v>14</v>
      </c>
      <c r="G913" s="263"/>
      <c r="H913" s="169">
        <f>VLOOKUP($K900,임금대장!$A$6:$AH$86,19,0)</f>
        <v>0</v>
      </c>
      <c r="I913" s="33"/>
      <c r="J913" s="34"/>
    </row>
    <row r="914" spans="1:11" ht="20.45" customHeight="1" x14ac:dyDescent="0.6">
      <c r="A914" s="252"/>
      <c r="B914" s="36" t="s">
        <v>98</v>
      </c>
      <c r="C914" s="35">
        <f>VLOOKUP($K900,임금대장!$A$6:$AH$86,26,0)</f>
        <v>3130</v>
      </c>
      <c r="D914" s="36"/>
      <c r="E914" s="43"/>
      <c r="F914" s="258" t="s">
        <v>12</v>
      </c>
      <c r="G914" s="259"/>
      <c r="H914" s="169">
        <f>VLOOKUP($K900,임금대장!$A$6:$AH$86,17,0)</f>
        <v>0</v>
      </c>
      <c r="I914" s="36"/>
      <c r="J914" s="37"/>
    </row>
    <row r="915" spans="1:11" ht="20.45" customHeight="1" x14ac:dyDescent="0.6">
      <c r="A915" s="252"/>
      <c r="B915" s="36" t="s">
        <v>99</v>
      </c>
      <c r="C915" s="35">
        <f>VLOOKUP($K900,임금대장!$A$6:$AH$86,27,0)</f>
        <v>0</v>
      </c>
      <c r="D915" s="36"/>
      <c r="E915" s="44"/>
      <c r="F915" s="258" t="s">
        <v>100</v>
      </c>
      <c r="G915" s="259"/>
      <c r="H915" s="169">
        <f>VLOOKUP($K900,임금대장!$A$6:$AH$86,31,0)</f>
        <v>0</v>
      </c>
      <c r="I915" s="36"/>
      <c r="J915" s="37"/>
    </row>
    <row r="916" spans="1:11" ht="20.45" customHeight="1" x14ac:dyDescent="0.6">
      <c r="A916" s="252"/>
      <c r="B916" s="36" t="s">
        <v>101</v>
      </c>
      <c r="C916" s="35">
        <f>VLOOKUP($K900,임금대장!$A$6:$AH$86,28,0)</f>
        <v>0</v>
      </c>
      <c r="D916" s="36"/>
      <c r="E916" s="43"/>
      <c r="F916" s="258" t="s">
        <v>102</v>
      </c>
      <c r="G916" s="259"/>
      <c r="H916" s="169">
        <f>VLOOKUP($K900,임금대장!$A$6:$AH$86,30,0)</f>
        <v>0</v>
      </c>
      <c r="I916" s="36"/>
      <c r="J916" s="37"/>
    </row>
    <row r="917" spans="1:11" ht="20.45" customHeight="1" x14ac:dyDescent="0.6">
      <c r="A917" s="252"/>
      <c r="B917" s="36" t="s">
        <v>31</v>
      </c>
      <c r="C917" s="35">
        <f>VLOOKUP($K900,임금대장!$A$6:$AH$86,29,0)</f>
        <v>0</v>
      </c>
      <c r="D917" s="36"/>
      <c r="E917" s="43"/>
      <c r="F917" s="258" t="s">
        <v>328</v>
      </c>
      <c r="G917" s="259"/>
      <c r="H917" s="169">
        <f>VLOOKUP($K900,임금대장!$A$3:$AH$86,32,0)</f>
        <v>0</v>
      </c>
      <c r="I917" s="67" t="s">
        <v>103</v>
      </c>
      <c r="J917" s="47">
        <f>SUM(C913:H918)</f>
        <v>34520</v>
      </c>
    </row>
    <row r="918" spans="1:11" ht="20.45" customHeight="1" x14ac:dyDescent="0.6">
      <c r="A918" s="253"/>
      <c r="B918" s="40"/>
      <c r="C918" s="101"/>
      <c r="D918" s="40"/>
      <c r="E918" s="48"/>
      <c r="F918" s="260"/>
      <c r="G918" s="261"/>
      <c r="H918" s="170"/>
      <c r="I918" s="68" t="s">
        <v>104</v>
      </c>
      <c r="J918" s="49">
        <f>J912-J917</f>
        <v>1011980</v>
      </c>
    </row>
    <row r="919" spans="1:11" ht="20.45" customHeight="1" x14ac:dyDescent="0.6">
      <c r="A919" s="50" t="s">
        <v>105</v>
      </c>
      <c r="J919" s="51" t="s">
        <v>0</v>
      </c>
    </row>
    <row r="920" spans="1:11" ht="20.45" customHeight="1" x14ac:dyDescent="0.6">
      <c r="A920" s="50"/>
      <c r="J920" s="51"/>
    </row>
    <row r="921" spans="1:11" ht="20.45" customHeight="1" x14ac:dyDescent="0.6">
      <c r="A921" s="264" t="s">
        <v>399</v>
      </c>
      <c r="B921" s="264"/>
      <c r="C921" s="264"/>
      <c r="D921" s="264"/>
      <c r="E921" s="264"/>
      <c r="F921" s="264"/>
      <c r="G921" s="264"/>
      <c r="H921" s="264"/>
      <c r="I921" s="264"/>
      <c r="J921" s="264"/>
    </row>
    <row r="922" spans="1:11" ht="20.45" customHeight="1" x14ac:dyDescent="0.6">
      <c r="A922" s="286" t="s">
        <v>83</v>
      </c>
      <c r="B922" s="286"/>
      <c r="C922" s="286"/>
      <c r="D922" s="286" t="s">
        <v>84</v>
      </c>
      <c r="E922" s="286"/>
      <c r="F922" s="265" t="s">
        <v>85</v>
      </c>
      <c r="G922" s="250"/>
      <c r="H922" s="266"/>
      <c r="I922" s="286" t="s">
        <v>86</v>
      </c>
      <c r="J922" s="286"/>
    </row>
    <row r="923" spans="1:11" ht="20.45" customHeight="1" x14ac:dyDescent="0.6">
      <c r="A923" s="286" t="str">
        <f>VLOOKUP(K923,임금대장!$A$6:$AH$86,3,0)</f>
        <v>파트</v>
      </c>
      <c r="B923" s="286"/>
      <c r="C923" s="286"/>
      <c r="D923" s="287" t="str">
        <f>VLOOKUP(K923,임금대장!$A$6:$AH$86,2,0)</f>
        <v>박경찬</v>
      </c>
      <c r="E923" s="287"/>
      <c r="F923" s="267">
        <f>임금대장!$O$3</f>
        <v>31</v>
      </c>
      <c r="G923" s="269"/>
      <c r="H923" s="268"/>
      <c r="I923" s="288">
        <f>VLOOKUP(K923,임금대장!$A$6:$AH$86,16,0)</f>
        <v>0</v>
      </c>
      <c r="J923" s="288"/>
      <c r="K923" s="30">
        <v>41</v>
      </c>
    </row>
    <row r="924" spans="1:11" ht="20.45" customHeight="1" x14ac:dyDescent="0.6">
      <c r="A924" s="286" t="s">
        <v>107</v>
      </c>
      <c r="B924" s="286"/>
      <c r="C924" s="286" t="s">
        <v>5</v>
      </c>
      <c r="D924" s="289"/>
      <c r="E924" s="289"/>
      <c r="F924" s="114" t="s">
        <v>108</v>
      </c>
      <c r="G924" s="278">
        <f>VLOOKUP(K923,임금대장!$A$6:$AH$86,15,0)</f>
        <v>84</v>
      </c>
      <c r="H924" s="279"/>
      <c r="I924" s="286" t="s">
        <v>89</v>
      </c>
      <c r="J924" s="290">
        <f>VLOOKUP(K923,임금대장!$A$6:$AH$86,17,0)</f>
        <v>0</v>
      </c>
    </row>
    <row r="925" spans="1:11" ht="20.45" customHeight="1" x14ac:dyDescent="0.6">
      <c r="A925" s="291">
        <f>C927/G924</f>
        <v>13000</v>
      </c>
      <c r="B925" s="291"/>
      <c r="C925" s="286"/>
      <c r="D925" s="289"/>
      <c r="E925" s="289"/>
      <c r="F925" s="115" t="s">
        <v>90</v>
      </c>
      <c r="G925" s="284">
        <f>VLOOKUP(K923,임금대장!$A$6:$AH$86,16,0)</f>
        <v>0</v>
      </c>
      <c r="H925" s="285"/>
      <c r="I925" s="286"/>
      <c r="J925" s="290"/>
    </row>
    <row r="926" spans="1:11" ht="20.45" customHeight="1" x14ac:dyDescent="0.6">
      <c r="F926" s="250"/>
      <c r="G926" s="250"/>
    </row>
    <row r="927" spans="1:11" ht="20.45" customHeight="1" x14ac:dyDescent="0.6">
      <c r="A927" s="251" t="s">
        <v>91</v>
      </c>
      <c r="B927" s="69" t="s">
        <v>109</v>
      </c>
      <c r="C927" s="25">
        <f>VLOOKUP($K923,임금대장!$A$6:$AH$86,9,0)</f>
        <v>1092000</v>
      </c>
      <c r="D927" s="33" t="s">
        <v>110</v>
      </c>
      <c r="E927" s="69"/>
      <c r="F927" s="254"/>
      <c r="G927" s="255"/>
      <c r="H927" s="168"/>
      <c r="I927" s="33"/>
      <c r="J927" s="34"/>
    </row>
    <row r="928" spans="1:11" ht="20.45" customHeight="1" x14ac:dyDescent="0.6">
      <c r="A928" s="252"/>
      <c r="B928" s="67"/>
      <c r="C928" s="35"/>
      <c r="D928" s="36"/>
      <c r="E928" s="67"/>
      <c r="F928" s="256"/>
      <c r="G928" s="257"/>
      <c r="H928" s="169"/>
      <c r="I928" s="36"/>
      <c r="J928" s="37"/>
    </row>
    <row r="929" spans="1:10" ht="20.45" customHeight="1" x14ac:dyDescent="0.6">
      <c r="A929" s="252"/>
      <c r="B929" s="52"/>
      <c r="C929" s="35"/>
      <c r="D929" s="36"/>
      <c r="E929" s="67"/>
      <c r="F929" s="256"/>
      <c r="G929" s="257"/>
      <c r="H929" s="169"/>
      <c r="I929" s="36"/>
      <c r="J929" s="37"/>
    </row>
    <row r="930" spans="1:10" ht="20.45" customHeight="1" x14ac:dyDescent="0.6">
      <c r="A930" s="252"/>
      <c r="B930" s="67"/>
      <c r="C930" s="35"/>
      <c r="D930" s="36"/>
      <c r="E930" s="67"/>
      <c r="F930" s="256"/>
      <c r="G930" s="257"/>
      <c r="H930" s="169"/>
      <c r="I930" s="36"/>
      <c r="J930" s="37"/>
    </row>
    <row r="931" spans="1:10" ht="20.45" customHeight="1" x14ac:dyDescent="0.6">
      <c r="A931" s="252"/>
      <c r="B931" s="67"/>
      <c r="C931" s="35"/>
      <c r="D931" s="36"/>
      <c r="E931" s="36"/>
      <c r="F931" s="258"/>
      <c r="G931" s="259"/>
      <c r="H931" s="169"/>
      <c r="I931" s="36"/>
      <c r="J931" s="37"/>
    </row>
    <row r="932" spans="1:10" ht="20.45" customHeight="1" x14ac:dyDescent="0.6">
      <c r="A932" s="252"/>
      <c r="B932" s="67"/>
      <c r="C932" s="102"/>
      <c r="D932" s="36"/>
      <c r="E932" s="36"/>
      <c r="F932" s="258"/>
      <c r="G932" s="259"/>
      <c r="H932" s="169"/>
      <c r="I932" s="36"/>
      <c r="J932" s="37"/>
    </row>
    <row r="933" spans="1:10" ht="20.45" customHeight="1" x14ac:dyDescent="0.6">
      <c r="A933" s="252"/>
      <c r="B933" s="67"/>
      <c r="C933" s="35"/>
      <c r="D933" s="36"/>
      <c r="E933" s="36"/>
      <c r="F933" s="258"/>
      <c r="G933" s="259"/>
      <c r="H933" s="169"/>
      <c r="I933" s="36"/>
      <c r="J933" s="37"/>
    </row>
    <row r="934" spans="1:10" ht="20.45" customHeight="1" x14ac:dyDescent="0.6">
      <c r="A934" s="252"/>
      <c r="B934" s="67"/>
      <c r="C934" s="35"/>
      <c r="D934" s="36"/>
      <c r="E934" s="36"/>
      <c r="F934" s="258"/>
      <c r="G934" s="259"/>
      <c r="H934" s="169"/>
      <c r="I934" s="36"/>
      <c r="J934" s="37"/>
    </row>
    <row r="935" spans="1:10" ht="20.45" customHeight="1" x14ac:dyDescent="0.6">
      <c r="A935" s="253"/>
      <c r="B935" s="68"/>
      <c r="C935" s="39"/>
      <c r="D935" s="40"/>
      <c r="E935" s="40"/>
      <c r="F935" s="260"/>
      <c r="G935" s="261"/>
      <c r="H935" s="170"/>
      <c r="I935" s="68" t="s">
        <v>95</v>
      </c>
      <c r="J935" s="41">
        <f>SUM(C927:H933)</f>
        <v>1092000</v>
      </c>
    </row>
    <row r="936" spans="1:10" ht="20.45" customHeight="1" x14ac:dyDescent="0.6">
      <c r="A936" s="251" t="s">
        <v>96</v>
      </c>
      <c r="B936" s="36" t="s">
        <v>97</v>
      </c>
      <c r="C936" s="35">
        <f>VLOOKUP($K923,임금대장!$A$6:$AH$86,25,0)</f>
        <v>32760</v>
      </c>
      <c r="D936" s="33"/>
      <c r="E936" s="42"/>
      <c r="F936" s="262" t="s">
        <v>14</v>
      </c>
      <c r="G936" s="263"/>
      <c r="H936" s="169">
        <f>VLOOKUP($K923,임금대장!$A$6:$AH$86,19,0)</f>
        <v>0</v>
      </c>
      <c r="I936" s="33"/>
      <c r="J936" s="34"/>
    </row>
    <row r="937" spans="1:10" ht="20.45" customHeight="1" x14ac:dyDescent="0.6">
      <c r="A937" s="252"/>
      <c r="B937" s="36" t="s">
        <v>98</v>
      </c>
      <c r="C937" s="35">
        <f>VLOOKUP($K923,임금대장!$A$6:$AH$86,26,0)</f>
        <v>3270</v>
      </c>
      <c r="D937" s="36"/>
      <c r="E937" s="43"/>
      <c r="F937" s="258" t="s">
        <v>12</v>
      </c>
      <c r="G937" s="259"/>
      <c r="H937" s="169">
        <f>VLOOKUP($K923,임금대장!$A$6:$AH$86,17,0)</f>
        <v>0</v>
      </c>
      <c r="I937" s="36"/>
      <c r="J937" s="37"/>
    </row>
    <row r="938" spans="1:10" ht="20.45" customHeight="1" x14ac:dyDescent="0.6">
      <c r="A938" s="252"/>
      <c r="B938" s="36" t="s">
        <v>99</v>
      </c>
      <c r="C938" s="35">
        <f>VLOOKUP($K923,임금대장!$A$6:$AH$86,27,0)</f>
        <v>0</v>
      </c>
      <c r="D938" s="36"/>
      <c r="E938" s="44"/>
      <c r="F938" s="258" t="s">
        <v>100</v>
      </c>
      <c r="G938" s="259"/>
      <c r="H938" s="169">
        <f>VLOOKUP($K923,임금대장!$A$6:$AH$86,31,0)</f>
        <v>0</v>
      </c>
      <c r="I938" s="36"/>
      <c r="J938" s="37"/>
    </row>
    <row r="939" spans="1:10" ht="20.45" customHeight="1" x14ac:dyDescent="0.6">
      <c r="A939" s="252"/>
      <c r="B939" s="36" t="s">
        <v>101</v>
      </c>
      <c r="C939" s="35">
        <f>VLOOKUP($K923,임금대장!$A$6:$AH$86,28,0)</f>
        <v>0</v>
      </c>
      <c r="D939" s="36"/>
      <c r="E939" s="43"/>
      <c r="F939" s="258" t="s">
        <v>102</v>
      </c>
      <c r="G939" s="259"/>
      <c r="H939" s="169">
        <f>VLOOKUP($K923,임금대장!$A$6:$AH$86,30,0)</f>
        <v>0</v>
      </c>
      <c r="I939" s="36"/>
      <c r="J939" s="37"/>
    </row>
    <row r="940" spans="1:10" ht="20.45" customHeight="1" x14ac:dyDescent="0.6">
      <c r="A940" s="252"/>
      <c r="B940" s="36" t="s">
        <v>31</v>
      </c>
      <c r="C940" s="35">
        <f>VLOOKUP($K923,임금대장!$A$6:$AH$86,29,0)</f>
        <v>0</v>
      </c>
      <c r="D940" s="36"/>
      <c r="E940" s="43"/>
      <c r="F940" s="258" t="s">
        <v>328</v>
      </c>
      <c r="G940" s="259"/>
      <c r="H940" s="169">
        <f>VLOOKUP($K923,임금대장!$A$3:$AH$86,32,0)</f>
        <v>0</v>
      </c>
      <c r="I940" s="67" t="s">
        <v>103</v>
      </c>
      <c r="J940" s="47">
        <f>SUM(C936:H941)</f>
        <v>36030</v>
      </c>
    </row>
    <row r="941" spans="1:10" ht="20.45" customHeight="1" x14ac:dyDescent="0.6">
      <c r="A941" s="253"/>
      <c r="B941" s="40"/>
      <c r="C941" s="101"/>
      <c r="D941" s="40"/>
      <c r="E941" s="48"/>
      <c r="F941" s="260"/>
      <c r="G941" s="261"/>
      <c r="H941" s="170"/>
      <c r="I941" s="68" t="s">
        <v>104</v>
      </c>
      <c r="J941" s="49">
        <f>J935-J940</f>
        <v>1055970</v>
      </c>
    </row>
    <row r="942" spans="1:10" ht="20.45" customHeight="1" x14ac:dyDescent="0.6">
      <c r="A942" s="50" t="s">
        <v>105</v>
      </c>
      <c r="J942" s="51" t="s">
        <v>0</v>
      </c>
    </row>
    <row r="943" spans="1:10" ht="20.45" customHeight="1" x14ac:dyDescent="0.6">
      <c r="A943" s="50"/>
      <c r="J943" s="51"/>
    </row>
    <row r="944" spans="1:10" ht="20.45" customHeight="1" x14ac:dyDescent="0.6">
      <c r="A944" s="264" t="s">
        <v>399</v>
      </c>
      <c r="B944" s="264"/>
      <c r="C944" s="264"/>
      <c r="D944" s="264"/>
      <c r="E944" s="264"/>
      <c r="F944" s="264"/>
      <c r="G944" s="264"/>
      <c r="H944" s="264"/>
      <c r="I944" s="264"/>
      <c r="J944" s="264"/>
    </row>
    <row r="945" spans="1:11" ht="20.45" customHeight="1" x14ac:dyDescent="0.6">
      <c r="A945" s="286" t="s">
        <v>83</v>
      </c>
      <c r="B945" s="286"/>
      <c r="C945" s="286"/>
      <c r="D945" s="286" t="s">
        <v>84</v>
      </c>
      <c r="E945" s="286"/>
      <c r="F945" s="265" t="s">
        <v>85</v>
      </c>
      <c r="G945" s="250"/>
      <c r="H945" s="266"/>
      <c r="I945" s="286" t="s">
        <v>86</v>
      </c>
      <c r="J945" s="286"/>
    </row>
    <row r="946" spans="1:11" ht="20.45" customHeight="1" x14ac:dyDescent="0.6">
      <c r="A946" s="286" t="str">
        <f>VLOOKUP(K946,임금대장!$A$6:$AH$86,3,0)</f>
        <v>파트</v>
      </c>
      <c r="B946" s="286"/>
      <c r="C946" s="286"/>
      <c r="D946" s="287" t="str">
        <f>VLOOKUP(K946,임금대장!$A$6:$AH$86,2,0)</f>
        <v>최예림</v>
      </c>
      <c r="E946" s="287"/>
      <c r="F946" s="267">
        <f>임금대장!$O$3</f>
        <v>31</v>
      </c>
      <c r="G946" s="269"/>
      <c r="H946" s="268"/>
      <c r="I946" s="288">
        <f>VLOOKUP(K946,임금대장!$A$6:$AH$86,16,0)</f>
        <v>0</v>
      </c>
      <c r="J946" s="288"/>
      <c r="K946" s="30">
        <v>42</v>
      </c>
    </row>
    <row r="947" spans="1:11" ht="20.45" customHeight="1" x14ac:dyDescent="0.6">
      <c r="A947" s="286" t="s">
        <v>107</v>
      </c>
      <c r="B947" s="286"/>
      <c r="C947" s="286" t="s">
        <v>5</v>
      </c>
      <c r="D947" s="289"/>
      <c r="E947" s="289"/>
      <c r="F947" s="114" t="s">
        <v>108</v>
      </c>
      <c r="G947" s="278">
        <f>VLOOKUP(K946,임금대장!$A$6:$AH$86,15,0)</f>
        <v>73</v>
      </c>
      <c r="H947" s="279"/>
      <c r="I947" s="286" t="s">
        <v>89</v>
      </c>
      <c r="J947" s="290">
        <f>VLOOKUP(K946,임금대장!$A$6:$AH$86,17,0)</f>
        <v>0</v>
      </c>
    </row>
    <row r="948" spans="1:11" ht="20.45" customHeight="1" x14ac:dyDescent="0.6">
      <c r="A948" s="291">
        <f>C950/G947</f>
        <v>13000</v>
      </c>
      <c r="B948" s="291"/>
      <c r="C948" s="286"/>
      <c r="D948" s="289"/>
      <c r="E948" s="289"/>
      <c r="F948" s="115" t="s">
        <v>90</v>
      </c>
      <c r="G948" s="284">
        <f>VLOOKUP(K946,임금대장!$A$6:$AH$86,16,0)</f>
        <v>0</v>
      </c>
      <c r="H948" s="285"/>
      <c r="I948" s="286"/>
      <c r="J948" s="290"/>
    </row>
    <row r="949" spans="1:11" ht="20.45" customHeight="1" x14ac:dyDescent="0.6">
      <c r="F949" s="250"/>
      <c r="G949" s="250"/>
    </row>
    <row r="950" spans="1:11" ht="20.45" customHeight="1" x14ac:dyDescent="0.6">
      <c r="A950" s="251" t="s">
        <v>91</v>
      </c>
      <c r="B950" s="69" t="s">
        <v>109</v>
      </c>
      <c r="C950" s="25">
        <f>VLOOKUP($K946,임금대장!$A$6:$AH$86,9,0)</f>
        <v>949000</v>
      </c>
      <c r="D950" s="33" t="s">
        <v>110</v>
      </c>
      <c r="E950" s="69"/>
      <c r="F950" s="254"/>
      <c r="G950" s="255"/>
      <c r="H950" s="168"/>
      <c r="I950" s="33"/>
      <c r="J950" s="34"/>
    </row>
    <row r="951" spans="1:11" ht="20.45" customHeight="1" x14ac:dyDescent="0.6">
      <c r="A951" s="252"/>
      <c r="B951" s="67"/>
      <c r="C951" s="35"/>
      <c r="D951" s="36"/>
      <c r="E951" s="67"/>
      <c r="F951" s="256"/>
      <c r="G951" s="257"/>
      <c r="H951" s="169"/>
      <c r="I951" s="36"/>
      <c r="J951" s="37"/>
    </row>
    <row r="952" spans="1:11" ht="20.45" customHeight="1" x14ac:dyDescent="0.6">
      <c r="A952" s="252"/>
      <c r="B952" s="52"/>
      <c r="C952" s="35"/>
      <c r="D952" s="36"/>
      <c r="E952" s="67"/>
      <c r="F952" s="256"/>
      <c r="G952" s="257"/>
      <c r="H952" s="169"/>
      <c r="I952" s="36"/>
      <c r="J952" s="37"/>
    </row>
    <row r="953" spans="1:11" ht="20.45" customHeight="1" x14ac:dyDescent="0.6">
      <c r="A953" s="252"/>
      <c r="B953" s="67"/>
      <c r="C953" s="35"/>
      <c r="D953" s="36"/>
      <c r="E953" s="67"/>
      <c r="F953" s="256"/>
      <c r="G953" s="257"/>
      <c r="H953" s="169"/>
      <c r="I953" s="36"/>
      <c r="J953" s="37"/>
    </row>
    <row r="954" spans="1:11" ht="20.45" customHeight="1" x14ac:dyDescent="0.6">
      <c r="A954" s="252"/>
      <c r="B954" s="67"/>
      <c r="C954" s="35"/>
      <c r="D954" s="36"/>
      <c r="E954" s="36"/>
      <c r="F954" s="258"/>
      <c r="G954" s="259"/>
      <c r="H954" s="169"/>
      <c r="I954" s="36"/>
      <c r="J954" s="37"/>
    </row>
    <row r="955" spans="1:11" ht="20.45" customHeight="1" x14ac:dyDescent="0.6">
      <c r="A955" s="252"/>
      <c r="B955" s="67"/>
      <c r="C955" s="102"/>
      <c r="D955" s="36"/>
      <c r="E955" s="36"/>
      <c r="F955" s="258"/>
      <c r="G955" s="259"/>
      <c r="H955" s="169"/>
      <c r="I955" s="36"/>
      <c r="J955" s="37"/>
    </row>
    <row r="956" spans="1:11" ht="20.45" customHeight="1" x14ac:dyDescent="0.6">
      <c r="A956" s="252"/>
      <c r="B956" s="67"/>
      <c r="C956" s="35"/>
      <c r="D956" s="36"/>
      <c r="E956" s="36"/>
      <c r="F956" s="258"/>
      <c r="G956" s="259"/>
      <c r="H956" s="169"/>
      <c r="I956" s="36"/>
      <c r="J956" s="37"/>
    </row>
    <row r="957" spans="1:11" ht="20.45" customHeight="1" x14ac:dyDescent="0.6">
      <c r="A957" s="252"/>
      <c r="B957" s="67"/>
      <c r="C957" s="35"/>
      <c r="D957" s="36"/>
      <c r="E957" s="36"/>
      <c r="F957" s="258"/>
      <c r="G957" s="259"/>
      <c r="H957" s="169"/>
      <c r="I957" s="36"/>
      <c r="J957" s="37"/>
    </row>
    <row r="958" spans="1:11" ht="20.45" customHeight="1" x14ac:dyDescent="0.6">
      <c r="A958" s="253"/>
      <c r="B958" s="68"/>
      <c r="C958" s="39"/>
      <c r="D958" s="40"/>
      <c r="E958" s="40"/>
      <c r="F958" s="260"/>
      <c r="G958" s="261"/>
      <c r="H958" s="170"/>
      <c r="I958" s="68" t="s">
        <v>95</v>
      </c>
      <c r="J958" s="41">
        <f>SUM(C950:H956)</f>
        <v>949000</v>
      </c>
    </row>
    <row r="959" spans="1:11" ht="20.45" customHeight="1" x14ac:dyDescent="0.6">
      <c r="A959" s="251" t="s">
        <v>96</v>
      </c>
      <c r="B959" s="36" t="s">
        <v>97</v>
      </c>
      <c r="C959" s="35">
        <f>VLOOKUP($K946,임금대장!$A$6:$AH$86,25,0)</f>
        <v>28470</v>
      </c>
      <c r="D959" s="33"/>
      <c r="E959" s="42"/>
      <c r="F959" s="262" t="s">
        <v>14</v>
      </c>
      <c r="G959" s="263"/>
      <c r="H959" s="169">
        <f>VLOOKUP($K946,임금대장!$A$6:$AH$86,19,0)</f>
        <v>0</v>
      </c>
      <c r="I959" s="33"/>
      <c r="J959" s="34"/>
    </row>
    <row r="960" spans="1:11" ht="20.45" customHeight="1" x14ac:dyDescent="0.6">
      <c r="A960" s="252"/>
      <c r="B960" s="36" t="s">
        <v>98</v>
      </c>
      <c r="C960" s="35">
        <f>VLOOKUP($K946,임금대장!$A$6:$AH$86,26,0)</f>
        <v>2840</v>
      </c>
      <c r="D960" s="36"/>
      <c r="E960" s="43"/>
      <c r="F960" s="258" t="s">
        <v>12</v>
      </c>
      <c r="G960" s="259"/>
      <c r="H960" s="169">
        <f>VLOOKUP($K946,임금대장!$A$6:$AH$86,17,0)</f>
        <v>0</v>
      </c>
      <c r="I960" s="36"/>
      <c r="J960" s="37"/>
    </row>
    <row r="961" spans="1:11" ht="20.45" customHeight="1" x14ac:dyDescent="0.6">
      <c r="A961" s="252"/>
      <c r="B961" s="36" t="s">
        <v>99</v>
      </c>
      <c r="C961" s="35">
        <f>VLOOKUP($K946,임금대장!$A$6:$AH$86,27,0)</f>
        <v>0</v>
      </c>
      <c r="D961" s="36"/>
      <c r="E961" s="44"/>
      <c r="F961" s="258" t="s">
        <v>100</v>
      </c>
      <c r="G961" s="259"/>
      <c r="H961" s="169">
        <f>VLOOKUP($K946,임금대장!$A$6:$AH$86,31,0)</f>
        <v>0</v>
      </c>
      <c r="I961" s="36"/>
      <c r="J961" s="37"/>
    </row>
    <row r="962" spans="1:11" ht="20.45" customHeight="1" x14ac:dyDescent="0.6">
      <c r="A962" s="252"/>
      <c r="B962" s="36" t="s">
        <v>101</v>
      </c>
      <c r="C962" s="35">
        <f>VLOOKUP($K946,임금대장!$A$6:$AH$86,28,0)</f>
        <v>0</v>
      </c>
      <c r="D962" s="36"/>
      <c r="E962" s="43"/>
      <c r="F962" s="258" t="s">
        <v>102</v>
      </c>
      <c r="G962" s="259"/>
      <c r="H962" s="169">
        <f>VLOOKUP($K946,임금대장!$A$6:$AH$86,30,0)</f>
        <v>0</v>
      </c>
      <c r="I962" s="36"/>
      <c r="J962" s="37"/>
    </row>
    <row r="963" spans="1:11" ht="20.45" customHeight="1" x14ac:dyDescent="0.6">
      <c r="A963" s="252"/>
      <c r="B963" s="36" t="s">
        <v>31</v>
      </c>
      <c r="C963" s="35">
        <f>VLOOKUP($K946,임금대장!$A$6:$AH$86,29,0)</f>
        <v>0</v>
      </c>
      <c r="D963" s="36"/>
      <c r="E963" s="43"/>
      <c r="F963" s="258" t="s">
        <v>328</v>
      </c>
      <c r="G963" s="259"/>
      <c r="H963" s="169">
        <f>VLOOKUP($K946,임금대장!$A$3:$AH$86,32,0)</f>
        <v>0</v>
      </c>
      <c r="I963" s="67" t="s">
        <v>103</v>
      </c>
      <c r="J963" s="47">
        <f>SUM(C959:H964)</f>
        <v>31310</v>
      </c>
    </row>
    <row r="964" spans="1:11" ht="20.45" customHeight="1" x14ac:dyDescent="0.6">
      <c r="A964" s="253"/>
      <c r="B964" s="40"/>
      <c r="C964" s="101"/>
      <c r="D964" s="40"/>
      <c r="E964" s="48"/>
      <c r="F964" s="260"/>
      <c r="G964" s="261"/>
      <c r="H964" s="170"/>
      <c r="I964" s="68" t="s">
        <v>104</v>
      </c>
      <c r="J964" s="49">
        <f>J958-J963</f>
        <v>917690</v>
      </c>
    </row>
    <row r="965" spans="1:11" ht="20.45" customHeight="1" x14ac:dyDescent="0.6">
      <c r="A965" s="50" t="s">
        <v>105</v>
      </c>
      <c r="J965" s="51" t="s">
        <v>0</v>
      </c>
    </row>
    <row r="966" spans="1:11" ht="20.45" customHeight="1" x14ac:dyDescent="0.6">
      <c r="A966" s="50"/>
      <c r="J966" s="51"/>
    </row>
    <row r="967" spans="1:11" ht="20.45" customHeight="1" x14ac:dyDescent="0.6">
      <c r="A967" s="264" t="s">
        <v>399</v>
      </c>
      <c r="B967" s="264"/>
      <c r="C967" s="264"/>
      <c r="D967" s="264"/>
      <c r="E967" s="264"/>
      <c r="F967" s="264"/>
      <c r="G967" s="264"/>
      <c r="H967" s="264"/>
      <c r="I967" s="264"/>
      <c r="J967" s="264"/>
    </row>
    <row r="968" spans="1:11" ht="20.45" customHeight="1" x14ac:dyDescent="0.6">
      <c r="A968" s="286" t="s">
        <v>83</v>
      </c>
      <c r="B968" s="286"/>
      <c r="C968" s="286"/>
      <c r="D968" s="286" t="s">
        <v>84</v>
      </c>
      <c r="E968" s="286"/>
      <c r="F968" s="265" t="s">
        <v>85</v>
      </c>
      <c r="G968" s="250"/>
      <c r="H968" s="266"/>
      <c r="I968" s="286" t="s">
        <v>86</v>
      </c>
      <c r="J968" s="286"/>
    </row>
    <row r="969" spans="1:11" ht="20.45" customHeight="1" x14ac:dyDescent="0.6">
      <c r="A969" s="286" t="str">
        <f>VLOOKUP(K969,임금대장!$A$6:$AH$86,3,0)</f>
        <v>파트</v>
      </c>
      <c r="B969" s="286"/>
      <c r="C969" s="286"/>
      <c r="D969" s="287" t="str">
        <f>VLOOKUP(K969,임금대장!$A$6:$AH$86,2,0)</f>
        <v>박대순</v>
      </c>
      <c r="E969" s="287"/>
      <c r="F969" s="267">
        <f>임금대장!$O$3</f>
        <v>31</v>
      </c>
      <c r="G969" s="269"/>
      <c r="H969" s="268"/>
      <c r="I969" s="288">
        <f>VLOOKUP(K969,임금대장!$A$6:$AH$86,16,0)</f>
        <v>0</v>
      </c>
      <c r="J969" s="288"/>
      <c r="K969" s="30">
        <v>43</v>
      </c>
    </row>
    <row r="970" spans="1:11" ht="20.45" customHeight="1" x14ac:dyDescent="0.6">
      <c r="A970" s="286" t="s">
        <v>107</v>
      </c>
      <c r="B970" s="286"/>
      <c r="C970" s="286" t="s">
        <v>5</v>
      </c>
      <c r="D970" s="289"/>
      <c r="E970" s="289"/>
      <c r="F970" s="114" t="s">
        <v>108</v>
      </c>
      <c r="G970" s="278">
        <f>VLOOKUP(K969,임금대장!$A$6:$AH$86,15,0)</f>
        <v>188.5</v>
      </c>
      <c r="H970" s="279"/>
      <c r="I970" s="286" t="s">
        <v>89</v>
      </c>
      <c r="J970" s="290">
        <f>VLOOKUP(K969,임금대장!$A$6:$AH$86,17,0)</f>
        <v>0</v>
      </c>
    </row>
    <row r="971" spans="1:11" ht="20.45" customHeight="1" x14ac:dyDescent="0.6">
      <c r="A971" s="291">
        <f>C973/G970</f>
        <v>13000</v>
      </c>
      <c r="B971" s="291"/>
      <c r="C971" s="286"/>
      <c r="D971" s="289"/>
      <c r="E971" s="289"/>
      <c r="F971" s="115" t="s">
        <v>90</v>
      </c>
      <c r="G971" s="284">
        <f>VLOOKUP(K969,임금대장!$A$6:$AH$86,16,0)</f>
        <v>0</v>
      </c>
      <c r="H971" s="285"/>
      <c r="I971" s="286"/>
      <c r="J971" s="290"/>
    </row>
    <row r="972" spans="1:11" ht="20.45" customHeight="1" x14ac:dyDescent="0.6">
      <c r="F972" s="250"/>
      <c r="G972" s="250"/>
    </row>
    <row r="973" spans="1:11" ht="20.45" customHeight="1" x14ac:dyDescent="0.6">
      <c r="A973" s="251" t="s">
        <v>91</v>
      </c>
      <c r="B973" s="69" t="s">
        <v>109</v>
      </c>
      <c r="C973" s="25">
        <f>VLOOKUP($K969,임금대장!$A$6:$AH$86,9,0)</f>
        <v>2450500</v>
      </c>
      <c r="D973" s="33" t="s">
        <v>110</v>
      </c>
      <c r="E973" s="69"/>
      <c r="F973" s="254"/>
      <c r="G973" s="255"/>
      <c r="H973" s="168"/>
      <c r="I973" s="33"/>
      <c r="J973" s="34"/>
    </row>
    <row r="974" spans="1:11" ht="20.45" customHeight="1" x14ac:dyDescent="0.6">
      <c r="A974" s="252"/>
      <c r="B974" s="67"/>
      <c r="C974" s="35"/>
      <c r="D974" s="36"/>
      <c r="E974" s="67"/>
      <c r="F974" s="256"/>
      <c r="G974" s="257"/>
      <c r="H974" s="169"/>
      <c r="I974" s="36"/>
      <c r="J974" s="37"/>
    </row>
    <row r="975" spans="1:11" ht="20.45" customHeight="1" x14ac:dyDescent="0.6">
      <c r="A975" s="252"/>
      <c r="B975" s="52"/>
      <c r="C975" s="35"/>
      <c r="D975" s="36"/>
      <c r="E975" s="67"/>
      <c r="F975" s="256"/>
      <c r="G975" s="257"/>
      <c r="H975" s="169"/>
      <c r="I975" s="36"/>
      <c r="J975" s="37"/>
    </row>
    <row r="976" spans="1:11" ht="20.45" customHeight="1" x14ac:dyDescent="0.6">
      <c r="A976" s="252"/>
      <c r="B976" s="67"/>
      <c r="C976" s="35"/>
      <c r="D976" s="36"/>
      <c r="E976" s="67"/>
      <c r="F976" s="256"/>
      <c r="G976" s="257"/>
      <c r="H976" s="169"/>
      <c r="I976" s="36"/>
      <c r="J976" s="37"/>
    </row>
    <row r="977" spans="1:11" ht="20.45" customHeight="1" x14ac:dyDescent="0.6">
      <c r="A977" s="252"/>
      <c r="B977" s="67"/>
      <c r="C977" s="35"/>
      <c r="D977" s="36"/>
      <c r="E977" s="36"/>
      <c r="F977" s="258"/>
      <c r="G977" s="259"/>
      <c r="H977" s="169"/>
      <c r="I977" s="36"/>
      <c r="J977" s="37"/>
    </row>
    <row r="978" spans="1:11" ht="20.45" customHeight="1" x14ac:dyDescent="0.6">
      <c r="A978" s="252"/>
      <c r="B978" s="67"/>
      <c r="C978" s="102"/>
      <c r="D978" s="36"/>
      <c r="E978" s="36"/>
      <c r="F978" s="258"/>
      <c r="G978" s="259"/>
      <c r="H978" s="169"/>
      <c r="I978" s="36"/>
      <c r="J978" s="37"/>
    </row>
    <row r="979" spans="1:11" ht="20.45" customHeight="1" x14ac:dyDescent="0.6">
      <c r="A979" s="252"/>
      <c r="B979" s="67"/>
      <c r="C979" s="35"/>
      <c r="D979" s="36"/>
      <c r="E979" s="36"/>
      <c r="F979" s="258"/>
      <c r="G979" s="259"/>
      <c r="H979" s="169"/>
      <c r="I979" s="36"/>
      <c r="J979" s="37"/>
    </row>
    <row r="980" spans="1:11" ht="20.45" customHeight="1" x14ac:dyDescent="0.6">
      <c r="A980" s="252"/>
      <c r="B980" s="67"/>
      <c r="C980" s="35"/>
      <c r="D980" s="36"/>
      <c r="E980" s="36"/>
      <c r="F980" s="258"/>
      <c r="G980" s="259"/>
      <c r="H980" s="169"/>
      <c r="I980" s="36"/>
      <c r="J980" s="37"/>
    </row>
    <row r="981" spans="1:11" ht="20.45" customHeight="1" x14ac:dyDescent="0.6">
      <c r="A981" s="253"/>
      <c r="B981" s="68"/>
      <c r="C981" s="39"/>
      <c r="D981" s="40"/>
      <c r="E981" s="40"/>
      <c r="F981" s="260"/>
      <c r="G981" s="261"/>
      <c r="H981" s="170"/>
      <c r="I981" s="68" t="s">
        <v>95</v>
      </c>
      <c r="J981" s="41">
        <f>SUM(C973:H979)</f>
        <v>2450500</v>
      </c>
    </row>
    <row r="982" spans="1:11" ht="20.45" customHeight="1" x14ac:dyDescent="0.6">
      <c r="A982" s="251" t="s">
        <v>96</v>
      </c>
      <c r="B982" s="36" t="s">
        <v>97</v>
      </c>
      <c r="C982" s="35">
        <f>VLOOKUP($K969,임금대장!$A$6:$AH$86,25,0)</f>
        <v>73510</v>
      </c>
      <c r="D982" s="33"/>
      <c r="E982" s="42"/>
      <c r="F982" s="262" t="s">
        <v>14</v>
      </c>
      <c r="G982" s="263"/>
      <c r="H982" s="169">
        <f>VLOOKUP($K969,임금대장!$A$6:$AH$86,19,0)</f>
        <v>0</v>
      </c>
      <c r="I982" s="33"/>
      <c r="J982" s="34"/>
    </row>
    <row r="983" spans="1:11" ht="20.45" customHeight="1" x14ac:dyDescent="0.6">
      <c r="A983" s="252"/>
      <c r="B983" s="36" t="s">
        <v>98</v>
      </c>
      <c r="C983" s="35">
        <f>VLOOKUP($K969,임금대장!$A$6:$AH$86,26,0)</f>
        <v>7350</v>
      </c>
      <c r="D983" s="36"/>
      <c r="E983" s="43"/>
      <c r="F983" s="258" t="s">
        <v>12</v>
      </c>
      <c r="G983" s="259"/>
      <c r="H983" s="169">
        <f>VLOOKUP($K969,임금대장!$A$6:$AH$86,17,0)</f>
        <v>0</v>
      </c>
      <c r="I983" s="36"/>
      <c r="J983" s="37"/>
    </row>
    <row r="984" spans="1:11" ht="20.45" customHeight="1" x14ac:dyDescent="0.6">
      <c r="A984" s="252"/>
      <c r="B984" s="36" t="s">
        <v>99</v>
      </c>
      <c r="C984" s="35">
        <f>VLOOKUP($K969,임금대장!$A$6:$AH$86,27,0)</f>
        <v>0</v>
      </c>
      <c r="D984" s="36"/>
      <c r="E984" s="44"/>
      <c r="F984" s="258" t="s">
        <v>100</v>
      </c>
      <c r="G984" s="259"/>
      <c r="H984" s="169">
        <f>VLOOKUP($K969,임금대장!$A$6:$AH$86,31,0)</f>
        <v>0</v>
      </c>
      <c r="I984" s="36"/>
      <c r="J984" s="37"/>
    </row>
    <row r="985" spans="1:11" ht="20.45" customHeight="1" x14ac:dyDescent="0.6">
      <c r="A985" s="252"/>
      <c r="B985" s="36" t="s">
        <v>101</v>
      </c>
      <c r="C985" s="35">
        <f>VLOOKUP($K969,임금대장!$A$6:$AH$86,28,0)</f>
        <v>0</v>
      </c>
      <c r="D985" s="36"/>
      <c r="E985" s="43"/>
      <c r="F985" s="258" t="s">
        <v>102</v>
      </c>
      <c r="G985" s="259"/>
      <c r="H985" s="169">
        <f>VLOOKUP($K969,임금대장!$A$6:$AH$86,30,0)</f>
        <v>0</v>
      </c>
      <c r="I985" s="36"/>
      <c r="J985" s="37"/>
    </row>
    <row r="986" spans="1:11" ht="20.45" customHeight="1" x14ac:dyDescent="0.6">
      <c r="A986" s="252"/>
      <c r="B986" s="36" t="s">
        <v>31</v>
      </c>
      <c r="C986" s="35">
        <f>VLOOKUP($K969,임금대장!$A$6:$AH$86,29,0)</f>
        <v>0</v>
      </c>
      <c r="D986" s="36"/>
      <c r="E986" s="43"/>
      <c r="F986" s="258" t="s">
        <v>328</v>
      </c>
      <c r="G986" s="259"/>
      <c r="H986" s="169">
        <f>VLOOKUP($K969,임금대장!$A$3:$AH$86,32,0)</f>
        <v>0</v>
      </c>
      <c r="I986" s="67" t="s">
        <v>103</v>
      </c>
      <c r="J986" s="47">
        <f>SUM(C982:H987)</f>
        <v>80860</v>
      </c>
    </row>
    <row r="987" spans="1:11" ht="20.45" customHeight="1" x14ac:dyDescent="0.6">
      <c r="A987" s="253"/>
      <c r="B987" s="40"/>
      <c r="C987" s="101"/>
      <c r="D987" s="40"/>
      <c r="E987" s="48"/>
      <c r="F987" s="260"/>
      <c r="G987" s="261"/>
      <c r="H987" s="170"/>
      <c r="I987" s="68" t="s">
        <v>104</v>
      </c>
      <c r="J987" s="49">
        <f>J981-J986</f>
        <v>2369640</v>
      </c>
    </row>
    <row r="988" spans="1:11" ht="20.45" customHeight="1" x14ac:dyDescent="0.6">
      <c r="A988" s="50" t="s">
        <v>105</v>
      </c>
      <c r="J988" s="51" t="s">
        <v>0</v>
      </c>
    </row>
    <row r="989" spans="1:11" ht="20.45" customHeight="1" x14ac:dyDescent="0.6">
      <c r="A989" s="50"/>
      <c r="J989" s="51"/>
    </row>
    <row r="990" spans="1:11" ht="20.45" customHeight="1" x14ac:dyDescent="0.6">
      <c r="A990" s="264" t="s">
        <v>399</v>
      </c>
      <c r="B990" s="264"/>
      <c r="C990" s="264"/>
      <c r="D990" s="264"/>
      <c r="E990" s="264"/>
      <c r="F990" s="264"/>
      <c r="G990" s="264"/>
      <c r="H990" s="264"/>
      <c r="I990" s="264"/>
      <c r="J990" s="264"/>
    </row>
    <row r="991" spans="1:11" ht="20.45" customHeight="1" x14ac:dyDescent="0.6">
      <c r="A991" s="286" t="s">
        <v>83</v>
      </c>
      <c r="B991" s="286"/>
      <c r="C991" s="286"/>
      <c r="D991" s="286" t="s">
        <v>84</v>
      </c>
      <c r="E991" s="286"/>
      <c r="F991" s="265" t="s">
        <v>85</v>
      </c>
      <c r="G991" s="250"/>
      <c r="H991" s="266"/>
      <c r="I991" s="286" t="s">
        <v>86</v>
      </c>
      <c r="J991" s="286"/>
    </row>
    <row r="992" spans="1:11" ht="20.45" customHeight="1" x14ac:dyDescent="0.6">
      <c r="A992" s="286" t="str">
        <f>VLOOKUP(K992,임금대장!$A$6:$AH$86,3,0)</f>
        <v>파트</v>
      </c>
      <c r="B992" s="286"/>
      <c r="C992" s="286"/>
      <c r="D992" s="287" t="str">
        <f>VLOOKUP(K992,임금대장!$A$6:$AH$86,2,0)</f>
        <v>김민준</v>
      </c>
      <c r="E992" s="287"/>
      <c r="F992" s="267">
        <f>임금대장!$O$3</f>
        <v>31</v>
      </c>
      <c r="G992" s="269"/>
      <c r="H992" s="268"/>
      <c r="I992" s="288">
        <f>VLOOKUP(K992,임금대장!$A$6:$AH$86,16,0)</f>
        <v>0</v>
      </c>
      <c r="J992" s="288"/>
      <c r="K992" s="30">
        <v>44</v>
      </c>
    </row>
    <row r="993" spans="1:10" ht="20.45" customHeight="1" x14ac:dyDescent="0.6">
      <c r="A993" s="286" t="s">
        <v>107</v>
      </c>
      <c r="B993" s="286"/>
      <c r="C993" s="286" t="s">
        <v>5</v>
      </c>
      <c r="D993" s="289"/>
      <c r="E993" s="289"/>
      <c r="F993" s="114" t="s">
        <v>108</v>
      </c>
      <c r="G993" s="278">
        <f>VLOOKUP(K992,임금대장!$A$6:$AH$86,15,0)</f>
        <v>126.5</v>
      </c>
      <c r="H993" s="279"/>
      <c r="I993" s="286" t="s">
        <v>89</v>
      </c>
      <c r="J993" s="290">
        <f>VLOOKUP(K992,임금대장!$A$6:$AH$86,17,0)</f>
        <v>0</v>
      </c>
    </row>
    <row r="994" spans="1:10" ht="20.45" customHeight="1" x14ac:dyDescent="0.6">
      <c r="A994" s="291">
        <f>C996/G993</f>
        <v>13000</v>
      </c>
      <c r="B994" s="291"/>
      <c r="C994" s="286"/>
      <c r="D994" s="289"/>
      <c r="E994" s="289"/>
      <c r="F994" s="115" t="s">
        <v>90</v>
      </c>
      <c r="G994" s="284">
        <f>VLOOKUP(K992,임금대장!$A$6:$AH$86,16,0)</f>
        <v>0</v>
      </c>
      <c r="H994" s="285"/>
      <c r="I994" s="286"/>
      <c r="J994" s="290"/>
    </row>
    <row r="995" spans="1:10" ht="20.45" customHeight="1" x14ac:dyDescent="0.6">
      <c r="F995" s="250"/>
      <c r="G995" s="250"/>
    </row>
    <row r="996" spans="1:10" ht="20.45" customHeight="1" x14ac:dyDescent="0.6">
      <c r="A996" s="251" t="s">
        <v>91</v>
      </c>
      <c r="B996" s="69" t="s">
        <v>109</v>
      </c>
      <c r="C996" s="25">
        <f>VLOOKUP($K992,임금대장!$A$6:$AH$86,9,0)</f>
        <v>1644500</v>
      </c>
      <c r="D996" s="33" t="s">
        <v>110</v>
      </c>
      <c r="E996" s="69"/>
      <c r="F996" s="254"/>
      <c r="G996" s="255"/>
      <c r="H996" s="168"/>
      <c r="I996" s="33"/>
      <c r="J996" s="34"/>
    </row>
    <row r="997" spans="1:10" ht="20.45" customHeight="1" x14ac:dyDescent="0.6">
      <c r="A997" s="252"/>
      <c r="B997" s="67"/>
      <c r="C997" s="35"/>
      <c r="D997" s="36"/>
      <c r="E997" s="67"/>
      <c r="F997" s="256"/>
      <c r="G997" s="257"/>
      <c r="H997" s="169"/>
      <c r="I997" s="36"/>
      <c r="J997" s="37"/>
    </row>
    <row r="998" spans="1:10" ht="20.45" customHeight="1" x14ac:dyDescent="0.6">
      <c r="A998" s="252"/>
      <c r="B998" s="52"/>
      <c r="C998" s="35"/>
      <c r="D998" s="36"/>
      <c r="E998" s="67"/>
      <c r="F998" s="256"/>
      <c r="G998" s="257"/>
      <c r="H998" s="169"/>
      <c r="I998" s="36"/>
      <c r="J998" s="37"/>
    </row>
    <row r="999" spans="1:10" ht="20.45" customHeight="1" x14ac:dyDescent="0.6">
      <c r="A999" s="252"/>
      <c r="B999" s="67"/>
      <c r="C999" s="35"/>
      <c r="D999" s="36"/>
      <c r="E999" s="67"/>
      <c r="F999" s="256"/>
      <c r="G999" s="257"/>
      <c r="H999" s="169"/>
      <c r="I999" s="36"/>
      <c r="J999" s="37"/>
    </row>
    <row r="1000" spans="1:10" ht="20.45" customHeight="1" x14ac:dyDescent="0.6">
      <c r="A1000" s="252"/>
      <c r="B1000" s="67"/>
      <c r="C1000" s="35"/>
      <c r="D1000" s="36"/>
      <c r="E1000" s="36"/>
      <c r="F1000" s="258"/>
      <c r="G1000" s="259"/>
      <c r="H1000" s="169"/>
      <c r="I1000" s="36"/>
      <c r="J1000" s="37"/>
    </row>
    <row r="1001" spans="1:10" ht="20.45" customHeight="1" x14ac:dyDescent="0.6">
      <c r="A1001" s="252"/>
      <c r="B1001" s="67"/>
      <c r="C1001" s="102"/>
      <c r="D1001" s="36"/>
      <c r="E1001" s="36"/>
      <c r="F1001" s="258"/>
      <c r="G1001" s="259"/>
      <c r="H1001" s="169"/>
      <c r="I1001" s="36"/>
      <c r="J1001" s="37"/>
    </row>
    <row r="1002" spans="1:10" ht="20.45" customHeight="1" x14ac:dyDescent="0.6">
      <c r="A1002" s="252"/>
      <c r="B1002" s="67"/>
      <c r="C1002" s="35"/>
      <c r="D1002" s="36"/>
      <c r="E1002" s="36"/>
      <c r="F1002" s="258"/>
      <c r="G1002" s="259"/>
      <c r="H1002" s="169"/>
      <c r="I1002" s="36"/>
      <c r="J1002" s="37"/>
    </row>
    <row r="1003" spans="1:10" ht="20.45" customHeight="1" x14ac:dyDescent="0.6">
      <c r="A1003" s="252"/>
      <c r="B1003" s="67"/>
      <c r="C1003" s="35"/>
      <c r="D1003" s="36"/>
      <c r="E1003" s="36"/>
      <c r="F1003" s="258"/>
      <c r="G1003" s="259"/>
      <c r="H1003" s="169"/>
      <c r="I1003" s="36"/>
      <c r="J1003" s="37"/>
    </row>
    <row r="1004" spans="1:10" ht="20.45" customHeight="1" x14ac:dyDescent="0.6">
      <c r="A1004" s="253"/>
      <c r="B1004" s="68"/>
      <c r="C1004" s="39"/>
      <c r="D1004" s="40"/>
      <c r="E1004" s="40"/>
      <c r="F1004" s="260"/>
      <c r="G1004" s="261"/>
      <c r="H1004" s="170"/>
      <c r="I1004" s="68" t="s">
        <v>95</v>
      </c>
      <c r="J1004" s="41">
        <f>SUM(C996:H1002)</f>
        <v>1644500</v>
      </c>
    </row>
    <row r="1005" spans="1:10" ht="20.45" customHeight="1" x14ac:dyDescent="0.6">
      <c r="A1005" s="251" t="s">
        <v>96</v>
      </c>
      <c r="B1005" s="36" t="s">
        <v>97</v>
      </c>
      <c r="C1005" s="35">
        <f>VLOOKUP($K992,임금대장!$A$6:$AH$86,25,0)</f>
        <v>49330</v>
      </c>
      <c r="D1005" s="33"/>
      <c r="E1005" s="42"/>
      <c r="F1005" s="262" t="s">
        <v>14</v>
      </c>
      <c r="G1005" s="263"/>
      <c r="H1005" s="169">
        <f>VLOOKUP($K992,임금대장!$A$6:$AH$86,19,0)</f>
        <v>0</v>
      </c>
      <c r="I1005" s="33"/>
      <c r="J1005" s="34"/>
    </row>
    <row r="1006" spans="1:10" ht="20.45" customHeight="1" x14ac:dyDescent="0.6">
      <c r="A1006" s="252"/>
      <c r="B1006" s="36" t="s">
        <v>98</v>
      </c>
      <c r="C1006" s="35">
        <f>VLOOKUP($K992,임금대장!$A$6:$AH$86,26,0)</f>
        <v>4930</v>
      </c>
      <c r="D1006" s="36"/>
      <c r="E1006" s="43"/>
      <c r="F1006" s="258" t="s">
        <v>12</v>
      </c>
      <c r="G1006" s="259"/>
      <c r="H1006" s="169">
        <f>VLOOKUP($K992,임금대장!$A$6:$AH$86,17,0)</f>
        <v>0</v>
      </c>
      <c r="I1006" s="36"/>
      <c r="J1006" s="37"/>
    </row>
    <row r="1007" spans="1:10" ht="20.45" customHeight="1" x14ac:dyDescent="0.6">
      <c r="A1007" s="252"/>
      <c r="B1007" s="36" t="s">
        <v>99</v>
      </c>
      <c r="C1007" s="35">
        <f>VLOOKUP($K992,임금대장!$A$6:$AH$86,27,0)</f>
        <v>0</v>
      </c>
      <c r="D1007" s="36"/>
      <c r="E1007" s="44"/>
      <c r="F1007" s="258" t="s">
        <v>100</v>
      </c>
      <c r="G1007" s="259"/>
      <c r="H1007" s="169">
        <f>VLOOKUP($K992,임금대장!$A$6:$AH$86,31,0)</f>
        <v>0</v>
      </c>
      <c r="I1007" s="36"/>
      <c r="J1007" s="37"/>
    </row>
    <row r="1008" spans="1:10" ht="20.45" customHeight="1" x14ac:dyDescent="0.6">
      <c r="A1008" s="252"/>
      <c r="B1008" s="36" t="s">
        <v>101</v>
      </c>
      <c r="C1008" s="35">
        <f>VLOOKUP($K992,임금대장!$A$6:$AH$86,28,0)</f>
        <v>0</v>
      </c>
      <c r="D1008" s="36"/>
      <c r="E1008" s="43"/>
      <c r="F1008" s="258" t="s">
        <v>102</v>
      </c>
      <c r="G1008" s="259"/>
      <c r="H1008" s="169">
        <f>VLOOKUP($K992,임금대장!$A$6:$AH$86,30,0)</f>
        <v>0</v>
      </c>
      <c r="I1008" s="36"/>
      <c r="J1008" s="37"/>
    </row>
    <row r="1009" spans="1:11" ht="20.45" customHeight="1" x14ac:dyDescent="0.6">
      <c r="A1009" s="252"/>
      <c r="B1009" s="36" t="s">
        <v>31</v>
      </c>
      <c r="C1009" s="35">
        <f>VLOOKUP($K992,임금대장!$A$6:$AH$86,29,0)</f>
        <v>0</v>
      </c>
      <c r="D1009" s="36"/>
      <c r="E1009" s="43"/>
      <c r="F1009" s="258" t="s">
        <v>328</v>
      </c>
      <c r="G1009" s="259"/>
      <c r="H1009" s="169">
        <f>VLOOKUP($K992,임금대장!$A$3:$AH$86,32,0)</f>
        <v>0</v>
      </c>
      <c r="I1009" s="67" t="s">
        <v>103</v>
      </c>
      <c r="J1009" s="47">
        <f>SUM(C1005:H1010)</f>
        <v>54260</v>
      </c>
    </row>
    <row r="1010" spans="1:11" ht="20.45" customHeight="1" x14ac:dyDescent="0.6">
      <c r="A1010" s="253"/>
      <c r="B1010" s="40"/>
      <c r="C1010" s="101"/>
      <c r="D1010" s="40"/>
      <c r="E1010" s="48"/>
      <c r="F1010" s="260"/>
      <c r="G1010" s="261"/>
      <c r="H1010" s="170"/>
      <c r="I1010" s="68" t="s">
        <v>104</v>
      </c>
      <c r="J1010" s="49">
        <f>J1004-J1009</f>
        <v>1590240</v>
      </c>
    </row>
    <row r="1011" spans="1:11" ht="20.45" customHeight="1" x14ac:dyDescent="0.6">
      <c r="A1011" s="50" t="s">
        <v>105</v>
      </c>
      <c r="J1011" s="51" t="s">
        <v>0</v>
      </c>
    </row>
    <row r="1012" spans="1:11" ht="20.45" customHeight="1" x14ac:dyDescent="0.6">
      <c r="A1012" s="50"/>
      <c r="J1012" s="51"/>
    </row>
    <row r="1013" spans="1:11" ht="20.45" customHeight="1" x14ac:dyDescent="0.6">
      <c r="A1013" s="264" t="s">
        <v>399</v>
      </c>
      <c r="B1013" s="264"/>
      <c r="C1013" s="264"/>
      <c r="D1013" s="264"/>
      <c r="E1013" s="264"/>
      <c r="F1013" s="264"/>
      <c r="G1013" s="264"/>
      <c r="H1013" s="264"/>
      <c r="I1013" s="264"/>
      <c r="J1013" s="264"/>
    </row>
    <row r="1014" spans="1:11" ht="20.45" customHeight="1" x14ac:dyDescent="0.6">
      <c r="A1014" s="286" t="s">
        <v>83</v>
      </c>
      <c r="B1014" s="286"/>
      <c r="C1014" s="286"/>
      <c r="D1014" s="286" t="s">
        <v>84</v>
      </c>
      <c r="E1014" s="286"/>
      <c r="F1014" s="265" t="s">
        <v>85</v>
      </c>
      <c r="G1014" s="250"/>
      <c r="H1014" s="266"/>
      <c r="I1014" s="286" t="s">
        <v>86</v>
      </c>
      <c r="J1014" s="286"/>
    </row>
    <row r="1015" spans="1:11" ht="20.45" customHeight="1" x14ac:dyDescent="0.6">
      <c r="A1015" s="286" t="str">
        <f>VLOOKUP(K1015,임금대장!$A$6:$AH$86,3,0)</f>
        <v>파트</v>
      </c>
      <c r="B1015" s="286"/>
      <c r="C1015" s="286"/>
      <c r="D1015" s="287" t="str">
        <f>VLOOKUP(K1015,임금대장!$A$6:$AH$86,2,0)</f>
        <v>방창배</v>
      </c>
      <c r="E1015" s="287"/>
      <c r="F1015" s="267">
        <f>임금대장!$O$3</f>
        <v>31</v>
      </c>
      <c r="G1015" s="269"/>
      <c r="H1015" s="268"/>
      <c r="I1015" s="288">
        <f>VLOOKUP(K1015,임금대장!$A$6:$AH$86,16,0)</f>
        <v>0</v>
      </c>
      <c r="J1015" s="288"/>
      <c r="K1015" s="30">
        <v>45</v>
      </c>
    </row>
    <row r="1016" spans="1:11" ht="20.45" customHeight="1" x14ac:dyDescent="0.6">
      <c r="A1016" s="286" t="s">
        <v>107</v>
      </c>
      <c r="B1016" s="286"/>
      <c r="C1016" s="286" t="s">
        <v>5</v>
      </c>
      <c r="D1016" s="289"/>
      <c r="E1016" s="289"/>
      <c r="F1016" s="114" t="s">
        <v>108</v>
      </c>
      <c r="G1016" s="278">
        <f>VLOOKUP(K1015,임금대장!$A$6:$AH$86,15,0)</f>
        <v>186</v>
      </c>
      <c r="H1016" s="279"/>
      <c r="I1016" s="286" t="s">
        <v>89</v>
      </c>
      <c r="J1016" s="290">
        <f>VLOOKUP(K1015,임금대장!$A$6:$AH$86,17,0)</f>
        <v>0</v>
      </c>
    </row>
    <row r="1017" spans="1:11" ht="20.45" customHeight="1" x14ac:dyDescent="0.6">
      <c r="A1017" s="291">
        <f>C1019/G1016</f>
        <v>13000</v>
      </c>
      <c r="B1017" s="291"/>
      <c r="C1017" s="286"/>
      <c r="D1017" s="289"/>
      <c r="E1017" s="289"/>
      <c r="F1017" s="115" t="s">
        <v>90</v>
      </c>
      <c r="G1017" s="284">
        <f>VLOOKUP(K1015,임금대장!$A$6:$AH$86,16,0)</f>
        <v>0</v>
      </c>
      <c r="H1017" s="285"/>
      <c r="I1017" s="286"/>
      <c r="J1017" s="290"/>
    </row>
    <row r="1018" spans="1:11" ht="20.45" customHeight="1" x14ac:dyDescent="0.6">
      <c r="F1018" s="250"/>
      <c r="G1018" s="250"/>
    </row>
    <row r="1019" spans="1:11" ht="20.45" customHeight="1" x14ac:dyDescent="0.6">
      <c r="A1019" s="251" t="s">
        <v>91</v>
      </c>
      <c r="B1019" s="69" t="s">
        <v>109</v>
      </c>
      <c r="C1019" s="25">
        <f>VLOOKUP($K1015,임금대장!$A$6:$AH$86,9,0)</f>
        <v>2418000</v>
      </c>
      <c r="D1019" s="33" t="s">
        <v>110</v>
      </c>
      <c r="E1019" s="69"/>
      <c r="F1019" s="254"/>
      <c r="G1019" s="255"/>
      <c r="H1019" s="168"/>
      <c r="I1019" s="33"/>
      <c r="J1019" s="34"/>
    </row>
    <row r="1020" spans="1:11" ht="20.45" customHeight="1" x14ac:dyDescent="0.6">
      <c r="A1020" s="252"/>
      <c r="B1020" s="67"/>
      <c r="C1020" s="35"/>
      <c r="D1020" s="36"/>
      <c r="E1020" s="67"/>
      <c r="F1020" s="256"/>
      <c r="G1020" s="257"/>
      <c r="H1020" s="169"/>
      <c r="I1020" s="36"/>
      <c r="J1020" s="37"/>
    </row>
    <row r="1021" spans="1:11" ht="20.45" customHeight="1" x14ac:dyDescent="0.6">
      <c r="A1021" s="252"/>
      <c r="B1021" s="52"/>
      <c r="C1021" s="35"/>
      <c r="D1021" s="36"/>
      <c r="E1021" s="67"/>
      <c r="F1021" s="256"/>
      <c r="G1021" s="257"/>
      <c r="H1021" s="169"/>
      <c r="I1021" s="36"/>
      <c r="J1021" s="37"/>
    </row>
    <row r="1022" spans="1:11" ht="20.45" customHeight="1" x14ac:dyDescent="0.6">
      <c r="A1022" s="252"/>
      <c r="B1022" s="67"/>
      <c r="C1022" s="35"/>
      <c r="D1022" s="36"/>
      <c r="E1022" s="67"/>
      <c r="F1022" s="256"/>
      <c r="G1022" s="257"/>
      <c r="H1022" s="169"/>
      <c r="I1022" s="36"/>
      <c r="J1022" s="37"/>
    </row>
    <row r="1023" spans="1:11" ht="20.45" customHeight="1" x14ac:dyDescent="0.6">
      <c r="A1023" s="252"/>
      <c r="B1023" s="67"/>
      <c r="C1023" s="35"/>
      <c r="D1023" s="36"/>
      <c r="E1023" s="36"/>
      <c r="F1023" s="258"/>
      <c r="G1023" s="259"/>
      <c r="H1023" s="169"/>
      <c r="I1023" s="36"/>
      <c r="J1023" s="37"/>
    </row>
    <row r="1024" spans="1:11" ht="20.45" customHeight="1" x14ac:dyDescent="0.6">
      <c r="A1024" s="252"/>
      <c r="B1024" s="67"/>
      <c r="C1024" s="102"/>
      <c r="D1024" s="36"/>
      <c r="E1024" s="36"/>
      <c r="F1024" s="258"/>
      <c r="G1024" s="259"/>
      <c r="H1024" s="169"/>
      <c r="I1024" s="36"/>
      <c r="J1024" s="37"/>
    </row>
    <row r="1025" spans="1:11" ht="20.45" customHeight="1" x14ac:dyDescent="0.6">
      <c r="A1025" s="252"/>
      <c r="B1025" s="67"/>
      <c r="C1025" s="35"/>
      <c r="D1025" s="36"/>
      <c r="E1025" s="36"/>
      <c r="F1025" s="258"/>
      <c r="G1025" s="259"/>
      <c r="H1025" s="169"/>
      <c r="I1025" s="36"/>
      <c r="J1025" s="37"/>
    </row>
    <row r="1026" spans="1:11" ht="20.45" customHeight="1" x14ac:dyDescent="0.6">
      <c r="A1026" s="252"/>
      <c r="B1026" s="67"/>
      <c r="C1026" s="35"/>
      <c r="D1026" s="36"/>
      <c r="E1026" s="36"/>
      <c r="F1026" s="258"/>
      <c r="G1026" s="259"/>
      <c r="H1026" s="169"/>
      <c r="I1026" s="36"/>
      <c r="J1026" s="37"/>
    </row>
    <row r="1027" spans="1:11" ht="20.45" customHeight="1" x14ac:dyDescent="0.6">
      <c r="A1027" s="253"/>
      <c r="B1027" s="68"/>
      <c r="C1027" s="39"/>
      <c r="D1027" s="40"/>
      <c r="E1027" s="40"/>
      <c r="F1027" s="260"/>
      <c r="G1027" s="261"/>
      <c r="H1027" s="170"/>
      <c r="I1027" s="68" t="s">
        <v>95</v>
      </c>
      <c r="J1027" s="41">
        <f>SUM(C1019:H1025)</f>
        <v>2418000</v>
      </c>
    </row>
    <row r="1028" spans="1:11" ht="20.45" customHeight="1" x14ac:dyDescent="0.6">
      <c r="A1028" s="251" t="s">
        <v>96</v>
      </c>
      <c r="B1028" s="36" t="s">
        <v>97</v>
      </c>
      <c r="C1028" s="35">
        <f>VLOOKUP($K1015,임금대장!$A$6:$AH$86,25,0)</f>
        <v>72540</v>
      </c>
      <c r="D1028" s="33"/>
      <c r="E1028" s="42"/>
      <c r="F1028" s="262" t="s">
        <v>14</v>
      </c>
      <c r="G1028" s="263"/>
      <c r="H1028" s="169">
        <f>VLOOKUP($K1015,임금대장!$A$6:$AH$86,19,0)</f>
        <v>0</v>
      </c>
      <c r="I1028" s="33"/>
      <c r="J1028" s="34"/>
    </row>
    <row r="1029" spans="1:11" ht="20.45" customHeight="1" x14ac:dyDescent="0.6">
      <c r="A1029" s="252"/>
      <c r="B1029" s="36" t="s">
        <v>98</v>
      </c>
      <c r="C1029" s="35">
        <f>VLOOKUP($K1015,임금대장!$A$6:$AH$86,26,0)</f>
        <v>7250</v>
      </c>
      <c r="D1029" s="36"/>
      <c r="E1029" s="43"/>
      <c r="F1029" s="258" t="s">
        <v>12</v>
      </c>
      <c r="G1029" s="259"/>
      <c r="H1029" s="169">
        <f>VLOOKUP($K1015,임금대장!$A$6:$AH$86,17,0)</f>
        <v>0</v>
      </c>
      <c r="I1029" s="36"/>
      <c r="J1029" s="37"/>
    </row>
    <row r="1030" spans="1:11" ht="20.45" customHeight="1" x14ac:dyDescent="0.6">
      <c r="A1030" s="252"/>
      <c r="B1030" s="36" t="s">
        <v>99</v>
      </c>
      <c r="C1030" s="35">
        <f>VLOOKUP($K1015,임금대장!$A$6:$AH$86,27,0)</f>
        <v>0</v>
      </c>
      <c r="D1030" s="36"/>
      <c r="E1030" s="44"/>
      <c r="F1030" s="258" t="s">
        <v>100</v>
      </c>
      <c r="G1030" s="259"/>
      <c r="H1030" s="169">
        <f>VLOOKUP($K1015,임금대장!$A$6:$AH$86,31,0)</f>
        <v>0</v>
      </c>
      <c r="I1030" s="36"/>
      <c r="J1030" s="37"/>
    </row>
    <row r="1031" spans="1:11" ht="20.45" customHeight="1" x14ac:dyDescent="0.6">
      <c r="A1031" s="252"/>
      <c r="B1031" s="36" t="s">
        <v>101</v>
      </c>
      <c r="C1031" s="35">
        <f>VLOOKUP($K1015,임금대장!$A$6:$AH$86,28,0)</f>
        <v>0</v>
      </c>
      <c r="D1031" s="36"/>
      <c r="E1031" s="43"/>
      <c r="F1031" s="258" t="s">
        <v>102</v>
      </c>
      <c r="G1031" s="259"/>
      <c r="H1031" s="169">
        <f>VLOOKUP($K1015,임금대장!$A$6:$AH$86,30,0)</f>
        <v>0</v>
      </c>
      <c r="I1031" s="36"/>
      <c r="J1031" s="37"/>
    </row>
    <row r="1032" spans="1:11" ht="20.45" customHeight="1" x14ac:dyDescent="0.6">
      <c r="A1032" s="252"/>
      <c r="B1032" s="36" t="s">
        <v>31</v>
      </c>
      <c r="C1032" s="35">
        <f>VLOOKUP($K1015,임금대장!$A$6:$AH$86,29,0)</f>
        <v>0</v>
      </c>
      <c r="D1032" s="36"/>
      <c r="E1032" s="43"/>
      <c r="F1032" s="258" t="s">
        <v>328</v>
      </c>
      <c r="G1032" s="259"/>
      <c r="H1032" s="169">
        <f>VLOOKUP($K1015,임금대장!$A$3:$AH$86,32,0)</f>
        <v>0</v>
      </c>
      <c r="I1032" s="67" t="s">
        <v>103</v>
      </c>
      <c r="J1032" s="47">
        <f>SUM(C1028:H1033)</f>
        <v>79790</v>
      </c>
    </row>
    <row r="1033" spans="1:11" ht="20.45" customHeight="1" x14ac:dyDescent="0.6">
      <c r="A1033" s="253"/>
      <c r="B1033" s="40"/>
      <c r="C1033" s="101"/>
      <c r="D1033" s="40"/>
      <c r="E1033" s="48"/>
      <c r="F1033" s="260"/>
      <c r="G1033" s="261"/>
      <c r="H1033" s="170"/>
      <c r="I1033" s="68" t="s">
        <v>104</v>
      </c>
      <c r="J1033" s="49">
        <f>J1027-J1032</f>
        <v>2338210</v>
      </c>
    </row>
    <row r="1034" spans="1:11" ht="20.45" customHeight="1" x14ac:dyDescent="0.6">
      <c r="A1034" s="50" t="s">
        <v>105</v>
      </c>
      <c r="J1034" s="51" t="s">
        <v>0</v>
      </c>
    </row>
    <row r="1035" spans="1:11" ht="20.45" customHeight="1" x14ac:dyDescent="0.6">
      <c r="A1035" s="50"/>
      <c r="J1035" s="51"/>
    </row>
    <row r="1036" spans="1:11" ht="20.45" customHeight="1" x14ac:dyDescent="0.6">
      <c r="A1036" s="264" t="s">
        <v>399</v>
      </c>
      <c r="B1036" s="264"/>
      <c r="C1036" s="264"/>
      <c r="D1036" s="264"/>
      <c r="E1036" s="264"/>
      <c r="F1036" s="264"/>
      <c r="G1036" s="264"/>
      <c r="H1036" s="264"/>
      <c r="I1036" s="264"/>
      <c r="J1036" s="264"/>
    </row>
    <row r="1037" spans="1:11" ht="20.45" customHeight="1" x14ac:dyDescent="0.6">
      <c r="A1037" s="286" t="s">
        <v>83</v>
      </c>
      <c r="B1037" s="286"/>
      <c r="C1037" s="286"/>
      <c r="D1037" s="286" t="s">
        <v>84</v>
      </c>
      <c r="E1037" s="286"/>
      <c r="F1037" s="265" t="s">
        <v>85</v>
      </c>
      <c r="G1037" s="250"/>
      <c r="H1037" s="266"/>
      <c r="I1037" s="286" t="s">
        <v>86</v>
      </c>
      <c r="J1037" s="286"/>
    </row>
    <row r="1038" spans="1:11" ht="20.45" customHeight="1" x14ac:dyDescent="0.6">
      <c r="A1038" s="286" t="str">
        <f>VLOOKUP(K1038,임금대장!$A$6:$AH$86,3,0)</f>
        <v>파트</v>
      </c>
      <c r="B1038" s="286"/>
      <c r="C1038" s="286"/>
      <c r="D1038" s="287" t="str">
        <f>VLOOKUP(K1038,임금대장!$A$6:$AH$86,2,0)</f>
        <v>주혜원</v>
      </c>
      <c r="E1038" s="287"/>
      <c r="F1038" s="267">
        <f>임금대장!$O$3</f>
        <v>31</v>
      </c>
      <c r="G1038" s="269"/>
      <c r="H1038" s="268"/>
      <c r="I1038" s="288">
        <f>VLOOKUP(K1038,임금대장!$A$6:$AH$86,16,0)</f>
        <v>0</v>
      </c>
      <c r="J1038" s="288"/>
      <c r="K1038" s="30">
        <v>46</v>
      </c>
    </row>
    <row r="1039" spans="1:11" ht="20.45" customHeight="1" x14ac:dyDescent="0.6">
      <c r="A1039" s="286" t="s">
        <v>107</v>
      </c>
      <c r="B1039" s="286"/>
      <c r="C1039" s="286" t="s">
        <v>5</v>
      </c>
      <c r="D1039" s="289"/>
      <c r="E1039" s="289"/>
      <c r="F1039" s="114" t="s">
        <v>108</v>
      </c>
      <c r="G1039" s="278">
        <f>VLOOKUP(K1038,임금대장!$A$6:$AH$86,15,0)</f>
        <v>136</v>
      </c>
      <c r="H1039" s="279"/>
      <c r="I1039" s="286" t="s">
        <v>89</v>
      </c>
      <c r="J1039" s="290">
        <f>VLOOKUP(K1038,임금대장!$A$6:$AH$86,17,0)</f>
        <v>0</v>
      </c>
    </row>
    <row r="1040" spans="1:11" ht="20.45" customHeight="1" x14ac:dyDescent="0.6">
      <c r="A1040" s="291">
        <f>C1042/G1039</f>
        <v>13000</v>
      </c>
      <c r="B1040" s="291"/>
      <c r="C1040" s="286"/>
      <c r="D1040" s="289"/>
      <c r="E1040" s="289"/>
      <c r="F1040" s="115" t="s">
        <v>90</v>
      </c>
      <c r="G1040" s="284">
        <f>VLOOKUP(K1038,임금대장!$A$6:$AH$86,16,0)</f>
        <v>0</v>
      </c>
      <c r="H1040" s="285"/>
      <c r="I1040" s="286"/>
      <c r="J1040" s="290"/>
    </row>
    <row r="1041" spans="1:10" ht="20.45" customHeight="1" x14ac:dyDescent="0.6">
      <c r="F1041" s="250"/>
      <c r="G1041" s="250"/>
    </row>
    <row r="1042" spans="1:10" ht="20.45" customHeight="1" x14ac:dyDescent="0.6">
      <c r="A1042" s="251" t="s">
        <v>91</v>
      </c>
      <c r="B1042" s="69" t="s">
        <v>109</v>
      </c>
      <c r="C1042" s="25">
        <f>VLOOKUP($K1038,임금대장!$A$6:$AH$86,9,0)</f>
        <v>1768000</v>
      </c>
      <c r="D1042" s="33" t="s">
        <v>110</v>
      </c>
      <c r="E1042" s="69"/>
      <c r="F1042" s="254"/>
      <c r="G1042" s="255"/>
      <c r="H1042" s="168"/>
      <c r="I1042" s="33"/>
      <c r="J1042" s="34"/>
    </row>
    <row r="1043" spans="1:10" ht="20.45" customHeight="1" x14ac:dyDescent="0.6">
      <c r="A1043" s="252"/>
      <c r="B1043" s="67"/>
      <c r="C1043" s="35"/>
      <c r="D1043" s="36"/>
      <c r="E1043" s="67"/>
      <c r="F1043" s="256"/>
      <c r="G1043" s="257"/>
      <c r="H1043" s="169"/>
      <c r="I1043" s="36"/>
      <c r="J1043" s="37"/>
    </row>
    <row r="1044" spans="1:10" ht="20.45" customHeight="1" x14ac:dyDescent="0.6">
      <c r="A1044" s="252"/>
      <c r="B1044" s="52"/>
      <c r="C1044" s="35"/>
      <c r="D1044" s="36"/>
      <c r="E1044" s="67"/>
      <c r="F1044" s="256"/>
      <c r="G1044" s="257"/>
      <c r="H1044" s="169"/>
      <c r="I1044" s="36"/>
      <c r="J1044" s="37"/>
    </row>
    <row r="1045" spans="1:10" ht="20.45" customHeight="1" x14ac:dyDescent="0.6">
      <c r="A1045" s="252"/>
      <c r="B1045" s="67"/>
      <c r="C1045" s="35"/>
      <c r="D1045" s="36"/>
      <c r="E1045" s="67"/>
      <c r="F1045" s="256"/>
      <c r="G1045" s="257"/>
      <c r="H1045" s="169"/>
      <c r="I1045" s="36"/>
      <c r="J1045" s="37"/>
    </row>
    <row r="1046" spans="1:10" ht="20.45" customHeight="1" x14ac:dyDescent="0.6">
      <c r="A1046" s="252"/>
      <c r="B1046" s="67"/>
      <c r="C1046" s="35"/>
      <c r="D1046" s="36"/>
      <c r="E1046" s="36"/>
      <c r="F1046" s="258"/>
      <c r="G1046" s="259"/>
      <c r="H1046" s="169"/>
      <c r="I1046" s="36"/>
      <c r="J1046" s="37"/>
    </row>
    <row r="1047" spans="1:10" ht="20.45" customHeight="1" x14ac:dyDescent="0.6">
      <c r="A1047" s="252"/>
      <c r="B1047" s="67"/>
      <c r="C1047" s="102"/>
      <c r="D1047" s="36"/>
      <c r="E1047" s="36"/>
      <c r="F1047" s="258"/>
      <c r="G1047" s="259"/>
      <c r="H1047" s="169"/>
      <c r="I1047" s="36"/>
      <c r="J1047" s="37"/>
    </row>
    <row r="1048" spans="1:10" ht="20.45" customHeight="1" x14ac:dyDescent="0.6">
      <c r="A1048" s="252"/>
      <c r="B1048" s="67"/>
      <c r="C1048" s="35"/>
      <c r="D1048" s="36"/>
      <c r="E1048" s="36"/>
      <c r="F1048" s="258"/>
      <c r="G1048" s="259"/>
      <c r="H1048" s="169"/>
      <c r="I1048" s="36"/>
      <c r="J1048" s="37"/>
    </row>
    <row r="1049" spans="1:10" ht="20.45" customHeight="1" x14ac:dyDescent="0.6">
      <c r="A1049" s="252"/>
      <c r="B1049" s="67"/>
      <c r="C1049" s="35"/>
      <c r="D1049" s="36"/>
      <c r="E1049" s="36"/>
      <c r="F1049" s="258"/>
      <c r="G1049" s="259"/>
      <c r="H1049" s="169"/>
      <c r="I1049" s="36"/>
      <c r="J1049" s="37"/>
    </row>
    <row r="1050" spans="1:10" ht="20.45" customHeight="1" x14ac:dyDescent="0.6">
      <c r="A1050" s="253"/>
      <c r="B1050" s="68"/>
      <c r="C1050" s="39"/>
      <c r="D1050" s="40"/>
      <c r="E1050" s="40"/>
      <c r="F1050" s="260"/>
      <c r="G1050" s="261"/>
      <c r="H1050" s="170"/>
      <c r="I1050" s="68" t="s">
        <v>95</v>
      </c>
      <c r="J1050" s="41">
        <f>SUM(C1042:H1048)</f>
        <v>1768000</v>
      </c>
    </row>
    <row r="1051" spans="1:10" ht="20.45" customHeight="1" x14ac:dyDescent="0.6">
      <c r="A1051" s="251" t="s">
        <v>96</v>
      </c>
      <c r="B1051" s="36" t="s">
        <v>97</v>
      </c>
      <c r="C1051" s="35">
        <f>VLOOKUP($K1038,임금대장!$A$6:$AH$86,25,0)</f>
        <v>53040</v>
      </c>
      <c r="D1051" s="33"/>
      <c r="E1051" s="42"/>
      <c r="F1051" s="262" t="s">
        <v>14</v>
      </c>
      <c r="G1051" s="263"/>
      <c r="H1051" s="169">
        <f>VLOOKUP($K1038,임금대장!$A$6:$AH$86,19,0)</f>
        <v>0</v>
      </c>
      <c r="I1051" s="33"/>
      <c r="J1051" s="34"/>
    </row>
    <row r="1052" spans="1:10" ht="20.45" customHeight="1" x14ac:dyDescent="0.6">
      <c r="A1052" s="252"/>
      <c r="B1052" s="36" t="s">
        <v>98</v>
      </c>
      <c r="C1052" s="35">
        <f>VLOOKUP($K1038,임금대장!$A$6:$AH$86,26,0)</f>
        <v>5300</v>
      </c>
      <c r="D1052" s="36"/>
      <c r="E1052" s="43"/>
      <c r="F1052" s="258" t="s">
        <v>12</v>
      </c>
      <c r="G1052" s="259"/>
      <c r="H1052" s="169">
        <f>VLOOKUP($K1038,임금대장!$A$6:$AH$86,17,0)</f>
        <v>0</v>
      </c>
      <c r="I1052" s="36"/>
      <c r="J1052" s="37"/>
    </row>
    <row r="1053" spans="1:10" ht="20.45" customHeight="1" x14ac:dyDescent="0.6">
      <c r="A1053" s="252"/>
      <c r="B1053" s="36" t="s">
        <v>99</v>
      </c>
      <c r="C1053" s="35">
        <f>VLOOKUP($K1038,임금대장!$A$6:$AH$86,27,0)</f>
        <v>0</v>
      </c>
      <c r="D1053" s="36"/>
      <c r="E1053" s="44"/>
      <c r="F1053" s="258" t="s">
        <v>100</v>
      </c>
      <c r="G1053" s="259"/>
      <c r="H1053" s="169">
        <f>VLOOKUP($K1038,임금대장!$A$6:$AH$86,31,0)</f>
        <v>0</v>
      </c>
      <c r="I1053" s="36"/>
      <c r="J1053" s="37"/>
    </row>
    <row r="1054" spans="1:10" ht="20.45" customHeight="1" x14ac:dyDescent="0.6">
      <c r="A1054" s="252"/>
      <c r="B1054" s="36" t="s">
        <v>101</v>
      </c>
      <c r="C1054" s="35">
        <f>VLOOKUP($K1038,임금대장!$A$6:$AH$86,28,0)</f>
        <v>0</v>
      </c>
      <c r="D1054" s="36"/>
      <c r="E1054" s="43"/>
      <c r="F1054" s="258" t="s">
        <v>102</v>
      </c>
      <c r="G1054" s="259"/>
      <c r="H1054" s="169">
        <f>VLOOKUP($K1038,임금대장!$A$6:$AH$86,30,0)</f>
        <v>0</v>
      </c>
      <c r="I1054" s="36"/>
      <c r="J1054" s="37"/>
    </row>
    <row r="1055" spans="1:10" ht="20.45" customHeight="1" x14ac:dyDescent="0.6">
      <c r="A1055" s="252"/>
      <c r="B1055" s="36" t="s">
        <v>31</v>
      </c>
      <c r="C1055" s="35">
        <f>VLOOKUP($K1038,임금대장!$A$6:$AH$86,29,0)</f>
        <v>0</v>
      </c>
      <c r="D1055" s="36"/>
      <c r="E1055" s="43"/>
      <c r="F1055" s="258" t="s">
        <v>328</v>
      </c>
      <c r="G1055" s="259"/>
      <c r="H1055" s="169">
        <f>VLOOKUP($K1038,임금대장!$A$3:$AH$86,32,0)</f>
        <v>0</v>
      </c>
      <c r="I1055" s="67" t="s">
        <v>103</v>
      </c>
      <c r="J1055" s="47">
        <f>SUM(C1051:H1056)</f>
        <v>58340</v>
      </c>
    </row>
    <row r="1056" spans="1:10" ht="20.45" customHeight="1" x14ac:dyDescent="0.6">
      <c r="A1056" s="253"/>
      <c r="B1056" s="40"/>
      <c r="C1056" s="101"/>
      <c r="D1056" s="40"/>
      <c r="E1056" s="48"/>
      <c r="F1056" s="260"/>
      <c r="G1056" s="261"/>
      <c r="H1056" s="170"/>
      <c r="I1056" s="68" t="s">
        <v>104</v>
      </c>
      <c r="J1056" s="49">
        <f>J1050-J1055</f>
        <v>1709660</v>
      </c>
    </row>
    <row r="1057" spans="1:11" ht="20.45" customHeight="1" x14ac:dyDescent="0.6">
      <c r="A1057" s="50" t="s">
        <v>105</v>
      </c>
      <c r="J1057" s="51" t="s">
        <v>0</v>
      </c>
    </row>
    <row r="1058" spans="1:11" ht="20.45" customHeight="1" x14ac:dyDescent="0.6">
      <c r="A1058" s="50"/>
      <c r="J1058" s="51"/>
    </row>
    <row r="1059" spans="1:11" ht="20.45" customHeight="1" x14ac:dyDescent="0.6">
      <c r="A1059" s="264" t="s">
        <v>399</v>
      </c>
      <c r="B1059" s="264"/>
      <c r="C1059" s="264"/>
      <c r="D1059" s="264"/>
      <c r="E1059" s="264"/>
      <c r="F1059" s="264"/>
      <c r="G1059" s="264"/>
      <c r="H1059" s="264"/>
      <c r="I1059" s="264"/>
      <c r="J1059" s="264"/>
    </row>
    <row r="1060" spans="1:11" ht="20.45" customHeight="1" x14ac:dyDescent="0.6">
      <c r="A1060" s="286" t="s">
        <v>83</v>
      </c>
      <c r="B1060" s="286"/>
      <c r="C1060" s="286"/>
      <c r="D1060" s="286" t="s">
        <v>84</v>
      </c>
      <c r="E1060" s="286"/>
      <c r="F1060" s="265" t="s">
        <v>85</v>
      </c>
      <c r="G1060" s="250"/>
      <c r="H1060" s="266"/>
      <c r="I1060" s="286" t="s">
        <v>86</v>
      </c>
      <c r="J1060" s="286"/>
    </row>
    <row r="1061" spans="1:11" ht="20.45" customHeight="1" x14ac:dyDescent="0.6">
      <c r="A1061" s="286" t="str">
        <f>VLOOKUP(K1061,임금대장!$A$6:$AH$86,3,0)</f>
        <v>파트</v>
      </c>
      <c r="B1061" s="286"/>
      <c r="C1061" s="286"/>
      <c r="D1061" s="287" t="str">
        <f>VLOOKUP(K1061,임금대장!$A$6:$AH$86,2,0)</f>
        <v>김철우</v>
      </c>
      <c r="E1061" s="287"/>
      <c r="F1061" s="267">
        <f>임금대장!$O$3</f>
        <v>31</v>
      </c>
      <c r="G1061" s="269"/>
      <c r="H1061" s="268"/>
      <c r="I1061" s="288">
        <f>VLOOKUP(K1061,임금대장!$A$6:$AH$86,16,0)</f>
        <v>0</v>
      </c>
      <c r="J1061" s="288"/>
      <c r="K1061" s="30">
        <v>47</v>
      </c>
    </row>
    <row r="1062" spans="1:11" ht="20.45" customHeight="1" x14ac:dyDescent="0.6">
      <c r="A1062" s="286" t="s">
        <v>107</v>
      </c>
      <c r="B1062" s="286"/>
      <c r="C1062" s="286" t="s">
        <v>5</v>
      </c>
      <c r="D1062" s="289"/>
      <c r="E1062" s="289"/>
      <c r="F1062" s="114" t="s">
        <v>108</v>
      </c>
      <c r="G1062" s="278">
        <f>VLOOKUP(K1061,임금대장!$A$6:$AH$86,15,0)</f>
        <v>132.5</v>
      </c>
      <c r="H1062" s="279"/>
      <c r="I1062" s="286" t="s">
        <v>89</v>
      </c>
      <c r="J1062" s="290">
        <f>VLOOKUP(K1061,임금대장!$A$6:$AH$86,17,0)</f>
        <v>0</v>
      </c>
    </row>
    <row r="1063" spans="1:11" ht="20.45" customHeight="1" x14ac:dyDescent="0.6">
      <c r="A1063" s="291">
        <f>C1065/G1062</f>
        <v>13000</v>
      </c>
      <c r="B1063" s="291"/>
      <c r="C1063" s="286"/>
      <c r="D1063" s="289"/>
      <c r="E1063" s="289"/>
      <c r="F1063" s="115" t="s">
        <v>90</v>
      </c>
      <c r="G1063" s="284">
        <f>VLOOKUP(K1061,임금대장!$A$6:$AH$86,16,0)</f>
        <v>0</v>
      </c>
      <c r="H1063" s="285"/>
      <c r="I1063" s="286"/>
      <c r="J1063" s="290"/>
    </row>
    <row r="1064" spans="1:11" ht="20.45" customHeight="1" x14ac:dyDescent="0.6">
      <c r="F1064" s="250"/>
      <c r="G1064" s="250"/>
    </row>
    <row r="1065" spans="1:11" ht="20.45" customHeight="1" x14ac:dyDescent="0.6">
      <c r="A1065" s="251" t="s">
        <v>91</v>
      </c>
      <c r="B1065" s="69" t="s">
        <v>109</v>
      </c>
      <c r="C1065" s="25">
        <f>VLOOKUP($K1061,임금대장!$A$6:$AH$86,9,0)</f>
        <v>1722500</v>
      </c>
      <c r="D1065" s="33" t="s">
        <v>110</v>
      </c>
      <c r="E1065" s="69"/>
      <c r="F1065" s="254"/>
      <c r="G1065" s="255"/>
      <c r="H1065" s="168"/>
      <c r="I1065" s="33"/>
      <c r="J1065" s="34"/>
    </row>
    <row r="1066" spans="1:11" ht="20.45" customHeight="1" x14ac:dyDescent="0.6">
      <c r="A1066" s="252"/>
      <c r="B1066" s="67"/>
      <c r="C1066" s="35"/>
      <c r="D1066" s="36"/>
      <c r="E1066" s="67"/>
      <c r="F1066" s="256"/>
      <c r="G1066" s="257"/>
      <c r="H1066" s="169"/>
      <c r="I1066" s="36"/>
      <c r="J1066" s="37"/>
    </row>
    <row r="1067" spans="1:11" ht="20.45" customHeight="1" x14ac:dyDescent="0.6">
      <c r="A1067" s="252"/>
      <c r="B1067" s="52"/>
      <c r="C1067" s="35"/>
      <c r="D1067" s="36"/>
      <c r="E1067" s="67"/>
      <c r="F1067" s="256"/>
      <c r="G1067" s="257"/>
      <c r="H1067" s="169"/>
      <c r="I1067" s="36"/>
      <c r="J1067" s="37"/>
    </row>
    <row r="1068" spans="1:11" ht="20.45" customHeight="1" x14ac:dyDescent="0.6">
      <c r="A1068" s="252"/>
      <c r="B1068" s="67"/>
      <c r="C1068" s="35"/>
      <c r="D1068" s="36"/>
      <c r="E1068" s="67"/>
      <c r="F1068" s="256"/>
      <c r="G1068" s="257"/>
      <c r="H1068" s="169"/>
      <c r="I1068" s="36"/>
      <c r="J1068" s="37"/>
    </row>
    <row r="1069" spans="1:11" ht="20.45" customHeight="1" x14ac:dyDescent="0.6">
      <c r="A1069" s="252"/>
      <c r="B1069" s="67"/>
      <c r="C1069" s="35"/>
      <c r="D1069" s="36"/>
      <c r="E1069" s="36"/>
      <c r="F1069" s="258"/>
      <c r="G1069" s="259"/>
      <c r="H1069" s="169"/>
      <c r="I1069" s="36"/>
      <c r="J1069" s="37"/>
    </row>
    <row r="1070" spans="1:11" ht="20.45" customHeight="1" x14ac:dyDescent="0.6">
      <c r="A1070" s="252"/>
      <c r="B1070" s="67"/>
      <c r="C1070" s="102"/>
      <c r="D1070" s="36"/>
      <c r="E1070" s="36"/>
      <c r="F1070" s="258"/>
      <c r="G1070" s="259"/>
      <c r="H1070" s="169"/>
      <c r="I1070" s="36"/>
      <c r="J1070" s="37"/>
    </row>
    <row r="1071" spans="1:11" ht="20.45" customHeight="1" x14ac:dyDescent="0.6">
      <c r="A1071" s="252"/>
      <c r="B1071" s="67"/>
      <c r="C1071" s="35"/>
      <c r="D1071" s="36"/>
      <c r="E1071" s="36"/>
      <c r="F1071" s="258"/>
      <c r="G1071" s="259"/>
      <c r="H1071" s="169"/>
      <c r="I1071" s="36"/>
      <c r="J1071" s="37"/>
    </row>
    <row r="1072" spans="1:11" ht="20.45" customHeight="1" x14ac:dyDescent="0.6">
      <c r="A1072" s="252"/>
      <c r="B1072" s="67"/>
      <c r="C1072" s="35"/>
      <c r="D1072" s="36"/>
      <c r="E1072" s="36"/>
      <c r="F1072" s="258"/>
      <c r="G1072" s="259"/>
      <c r="H1072" s="169"/>
      <c r="I1072" s="36"/>
      <c r="J1072" s="37"/>
    </row>
    <row r="1073" spans="1:11" ht="20.45" customHeight="1" x14ac:dyDescent="0.6">
      <c r="A1073" s="253"/>
      <c r="B1073" s="68"/>
      <c r="C1073" s="39"/>
      <c r="D1073" s="40"/>
      <c r="E1073" s="40"/>
      <c r="F1073" s="260"/>
      <c r="G1073" s="261"/>
      <c r="H1073" s="170"/>
      <c r="I1073" s="68" t="s">
        <v>95</v>
      </c>
      <c r="J1073" s="41">
        <f>SUM(C1065:H1071)</f>
        <v>1722500</v>
      </c>
    </row>
    <row r="1074" spans="1:11" ht="20.45" customHeight="1" x14ac:dyDescent="0.6">
      <c r="A1074" s="251" t="s">
        <v>96</v>
      </c>
      <c r="B1074" s="36" t="s">
        <v>97</v>
      </c>
      <c r="C1074" s="35">
        <f>VLOOKUP($K1061,임금대장!$A$6:$AH$86,25,0)</f>
        <v>51670</v>
      </c>
      <c r="D1074" s="33"/>
      <c r="E1074" s="42"/>
      <c r="F1074" s="262" t="s">
        <v>14</v>
      </c>
      <c r="G1074" s="263"/>
      <c r="H1074" s="169">
        <f>VLOOKUP($K1061,임금대장!$A$6:$AH$86,19,0)</f>
        <v>0</v>
      </c>
      <c r="I1074" s="33"/>
      <c r="J1074" s="34"/>
    </row>
    <row r="1075" spans="1:11" ht="20.45" customHeight="1" x14ac:dyDescent="0.6">
      <c r="A1075" s="252"/>
      <c r="B1075" s="36" t="s">
        <v>98</v>
      </c>
      <c r="C1075" s="35">
        <f>VLOOKUP($K1061,임금대장!$A$6:$AH$86,26,0)</f>
        <v>5160</v>
      </c>
      <c r="D1075" s="36"/>
      <c r="E1075" s="43"/>
      <c r="F1075" s="258" t="s">
        <v>12</v>
      </c>
      <c r="G1075" s="259"/>
      <c r="H1075" s="169">
        <f>VLOOKUP($K1061,임금대장!$A$6:$AH$86,17,0)</f>
        <v>0</v>
      </c>
      <c r="I1075" s="36"/>
      <c r="J1075" s="37"/>
    </row>
    <row r="1076" spans="1:11" ht="20.45" customHeight="1" x14ac:dyDescent="0.6">
      <c r="A1076" s="252"/>
      <c r="B1076" s="36" t="s">
        <v>99</v>
      </c>
      <c r="C1076" s="35">
        <f>VLOOKUP($K1061,임금대장!$A$6:$AH$86,27,0)</f>
        <v>0</v>
      </c>
      <c r="D1076" s="36"/>
      <c r="E1076" s="44"/>
      <c r="F1076" s="258" t="s">
        <v>100</v>
      </c>
      <c r="G1076" s="259"/>
      <c r="H1076" s="169">
        <f>VLOOKUP($K1061,임금대장!$A$6:$AH$86,31,0)</f>
        <v>0</v>
      </c>
      <c r="I1076" s="36"/>
      <c r="J1076" s="37"/>
    </row>
    <row r="1077" spans="1:11" ht="20.45" customHeight="1" x14ac:dyDescent="0.6">
      <c r="A1077" s="252"/>
      <c r="B1077" s="36" t="s">
        <v>101</v>
      </c>
      <c r="C1077" s="35">
        <f>VLOOKUP($K1061,임금대장!$A$6:$AH$86,28,0)</f>
        <v>0</v>
      </c>
      <c r="D1077" s="36"/>
      <c r="E1077" s="43"/>
      <c r="F1077" s="258" t="s">
        <v>102</v>
      </c>
      <c r="G1077" s="259"/>
      <c r="H1077" s="169">
        <f>VLOOKUP($K1061,임금대장!$A$6:$AH$86,30,0)</f>
        <v>0</v>
      </c>
      <c r="I1077" s="36"/>
      <c r="J1077" s="37"/>
    </row>
    <row r="1078" spans="1:11" ht="20.45" customHeight="1" x14ac:dyDescent="0.6">
      <c r="A1078" s="252"/>
      <c r="B1078" s="36" t="s">
        <v>31</v>
      </c>
      <c r="C1078" s="35">
        <f>VLOOKUP($K1061,임금대장!$A$6:$AH$86,29,0)</f>
        <v>0</v>
      </c>
      <c r="D1078" s="36"/>
      <c r="E1078" s="43"/>
      <c r="F1078" s="258" t="s">
        <v>328</v>
      </c>
      <c r="G1078" s="259"/>
      <c r="H1078" s="169">
        <f>VLOOKUP($K1061,임금대장!$A$3:$AH$86,32,0)</f>
        <v>0</v>
      </c>
      <c r="I1078" s="67" t="s">
        <v>103</v>
      </c>
      <c r="J1078" s="47">
        <f>SUM(C1074:H1079)</f>
        <v>56830</v>
      </c>
    </row>
    <row r="1079" spans="1:11" ht="20.45" customHeight="1" x14ac:dyDescent="0.6">
      <c r="A1079" s="253"/>
      <c r="B1079" s="40"/>
      <c r="C1079" s="101"/>
      <c r="D1079" s="40"/>
      <c r="E1079" s="48"/>
      <c r="F1079" s="260"/>
      <c r="G1079" s="261"/>
      <c r="H1079" s="170"/>
      <c r="I1079" s="68" t="s">
        <v>104</v>
      </c>
      <c r="J1079" s="49">
        <f>J1073-J1078</f>
        <v>1665670</v>
      </c>
    </row>
    <row r="1080" spans="1:11" ht="20.45" customHeight="1" x14ac:dyDescent="0.6">
      <c r="A1080" s="50" t="s">
        <v>105</v>
      </c>
      <c r="J1080" s="51" t="s">
        <v>0</v>
      </c>
    </row>
    <row r="1081" spans="1:11" ht="20.45" customHeight="1" x14ac:dyDescent="0.6">
      <c r="A1081" s="50"/>
      <c r="J1081" s="51"/>
    </row>
    <row r="1082" spans="1:11" ht="20.45" customHeight="1" x14ac:dyDescent="0.6">
      <c r="A1082" s="264" t="s">
        <v>399</v>
      </c>
      <c r="B1082" s="264"/>
      <c r="C1082" s="264"/>
      <c r="D1082" s="264"/>
      <c r="E1082" s="264"/>
      <c r="F1082" s="264"/>
      <c r="G1082" s="264"/>
      <c r="H1082" s="264"/>
      <c r="I1082" s="264"/>
      <c r="J1082" s="264"/>
    </row>
    <row r="1083" spans="1:11" ht="20.45" customHeight="1" x14ac:dyDescent="0.6">
      <c r="A1083" s="286" t="s">
        <v>83</v>
      </c>
      <c r="B1083" s="286"/>
      <c r="C1083" s="286"/>
      <c r="D1083" s="286" t="s">
        <v>84</v>
      </c>
      <c r="E1083" s="286"/>
      <c r="F1083" s="265" t="s">
        <v>85</v>
      </c>
      <c r="G1083" s="250"/>
      <c r="H1083" s="266"/>
      <c r="I1083" s="286" t="s">
        <v>86</v>
      </c>
      <c r="J1083" s="286"/>
    </row>
    <row r="1084" spans="1:11" ht="20.45" customHeight="1" x14ac:dyDescent="0.6">
      <c r="A1084" s="286" t="str">
        <f>VLOOKUP(K1084,임금대장!$A$6:$AH$86,3,0)</f>
        <v>파트</v>
      </c>
      <c r="B1084" s="286"/>
      <c r="C1084" s="286"/>
      <c r="D1084" s="287" t="str">
        <f>VLOOKUP(K1084,임금대장!$A$6:$AH$86,2,0)</f>
        <v>김수연</v>
      </c>
      <c r="E1084" s="287"/>
      <c r="F1084" s="267">
        <f>임금대장!$O$3</f>
        <v>31</v>
      </c>
      <c r="G1084" s="269"/>
      <c r="H1084" s="268"/>
      <c r="I1084" s="288">
        <f>VLOOKUP(K1084,임금대장!$A$6:$AH$86,16,0)</f>
        <v>0</v>
      </c>
      <c r="J1084" s="288"/>
      <c r="K1084" s="30">
        <v>48</v>
      </c>
    </row>
    <row r="1085" spans="1:11" ht="20.45" customHeight="1" x14ac:dyDescent="0.6">
      <c r="A1085" s="286" t="s">
        <v>107</v>
      </c>
      <c r="B1085" s="286"/>
      <c r="C1085" s="286" t="s">
        <v>5</v>
      </c>
      <c r="D1085" s="289"/>
      <c r="E1085" s="289"/>
      <c r="F1085" s="114" t="s">
        <v>108</v>
      </c>
      <c r="G1085" s="278">
        <f>VLOOKUP(K1084,임금대장!$A$6:$AH$86,15,0)</f>
        <v>116</v>
      </c>
      <c r="H1085" s="279"/>
      <c r="I1085" s="286" t="s">
        <v>89</v>
      </c>
      <c r="J1085" s="290">
        <f>VLOOKUP(K1084,임금대장!$A$6:$AH$86,17,0)</f>
        <v>0</v>
      </c>
    </row>
    <row r="1086" spans="1:11" ht="20.45" customHeight="1" x14ac:dyDescent="0.6">
      <c r="A1086" s="291">
        <f>C1088/G1085</f>
        <v>13000</v>
      </c>
      <c r="B1086" s="291"/>
      <c r="C1086" s="286"/>
      <c r="D1086" s="289"/>
      <c r="E1086" s="289"/>
      <c r="F1086" s="115" t="s">
        <v>90</v>
      </c>
      <c r="G1086" s="284">
        <f>VLOOKUP(K1084,임금대장!$A$6:$AH$86,16,0)</f>
        <v>0</v>
      </c>
      <c r="H1086" s="285"/>
      <c r="I1086" s="286"/>
      <c r="J1086" s="290"/>
    </row>
    <row r="1087" spans="1:11" ht="20.45" customHeight="1" x14ac:dyDescent="0.6">
      <c r="F1087" s="250"/>
      <c r="G1087" s="250"/>
    </row>
    <row r="1088" spans="1:11" ht="20.45" customHeight="1" x14ac:dyDescent="0.6">
      <c r="A1088" s="251" t="s">
        <v>91</v>
      </c>
      <c r="B1088" s="69" t="s">
        <v>109</v>
      </c>
      <c r="C1088" s="25">
        <f>VLOOKUP($K1084,임금대장!$A$6:$AH$86,9,0)</f>
        <v>1508000</v>
      </c>
      <c r="D1088" s="33" t="s">
        <v>110</v>
      </c>
      <c r="E1088" s="69"/>
      <c r="F1088" s="254"/>
      <c r="G1088" s="255"/>
      <c r="H1088" s="168"/>
      <c r="I1088" s="33"/>
      <c r="J1088" s="34"/>
    </row>
    <row r="1089" spans="1:10" ht="20.45" customHeight="1" x14ac:dyDescent="0.6">
      <c r="A1089" s="252"/>
      <c r="B1089" s="67"/>
      <c r="C1089" s="35"/>
      <c r="D1089" s="36"/>
      <c r="E1089" s="67"/>
      <c r="F1089" s="256"/>
      <c r="G1089" s="257"/>
      <c r="H1089" s="169"/>
      <c r="I1089" s="36"/>
      <c r="J1089" s="37"/>
    </row>
    <row r="1090" spans="1:10" ht="20.45" customHeight="1" x14ac:dyDescent="0.6">
      <c r="A1090" s="252"/>
      <c r="B1090" s="52"/>
      <c r="C1090" s="35"/>
      <c r="D1090" s="36"/>
      <c r="E1090" s="67"/>
      <c r="F1090" s="256"/>
      <c r="G1090" s="257"/>
      <c r="H1090" s="169"/>
      <c r="I1090" s="36"/>
      <c r="J1090" s="37"/>
    </row>
    <row r="1091" spans="1:10" ht="20.45" customHeight="1" x14ac:dyDescent="0.6">
      <c r="A1091" s="252"/>
      <c r="B1091" s="67"/>
      <c r="C1091" s="35"/>
      <c r="D1091" s="36"/>
      <c r="E1091" s="67"/>
      <c r="F1091" s="256"/>
      <c r="G1091" s="257"/>
      <c r="H1091" s="169"/>
      <c r="I1091" s="36"/>
      <c r="J1091" s="37"/>
    </row>
    <row r="1092" spans="1:10" ht="20.45" customHeight="1" x14ac:dyDescent="0.6">
      <c r="A1092" s="252"/>
      <c r="B1092" s="67"/>
      <c r="C1092" s="35"/>
      <c r="D1092" s="36"/>
      <c r="E1092" s="36"/>
      <c r="F1092" s="258"/>
      <c r="G1092" s="259"/>
      <c r="H1092" s="169"/>
      <c r="I1092" s="36"/>
      <c r="J1092" s="37"/>
    </row>
    <row r="1093" spans="1:10" ht="20.45" customHeight="1" x14ac:dyDescent="0.6">
      <c r="A1093" s="252"/>
      <c r="B1093" s="67"/>
      <c r="C1093" s="102"/>
      <c r="D1093" s="36"/>
      <c r="E1093" s="36"/>
      <c r="F1093" s="258"/>
      <c r="G1093" s="259"/>
      <c r="H1093" s="169"/>
      <c r="I1093" s="36"/>
      <c r="J1093" s="37"/>
    </row>
    <row r="1094" spans="1:10" ht="20.45" customHeight="1" x14ac:dyDescent="0.6">
      <c r="A1094" s="252"/>
      <c r="B1094" s="67"/>
      <c r="C1094" s="35"/>
      <c r="D1094" s="36"/>
      <c r="E1094" s="36"/>
      <c r="F1094" s="258"/>
      <c r="G1094" s="259"/>
      <c r="H1094" s="169"/>
      <c r="I1094" s="36"/>
      <c r="J1094" s="37"/>
    </row>
    <row r="1095" spans="1:10" ht="20.45" customHeight="1" x14ac:dyDescent="0.6">
      <c r="A1095" s="252"/>
      <c r="B1095" s="67"/>
      <c r="C1095" s="35"/>
      <c r="D1095" s="36"/>
      <c r="E1095" s="36"/>
      <c r="F1095" s="258"/>
      <c r="G1095" s="259"/>
      <c r="H1095" s="169"/>
      <c r="I1095" s="36"/>
      <c r="J1095" s="37"/>
    </row>
    <row r="1096" spans="1:10" ht="20.45" customHeight="1" x14ac:dyDescent="0.6">
      <c r="A1096" s="253"/>
      <c r="B1096" s="68"/>
      <c r="C1096" s="39"/>
      <c r="D1096" s="40"/>
      <c r="E1096" s="40"/>
      <c r="F1096" s="260"/>
      <c r="G1096" s="261"/>
      <c r="H1096" s="170"/>
      <c r="I1096" s="68" t="s">
        <v>95</v>
      </c>
      <c r="J1096" s="41">
        <f>SUM(C1088:H1094)</f>
        <v>1508000</v>
      </c>
    </row>
    <row r="1097" spans="1:10" ht="20.45" customHeight="1" x14ac:dyDescent="0.6">
      <c r="A1097" s="251" t="s">
        <v>96</v>
      </c>
      <c r="B1097" s="36" t="s">
        <v>97</v>
      </c>
      <c r="C1097" s="35">
        <f>VLOOKUP($K1084,임금대장!$A$6:$AH$86,25,0)</f>
        <v>45240</v>
      </c>
      <c r="D1097" s="33"/>
      <c r="E1097" s="42"/>
      <c r="F1097" s="262" t="s">
        <v>14</v>
      </c>
      <c r="G1097" s="263"/>
      <c r="H1097" s="169">
        <f>VLOOKUP($K1084,임금대장!$A$6:$AH$86,19,0)</f>
        <v>0</v>
      </c>
      <c r="I1097" s="33"/>
      <c r="J1097" s="34"/>
    </row>
    <row r="1098" spans="1:10" ht="20.45" customHeight="1" x14ac:dyDescent="0.6">
      <c r="A1098" s="252"/>
      <c r="B1098" s="36" t="s">
        <v>98</v>
      </c>
      <c r="C1098" s="35">
        <f>VLOOKUP($K1084,임금대장!$A$6:$AH$86,26,0)</f>
        <v>4520</v>
      </c>
      <c r="D1098" s="36"/>
      <c r="E1098" s="43"/>
      <c r="F1098" s="258" t="s">
        <v>12</v>
      </c>
      <c r="G1098" s="259"/>
      <c r="H1098" s="169">
        <f>VLOOKUP($K1084,임금대장!$A$6:$AH$86,17,0)</f>
        <v>0</v>
      </c>
      <c r="I1098" s="36"/>
      <c r="J1098" s="37"/>
    </row>
    <row r="1099" spans="1:10" ht="20.45" customHeight="1" x14ac:dyDescent="0.6">
      <c r="A1099" s="252"/>
      <c r="B1099" s="36" t="s">
        <v>99</v>
      </c>
      <c r="C1099" s="35">
        <f>VLOOKUP($K1084,임금대장!$A$6:$AH$86,27,0)</f>
        <v>0</v>
      </c>
      <c r="D1099" s="36"/>
      <c r="E1099" s="44"/>
      <c r="F1099" s="258" t="s">
        <v>100</v>
      </c>
      <c r="G1099" s="259"/>
      <c r="H1099" s="169">
        <f>VLOOKUP($K1084,임금대장!$A$6:$AH$86,31,0)</f>
        <v>0</v>
      </c>
      <c r="I1099" s="36"/>
      <c r="J1099" s="37"/>
    </row>
    <row r="1100" spans="1:10" ht="20.45" customHeight="1" x14ac:dyDescent="0.6">
      <c r="A1100" s="252"/>
      <c r="B1100" s="36" t="s">
        <v>101</v>
      </c>
      <c r="C1100" s="35">
        <f>VLOOKUP($K1084,임금대장!$A$6:$AH$86,28,0)</f>
        <v>0</v>
      </c>
      <c r="D1100" s="36"/>
      <c r="E1100" s="43"/>
      <c r="F1100" s="258" t="s">
        <v>102</v>
      </c>
      <c r="G1100" s="259"/>
      <c r="H1100" s="169">
        <f>VLOOKUP($K1084,임금대장!$A$6:$AH$86,30,0)</f>
        <v>0</v>
      </c>
      <c r="I1100" s="36"/>
      <c r="J1100" s="37"/>
    </row>
    <row r="1101" spans="1:10" ht="20.45" customHeight="1" x14ac:dyDescent="0.6">
      <c r="A1101" s="252"/>
      <c r="B1101" s="36" t="s">
        <v>31</v>
      </c>
      <c r="C1101" s="35">
        <f>VLOOKUP($K1084,임금대장!$A$6:$AH$86,29,0)</f>
        <v>0</v>
      </c>
      <c r="D1101" s="36"/>
      <c r="E1101" s="43"/>
      <c r="F1101" s="258" t="s">
        <v>328</v>
      </c>
      <c r="G1101" s="259"/>
      <c r="H1101" s="169">
        <f>VLOOKUP($K1084,임금대장!$A$3:$AH$86,32,0)</f>
        <v>0</v>
      </c>
      <c r="I1101" s="67" t="s">
        <v>103</v>
      </c>
      <c r="J1101" s="47">
        <f>SUM(C1097:H1102)</f>
        <v>49760</v>
      </c>
    </row>
    <row r="1102" spans="1:10" ht="20.45" customHeight="1" x14ac:dyDescent="0.6">
      <c r="A1102" s="253"/>
      <c r="B1102" s="40"/>
      <c r="C1102" s="101"/>
      <c r="D1102" s="40"/>
      <c r="E1102" s="48"/>
      <c r="F1102" s="260"/>
      <c r="G1102" s="261"/>
      <c r="H1102" s="170"/>
      <c r="I1102" s="68" t="s">
        <v>104</v>
      </c>
      <c r="J1102" s="49">
        <f>J1096-J1101</f>
        <v>1458240</v>
      </c>
    </row>
    <row r="1103" spans="1:10" ht="20.45" customHeight="1" x14ac:dyDescent="0.6">
      <c r="A1103" s="50" t="s">
        <v>105</v>
      </c>
      <c r="J1103" s="51" t="s">
        <v>0</v>
      </c>
    </row>
    <row r="1104" spans="1:10" ht="20.45" customHeight="1" x14ac:dyDescent="0.6">
      <c r="A1104" s="50"/>
      <c r="J1104" s="51"/>
    </row>
    <row r="1105" spans="1:11" ht="20.45" customHeight="1" x14ac:dyDescent="0.6">
      <c r="A1105" s="264" t="s">
        <v>399</v>
      </c>
      <c r="B1105" s="264"/>
      <c r="C1105" s="264"/>
      <c r="D1105" s="264"/>
      <c r="E1105" s="264"/>
      <c r="F1105" s="264"/>
      <c r="G1105" s="264"/>
      <c r="H1105" s="264"/>
      <c r="I1105" s="264"/>
      <c r="J1105" s="264"/>
    </row>
    <row r="1106" spans="1:11" ht="20.45" customHeight="1" x14ac:dyDescent="0.6">
      <c r="A1106" s="286" t="s">
        <v>83</v>
      </c>
      <c r="B1106" s="286"/>
      <c r="C1106" s="286"/>
      <c r="D1106" s="286" t="s">
        <v>84</v>
      </c>
      <c r="E1106" s="286"/>
      <c r="F1106" s="265" t="s">
        <v>85</v>
      </c>
      <c r="G1106" s="250"/>
      <c r="H1106" s="266"/>
      <c r="I1106" s="286" t="s">
        <v>86</v>
      </c>
      <c r="J1106" s="286"/>
    </row>
    <row r="1107" spans="1:11" ht="20.45" customHeight="1" x14ac:dyDescent="0.6">
      <c r="A1107" s="286" t="str">
        <f>VLOOKUP(K1107,임금대장!$A$6:$AH$86,3,0)</f>
        <v>파트</v>
      </c>
      <c r="B1107" s="286"/>
      <c r="C1107" s="286"/>
      <c r="D1107" s="287" t="str">
        <f>VLOOKUP(K1107,임금대장!$A$6:$AH$86,2,0)</f>
        <v>서진우</v>
      </c>
      <c r="E1107" s="287"/>
      <c r="F1107" s="267">
        <f>임금대장!$O$3</f>
        <v>31</v>
      </c>
      <c r="G1107" s="269"/>
      <c r="H1107" s="268"/>
      <c r="I1107" s="288">
        <f>VLOOKUP(K1107,임금대장!$A$6:$AH$86,16,0)</f>
        <v>0</v>
      </c>
      <c r="J1107" s="288"/>
      <c r="K1107" s="30">
        <v>49</v>
      </c>
    </row>
    <row r="1108" spans="1:11" ht="20.45" customHeight="1" x14ac:dyDescent="0.6">
      <c r="A1108" s="286" t="s">
        <v>107</v>
      </c>
      <c r="B1108" s="286"/>
      <c r="C1108" s="286" t="s">
        <v>5</v>
      </c>
      <c r="D1108" s="289"/>
      <c r="E1108" s="289"/>
      <c r="F1108" s="114" t="s">
        <v>108</v>
      </c>
      <c r="G1108" s="278">
        <f>VLOOKUP(K1107,임금대장!$A$6:$AH$86,15,0)</f>
        <v>158.5</v>
      </c>
      <c r="H1108" s="279"/>
      <c r="I1108" s="286" t="s">
        <v>89</v>
      </c>
      <c r="J1108" s="290">
        <f>VLOOKUP(K1107,임금대장!$A$6:$AH$86,17,0)</f>
        <v>0</v>
      </c>
    </row>
    <row r="1109" spans="1:11" ht="20.45" customHeight="1" x14ac:dyDescent="0.6">
      <c r="A1109" s="291">
        <f>C1111/G1108</f>
        <v>13000</v>
      </c>
      <c r="B1109" s="291"/>
      <c r="C1109" s="286"/>
      <c r="D1109" s="289"/>
      <c r="E1109" s="289"/>
      <c r="F1109" s="115" t="s">
        <v>90</v>
      </c>
      <c r="G1109" s="284">
        <f>VLOOKUP(K1107,임금대장!$A$6:$AH$86,16,0)</f>
        <v>0</v>
      </c>
      <c r="H1109" s="285"/>
      <c r="I1109" s="286"/>
      <c r="J1109" s="290"/>
    </row>
    <row r="1110" spans="1:11" ht="20.45" customHeight="1" x14ac:dyDescent="0.6">
      <c r="F1110" s="250"/>
      <c r="G1110" s="250"/>
    </row>
    <row r="1111" spans="1:11" ht="20.45" customHeight="1" x14ac:dyDescent="0.6">
      <c r="A1111" s="251" t="s">
        <v>91</v>
      </c>
      <c r="B1111" s="69" t="s">
        <v>109</v>
      </c>
      <c r="C1111" s="25">
        <f>VLOOKUP($K1107,임금대장!$A$6:$AH$86,9,0)</f>
        <v>2060500</v>
      </c>
      <c r="D1111" s="33" t="s">
        <v>110</v>
      </c>
      <c r="E1111" s="69"/>
      <c r="F1111" s="254"/>
      <c r="G1111" s="255"/>
      <c r="H1111" s="168"/>
      <c r="I1111" s="33"/>
      <c r="J1111" s="34"/>
    </row>
    <row r="1112" spans="1:11" ht="20.45" customHeight="1" x14ac:dyDescent="0.6">
      <c r="A1112" s="252"/>
      <c r="B1112" s="67"/>
      <c r="C1112" s="35"/>
      <c r="D1112" s="36"/>
      <c r="E1112" s="67"/>
      <c r="F1112" s="256"/>
      <c r="G1112" s="257"/>
      <c r="H1112" s="169"/>
      <c r="I1112" s="36"/>
      <c r="J1112" s="37"/>
    </row>
    <row r="1113" spans="1:11" ht="20.45" customHeight="1" x14ac:dyDescent="0.6">
      <c r="A1113" s="252"/>
      <c r="B1113" s="52"/>
      <c r="C1113" s="35"/>
      <c r="D1113" s="36"/>
      <c r="E1113" s="67"/>
      <c r="F1113" s="256"/>
      <c r="G1113" s="257"/>
      <c r="H1113" s="169"/>
      <c r="I1113" s="36"/>
      <c r="J1113" s="37"/>
    </row>
    <row r="1114" spans="1:11" ht="20.45" customHeight="1" x14ac:dyDescent="0.6">
      <c r="A1114" s="252"/>
      <c r="B1114" s="67"/>
      <c r="C1114" s="35"/>
      <c r="D1114" s="36"/>
      <c r="E1114" s="67"/>
      <c r="F1114" s="256"/>
      <c r="G1114" s="257"/>
      <c r="H1114" s="169"/>
      <c r="I1114" s="36"/>
      <c r="J1114" s="37"/>
    </row>
    <row r="1115" spans="1:11" ht="20.45" customHeight="1" x14ac:dyDescent="0.6">
      <c r="A1115" s="252"/>
      <c r="B1115" s="67"/>
      <c r="C1115" s="35"/>
      <c r="D1115" s="36"/>
      <c r="E1115" s="36"/>
      <c r="F1115" s="258"/>
      <c r="G1115" s="259"/>
      <c r="H1115" s="169"/>
      <c r="I1115" s="36"/>
      <c r="J1115" s="37"/>
    </row>
    <row r="1116" spans="1:11" ht="20.45" customHeight="1" x14ac:dyDescent="0.6">
      <c r="A1116" s="252"/>
      <c r="B1116" s="67"/>
      <c r="C1116" s="102"/>
      <c r="D1116" s="36"/>
      <c r="E1116" s="36"/>
      <c r="F1116" s="258"/>
      <c r="G1116" s="259"/>
      <c r="H1116" s="169"/>
      <c r="I1116" s="36"/>
      <c r="J1116" s="37"/>
    </row>
    <row r="1117" spans="1:11" ht="20.45" customHeight="1" x14ac:dyDescent="0.6">
      <c r="A1117" s="252"/>
      <c r="B1117" s="67"/>
      <c r="C1117" s="35"/>
      <c r="D1117" s="36"/>
      <c r="E1117" s="36"/>
      <c r="F1117" s="258"/>
      <c r="G1117" s="259"/>
      <c r="H1117" s="169"/>
      <c r="I1117" s="36"/>
      <c r="J1117" s="37"/>
    </row>
    <row r="1118" spans="1:11" ht="20.45" customHeight="1" x14ac:dyDescent="0.6">
      <c r="A1118" s="252"/>
      <c r="B1118" s="67"/>
      <c r="C1118" s="35"/>
      <c r="D1118" s="36"/>
      <c r="E1118" s="36"/>
      <c r="F1118" s="258"/>
      <c r="G1118" s="259"/>
      <c r="H1118" s="169"/>
      <c r="I1118" s="36"/>
      <c r="J1118" s="37"/>
    </row>
    <row r="1119" spans="1:11" ht="20.45" customHeight="1" x14ac:dyDescent="0.6">
      <c r="A1119" s="253"/>
      <c r="B1119" s="68"/>
      <c r="C1119" s="39"/>
      <c r="D1119" s="40"/>
      <c r="E1119" s="40"/>
      <c r="F1119" s="260"/>
      <c r="G1119" s="261"/>
      <c r="H1119" s="170"/>
      <c r="I1119" s="68" t="s">
        <v>95</v>
      </c>
      <c r="J1119" s="41">
        <f>SUM(C1111:H1117)</f>
        <v>2060500</v>
      </c>
    </row>
    <row r="1120" spans="1:11" ht="20.45" customHeight="1" x14ac:dyDescent="0.6">
      <c r="A1120" s="251" t="s">
        <v>96</v>
      </c>
      <c r="B1120" s="36" t="s">
        <v>97</v>
      </c>
      <c r="C1120" s="35">
        <f>VLOOKUP($K1107,임금대장!$A$6:$AH$86,25,0)</f>
        <v>61810</v>
      </c>
      <c r="D1120" s="33"/>
      <c r="E1120" s="42"/>
      <c r="F1120" s="262" t="s">
        <v>14</v>
      </c>
      <c r="G1120" s="263"/>
      <c r="H1120" s="169">
        <f>VLOOKUP($K1107,임금대장!$A$6:$AH$86,19,0)</f>
        <v>0</v>
      </c>
      <c r="I1120" s="33"/>
      <c r="J1120" s="34"/>
    </row>
    <row r="1121" spans="1:11" ht="20.45" customHeight="1" x14ac:dyDescent="0.6">
      <c r="A1121" s="252"/>
      <c r="B1121" s="36" t="s">
        <v>98</v>
      </c>
      <c r="C1121" s="35">
        <f>VLOOKUP($K1107,임금대장!$A$6:$AH$86,26,0)</f>
        <v>6180</v>
      </c>
      <c r="D1121" s="36"/>
      <c r="E1121" s="43"/>
      <c r="F1121" s="258" t="s">
        <v>12</v>
      </c>
      <c r="G1121" s="259"/>
      <c r="H1121" s="169">
        <f>VLOOKUP($K1107,임금대장!$A$6:$AH$86,17,0)</f>
        <v>0</v>
      </c>
      <c r="I1121" s="36"/>
      <c r="J1121" s="37"/>
    </row>
    <row r="1122" spans="1:11" ht="20.45" customHeight="1" x14ac:dyDescent="0.6">
      <c r="A1122" s="252"/>
      <c r="B1122" s="36" t="s">
        <v>99</v>
      </c>
      <c r="C1122" s="35">
        <f>VLOOKUP($K1107,임금대장!$A$6:$AH$86,27,0)</f>
        <v>0</v>
      </c>
      <c r="D1122" s="36"/>
      <c r="E1122" s="44"/>
      <c r="F1122" s="258" t="s">
        <v>100</v>
      </c>
      <c r="G1122" s="259"/>
      <c r="H1122" s="169">
        <f>VLOOKUP($K1107,임금대장!$A$6:$AH$86,31,0)</f>
        <v>0</v>
      </c>
      <c r="I1122" s="36"/>
      <c r="J1122" s="37"/>
    </row>
    <row r="1123" spans="1:11" ht="20.45" customHeight="1" x14ac:dyDescent="0.6">
      <c r="A1123" s="252"/>
      <c r="B1123" s="36" t="s">
        <v>101</v>
      </c>
      <c r="C1123" s="35">
        <f>VLOOKUP($K1107,임금대장!$A$6:$AH$86,28,0)</f>
        <v>0</v>
      </c>
      <c r="D1123" s="36"/>
      <c r="E1123" s="43"/>
      <c r="F1123" s="258" t="s">
        <v>102</v>
      </c>
      <c r="G1123" s="259"/>
      <c r="H1123" s="169">
        <f>VLOOKUP($K1107,임금대장!$A$6:$AH$86,30,0)</f>
        <v>0</v>
      </c>
      <c r="I1123" s="36"/>
      <c r="J1123" s="37"/>
    </row>
    <row r="1124" spans="1:11" ht="20.45" customHeight="1" x14ac:dyDescent="0.6">
      <c r="A1124" s="252"/>
      <c r="B1124" s="36" t="s">
        <v>31</v>
      </c>
      <c r="C1124" s="35">
        <f>VLOOKUP($K1107,임금대장!$A$6:$AH$86,29,0)</f>
        <v>0</v>
      </c>
      <c r="D1124" s="36"/>
      <c r="E1124" s="43"/>
      <c r="F1124" s="258" t="s">
        <v>328</v>
      </c>
      <c r="G1124" s="259"/>
      <c r="H1124" s="169">
        <f>VLOOKUP($K1107,임금대장!$A$3:$AH$86,32,0)</f>
        <v>0</v>
      </c>
      <c r="I1124" s="67" t="s">
        <v>103</v>
      </c>
      <c r="J1124" s="47">
        <f>SUM(C1120:H1125)</f>
        <v>67990</v>
      </c>
    </row>
    <row r="1125" spans="1:11" ht="20.45" customHeight="1" x14ac:dyDescent="0.6">
      <c r="A1125" s="253"/>
      <c r="B1125" s="40"/>
      <c r="C1125" s="101"/>
      <c r="D1125" s="40"/>
      <c r="E1125" s="48"/>
      <c r="F1125" s="260"/>
      <c r="G1125" s="261"/>
      <c r="H1125" s="170"/>
      <c r="I1125" s="68" t="s">
        <v>104</v>
      </c>
      <c r="J1125" s="49">
        <f>J1119-J1124</f>
        <v>1992510</v>
      </c>
    </row>
    <row r="1126" spans="1:11" ht="20.45" customHeight="1" x14ac:dyDescent="0.6">
      <c r="A1126" s="50" t="s">
        <v>105</v>
      </c>
      <c r="J1126" s="51" t="s">
        <v>0</v>
      </c>
    </row>
    <row r="1127" spans="1:11" ht="20.45" customHeight="1" x14ac:dyDescent="0.6">
      <c r="A1127" s="50"/>
      <c r="J1127" s="51"/>
    </row>
    <row r="1128" spans="1:11" ht="20.45" customHeight="1" x14ac:dyDescent="0.6">
      <c r="A1128" s="264" t="s">
        <v>399</v>
      </c>
      <c r="B1128" s="264"/>
      <c r="C1128" s="264"/>
      <c r="D1128" s="264"/>
      <c r="E1128" s="264"/>
      <c r="F1128" s="264"/>
      <c r="G1128" s="264"/>
      <c r="H1128" s="264"/>
      <c r="I1128" s="264"/>
      <c r="J1128" s="264"/>
    </row>
    <row r="1129" spans="1:11" ht="20.45" customHeight="1" x14ac:dyDescent="0.6">
      <c r="A1129" s="286" t="s">
        <v>83</v>
      </c>
      <c r="B1129" s="286"/>
      <c r="C1129" s="286"/>
      <c r="D1129" s="286" t="s">
        <v>84</v>
      </c>
      <c r="E1129" s="286"/>
      <c r="F1129" s="265" t="s">
        <v>85</v>
      </c>
      <c r="G1129" s="250"/>
      <c r="H1129" s="266"/>
      <c r="I1129" s="286" t="s">
        <v>86</v>
      </c>
      <c r="J1129" s="286"/>
    </row>
    <row r="1130" spans="1:11" ht="20.45" customHeight="1" x14ac:dyDescent="0.6">
      <c r="A1130" s="286" t="str">
        <f>VLOOKUP(K1130,임금대장!$A$6:$AH$86,3,0)</f>
        <v>파트</v>
      </c>
      <c r="B1130" s="286"/>
      <c r="C1130" s="286"/>
      <c r="D1130" s="287" t="str">
        <f>VLOOKUP(K1130,임금대장!$A$6:$AH$86,2,0)</f>
        <v>윤동현</v>
      </c>
      <c r="E1130" s="287"/>
      <c r="F1130" s="267">
        <f>임금대장!$O$3</f>
        <v>31</v>
      </c>
      <c r="G1130" s="269"/>
      <c r="H1130" s="268"/>
      <c r="I1130" s="288">
        <f>VLOOKUP(K1130,임금대장!$A$6:$AH$86,16,0)</f>
        <v>0</v>
      </c>
      <c r="J1130" s="288"/>
      <c r="K1130" s="30">
        <v>50</v>
      </c>
    </row>
    <row r="1131" spans="1:11" ht="20.45" customHeight="1" x14ac:dyDescent="0.6">
      <c r="A1131" s="286" t="s">
        <v>107</v>
      </c>
      <c r="B1131" s="286"/>
      <c r="C1131" s="286" t="s">
        <v>5</v>
      </c>
      <c r="D1131" s="289"/>
      <c r="E1131" s="289"/>
      <c r="F1131" s="114" t="s">
        <v>108</v>
      </c>
      <c r="G1131" s="278">
        <f>VLOOKUP(K1130,임금대장!$A$6:$AH$86,15,0)</f>
        <v>31.5</v>
      </c>
      <c r="H1131" s="279"/>
      <c r="I1131" s="286" t="s">
        <v>89</v>
      </c>
      <c r="J1131" s="290">
        <f>VLOOKUP(K1130,임금대장!$A$6:$AH$86,17,0)</f>
        <v>0</v>
      </c>
    </row>
    <row r="1132" spans="1:11" ht="20.45" customHeight="1" x14ac:dyDescent="0.6">
      <c r="A1132" s="291">
        <f>C1134/G1131</f>
        <v>13000</v>
      </c>
      <c r="B1132" s="291"/>
      <c r="C1132" s="286"/>
      <c r="D1132" s="289"/>
      <c r="E1132" s="289"/>
      <c r="F1132" s="115" t="s">
        <v>90</v>
      </c>
      <c r="G1132" s="284">
        <f>VLOOKUP(K1130,임금대장!$A$6:$AH$86,16,0)</f>
        <v>0</v>
      </c>
      <c r="H1132" s="285"/>
      <c r="I1132" s="286"/>
      <c r="J1132" s="290"/>
    </row>
    <row r="1133" spans="1:11" ht="20.45" customHeight="1" x14ac:dyDescent="0.6">
      <c r="F1133" s="250"/>
      <c r="G1133" s="250"/>
    </row>
    <row r="1134" spans="1:11" ht="20.45" customHeight="1" x14ac:dyDescent="0.6">
      <c r="A1134" s="251" t="s">
        <v>91</v>
      </c>
      <c r="B1134" s="69" t="s">
        <v>109</v>
      </c>
      <c r="C1134" s="25">
        <f>VLOOKUP($K1130,임금대장!$A$6:$AH$86,9,0)</f>
        <v>409500</v>
      </c>
      <c r="D1134" s="33" t="s">
        <v>110</v>
      </c>
      <c r="E1134" s="69"/>
      <c r="F1134" s="254"/>
      <c r="G1134" s="255"/>
      <c r="H1134" s="168"/>
      <c r="I1134" s="33"/>
      <c r="J1134" s="34"/>
    </row>
    <row r="1135" spans="1:11" ht="20.45" customHeight="1" x14ac:dyDescent="0.6">
      <c r="A1135" s="252"/>
      <c r="B1135" s="67"/>
      <c r="C1135" s="35"/>
      <c r="D1135" s="36"/>
      <c r="E1135" s="67"/>
      <c r="F1135" s="256"/>
      <c r="G1135" s="257"/>
      <c r="H1135" s="169"/>
      <c r="I1135" s="36"/>
      <c r="J1135" s="37"/>
    </row>
    <row r="1136" spans="1:11" ht="20.45" customHeight="1" x14ac:dyDescent="0.6">
      <c r="A1136" s="252"/>
      <c r="B1136" s="52"/>
      <c r="C1136" s="35"/>
      <c r="D1136" s="36"/>
      <c r="E1136" s="67"/>
      <c r="F1136" s="256"/>
      <c r="G1136" s="257"/>
      <c r="H1136" s="169"/>
      <c r="I1136" s="36"/>
      <c r="J1136" s="37"/>
    </row>
    <row r="1137" spans="1:10" ht="20.45" customHeight="1" x14ac:dyDescent="0.6">
      <c r="A1137" s="252"/>
      <c r="B1137" s="67"/>
      <c r="C1137" s="35"/>
      <c r="D1137" s="36"/>
      <c r="E1137" s="67"/>
      <c r="F1137" s="256"/>
      <c r="G1137" s="257"/>
      <c r="H1137" s="169"/>
      <c r="I1137" s="36"/>
      <c r="J1137" s="37"/>
    </row>
    <row r="1138" spans="1:10" ht="20.45" customHeight="1" x14ac:dyDescent="0.6">
      <c r="A1138" s="252"/>
      <c r="B1138" s="67"/>
      <c r="C1138" s="35"/>
      <c r="D1138" s="36"/>
      <c r="E1138" s="36"/>
      <c r="F1138" s="258"/>
      <c r="G1138" s="259"/>
      <c r="H1138" s="169"/>
      <c r="I1138" s="36"/>
      <c r="J1138" s="37"/>
    </row>
    <row r="1139" spans="1:10" ht="20.45" customHeight="1" x14ac:dyDescent="0.6">
      <c r="A1139" s="252"/>
      <c r="B1139" s="67"/>
      <c r="C1139" s="102"/>
      <c r="D1139" s="36"/>
      <c r="E1139" s="36"/>
      <c r="F1139" s="258"/>
      <c r="G1139" s="259"/>
      <c r="H1139" s="169"/>
      <c r="I1139" s="36"/>
      <c r="J1139" s="37"/>
    </row>
    <row r="1140" spans="1:10" ht="20.45" customHeight="1" x14ac:dyDescent="0.6">
      <c r="A1140" s="252"/>
      <c r="B1140" s="67"/>
      <c r="C1140" s="35"/>
      <c r="D1140" s="36"/>
      <c r="E1140" s="36"/>
      <c r="F1140" s="258"/>
      <c r="G1140" s="259"/>
      <c r="H1140" s="169"/>
      <c r="I1140" s="36"/>
      <c r="J1140" s="37"/>
    </row>
    <row r="1141" spans="1:10" ht="20.45" customHeight="1" x14ac:dyDescent="0.6">
      <c r="A1141" s="252"/>
      <c r="B1141" s="67"/>
      <c r="C1141" s="35"/>
      <c r="D1141" s="36"/>
      <c r="E1141" s="36"/>
      <c r="F1141" s="258"/>
      <c r="G1141" s="259"/>
      <c r="H1141" s="169"/>
      <c r="I1141" s="36"/>
      <c r="J1141" s="37"/>
    </row>
    <row r="1142" spans="1:10" ht="20.45" customHeight="1" x14ac:dyDescent="0.6">
      <c r="A1142" s="253"/>
      <c r="B1142" s="68"/>
      <c r="C1142" s="39"/>
      <c r="D1142" s="40"/>
      <c r="E1142" s="40"/>
      <c r="F1142" s="260"/>
      <c r="G1142" s="261"/>
      <c r="H1142" s="170"/>
      <c r="I1142" s="68" t="s">
        <v>95</v>
      </c>
      <c r="J1142" s="41">
        <f>SUM(C1134:H1140)</f>
        <v>409500</v>
      </c>
    </row>
    <row r="1143" spans="1:10" ht="20.45" customHeight="1" x14ac:dyDescent="0.6">
      <c r="A1143" s="251" t="s">
        <v>96</v>
      </c>
      <c r="B1143" s="36" t="s">
        <v>97</v>
      </c>
      <c r="C1143" s="35">
        <f>VLOOKUP($K1130,임금대장!$A$6:$AH$86,25,0)</f>
        <v>12280</v>
      </c>
      <c r="D1143" s="33"/>
      <c r="E1143" s="42"/>
      <c r="F1143" s="262" t="s">
        <v>14</v>
      </c>
      <c r="G1143" s="263"/>
      <c r="H1143" s="169">
        <f>VLOOKUP($K1130,임금대장!$A$6:$AH$86,19,0)</f>
        <v>0</v>
      </c>
      <c r="I1143" s="33"/>
      <c r="J1143" s="34"/>
    </row>
    <row r="1144" spans="1:10" ht="20.45" customHeight="1" x14ac:dyDescent="0.6">
      <c r="A1144" s="252"/>
      <c r="B1144" s="36" t="s">
        <v>98</v>
      </c>
      <c r="C1144" s="35">
        <f>VLOOKUP($K1130,임금대장!$A$6:$AH$86,26,0)</f>
        <v>1220</v>
      </c>
      <c r="D1144" s="36"/>
      <c r="E1144" s="43"/>
      <c r="F1144" s="258" t="s">
        <v>12</v>
      </c>
      <c r="G1144" s="259"/>
      <c r="H1144" s="169">
        <f>VLOOKUP($K1130,임금대장!$A$6:$AH$86,17,0)</f>
        <v>0</v>
      </c>
      <c r="I1144" s="36"/>
      <c r="J1144" s="37"/>
    </row>
    <row r="1145" spans="1:10" ht="20.45" customHeight="1" x14ac:dyDescent="0.6">
      <c r="A1145" s="252"/>
      <c r="B1145" s="36" t="s">
        <v>99</v>
      </c>
      <c r="C1145" s="35">
        <f>VLOOKUP($K1130,임금대장!$A$6:$AH$86,27,0)</f>
        <v>0</v>
      </c>
      <c r="D1145" s="36"/>
      <c r="E1145" s="44"/>
      <c r="F1145" s="258" t="s">
        <v>100</v>
      </c>
      <c r="G1145" s="259"/>
      <c r="H1145" s="169">
        <f>VLOOKUP($K1130,임금대장!$A$6:$AH$86,31,0)</f>
        <v>0</v>
      </c>
      <c r="I1145" s="36"/>
      <c r="J1145" s="37"/>
    </row>
    <row r="1146" spans="1:10" ht="20.45" customHeight="1" x14ac:dyDescent="0.6">
      <c r="A1146" s="252"/>
      <c r="B1146" s="36" t="s">
        <v>101</v>
      </c>
      <c r="C1146" s="35">
        <f>VLOOKUP($K1130,임금대장!$A$6:$AH$86,28,0)</f>
        <v>0</v>
      </c>
      <c r="D1146" s="36"/>
      <c r="E1146" s="43"/>
      <c r="F1146" s="258" t="s">
        <v>102</v>
      </c>
      <c r="G1146" s="259"/>
      <c r="H1146" s="169">
        <f>VLOOKUP($K1130,임금대장!$A$6:$AH$86,30,0)</f>
        <v>0</v>
      </c>
      <c r="I1146" s="36"/>
      <c r="J1146" s="37"/>
    </row>
    <row r="1147" spans="1:10" ht="20.45" customHeight="1" x14ac:dyDescent="0.6">
      <c r="A1147" s="252"/>
      <c r="B1147" s="36" t="s">
        <v>31</v>
      </c>
      <c r="C1147" s="35">
        <f>VLOOKUP($K1130,임금대장!$A$6:$AH$86,29,0)</f>
        <v>0</v>
      </c>
      <c r="D1147" s="36"/>
      <c r="E1147" s="43"/>
      <c r="F1147" s="258" t="s">
        <v>328</v>
      </c>
      <c r="G1147" s="259"/>
      <c r="H1147" s="169">
        <f>VLOOKUP($K1130,임금대장!$A$3:$AH$86,32,0)</f>
        <v>0</v>
      </c>
      <c r="I1147" s="67" t="s">
        <v>103</v>
      </c>
      <c r="J1147" s="47">
        <f>SUM(C1143:H1148)</f>
        <v>13500</v>
      </c>
    </row>
    <row r="1148" spans="1:10" ht="20.45" customHeight="1" x14ac:dyDescent="0.6">
      <c r="A1148" s="253"/>
      <c r="B1148" s="40"/>
      <c r="C1148" s="101"/>
      <c r="D1148" s="40"/>
      <c r="E1148" s="48"/>
      <c r="F1148" s="260"/>
      <c r="G1148" s="261"/>
      <c r="H1148" s="170"/>
      <c r="I1148" s="68" t="s">
        <v>104</v>
      </c>
      <c r="J1148" s="49">
        <f>J1142-J1147</f>
        <v>396000</v>
      </c>
    </row>
    <row r="1149" spans="1:10" ht="20.45" customHeight="1" x14ac:dyDescent="0.6">
      <c r="A1149" s="50" t="s">
        <v>105</v>
      </c>
      <c r="J1149" s="51" t="s">
        <v>0</v>
      </c>
    </row>
    <row r="1150" spans="1:10" ht="20.45" customHeight="1" x14ac:dyDescent="0.6">
      <c r="A1150" s="50"/>
      <c r="J1150" s="51"/>
    </row>
    <row r="1151" spans="1:10" ht="20.45" customHeight="1" x14ac:dyDescent="0.6">
      <c r="A1151" s="264" t="s">
        <v>399</v>
      </c>
      <c r="B1151" s="264"/>
      <c r="C1151" s="264"/>
      <c r="D1151" s="264"/>
      <c r="E1151" s="264"/>
      <c r="F1151" s="264"/>
      <c r="G1151" s="264"/>
      <c r="H1151" s="264"/>
      <c r="I1151" s="264"/>
      <c r="J1151" s="264"/>
    </row>
    <row r="1152" spans="1:10" ht="20.45" customHeight="1" x14ac:dyDescent="0.6">
      <c r="A1152" s="286" t="s">
        <v>83</v>
      </c>
      <c r="B1152" s="286"/>
      <c r="C1152" s="286"/>
      <c r="D1152" s="286" t="s">
        <v>84</v>
      </c>
      <c r="E1152" s="286"/>
      <c r="F1152" s="265" t="s">
        <v>85</v>
      </c>
      <c r="G1152" s="250"/>
      <c r="H1152" s="266"/>
      <c r="I1152" s="286" t="s">
        <v>86</v>
      </c>
      <c r="J1152" s="286"/>
    </row>
    <row r="1153" spans="1:11" ht="20.45" customHeight="1" x14ac:dyDescent="0.6">
      <c r="A1153" s="286" t="str">
        <f>VLOOKUP(K1153,임금대장!$A$6:$AH$86,3,0)</f>
        <v>파트</v>
      </c>
      <c r="B1153" s="286"/>
      <c r="C1153" s="286"/>
      <c r="D1153" s="287" t="str">
        <f>VLOOKUP(K1153,임금대장!$A$6:$AH$86,2,0)</f>
        <v>김정진</v>
      </c>
      <c r="E1153" s="287"/>
      <c r="F1153" s="267">
        <f>임금대장!$O$3</f>
        <v>31</v>
      </c>
      <c r="G1153" s="269"/>
      <c r="H1153" s="268"/>
      <c r="I1153" s="288">
        <f>VLOOKUP(K1153,임금대장!$A$6:$AH$86,16,0)</f>
        <v>0</v>
      </c>
      <c r="J1153" s="288"/>
      <c r="K1153" s="30">
        <v>51</v>
      </c>
    </row>
    <row r="1154" spans="1:11" ht="20.45" customHeight="1" x14ac:dyDescent="0.6">
      <c r="A1154" s="286" t="s">
        <v>107</v>
      </c>
      <c r="B1154" s="286"/>
      <c r="C1154" s="286" t="s">
        <v>5</v>
      </c>
      <c r="D1154" s="289"/>
      <c r="E1154" s="289"/>
      <c r="F1154" s="114" t="s">
        <v>108</v>
      </c>
      <c r="G1154" s="278">
        <f>VLOOKUP(K1153,임금대장!$A$6:$AH$86,15,0)</f>
        <v>135</v>
      </c>
      <c r="H1154" s="279"/>
      <c r="I1154" s="286" t="s">
        <v>89</v>
      </c>
      <c r="J1154" s="290">
        <f>VLOOKUP(K1153,임금대장!$A$6:$AH$86,17,0)</f>
        <v>0</v>
      </c>
    </row>
    <row r="1155" spans="1:11" ht="20.45" customHeight="1" x14ac:dyDescent="0.6">
      <c r="A1155" s="291">
        <f>C1157/G1154</f>
        <v>13000</v>
      </c>
      <c r="B1155" s="291"/>
      <c r="C1155" s="286"/>
      <c r="D1155" s="289"/>
      <c r="E1155" s="289"/>
      <c r="F1155" s="115" t="s">
        <v>90</v>
      </c>
      <c r="G1155" s="284">
        <f>VLOOKUP(K1153,임금대장!$A$6:$AH$86,16,0)</f>
        <v>0</v>
      </c>
      <c r="H1155" s="285"/>
      <c r="I1155" s="286"/>
      <c r="J1155" s="290"/>
    </row>
    <row r="1156" spans="1:11" ht="20.45" customHeight="1" x14ac:dyDescent="0.6">
      <c r="F1156" s="250"/>
      <c r="G1156" s="250"/>
    </row>
    <row r="1157" spans="1:11" ht="20.45" customHeight="1" x14ac:dyDescent="0.6">
      <c r="A1157" s="251" t="s">
        <v>91</v>
      </c>
      <c r="B1157" s="69" t="s">
        <v>109</v>
      </c>
      <c r="C1157" s="25">
        <f>VLOOKUP($K1153,임금대장!$A$6:$AH$86,9,0)</f>
        <v>1755000</v>
      </c>
      <c r="D1157" s="33" t="s">
        <v>110</v>
      </c>
      <c r="E1157" s="69"/>
      <c r="F1157" s="254"/>
      <c r="G1157" s="255"/>
      <c r="H1157" s="168"/>
      <c r="I1157" s="33"/>
      <c r="J1157" s="34"/>
    </row>
    <row r="1158" spans="1:11" ht="20.45" customHeight="1" x14ac:dyDescent="0.6">
      <c r="A1158" s="252"/>
      <c r="B1158" s="67"/>
      <c r="C1158" s="35"/>
      <c r="D1158" s="36"/>
      <c r="E1158" s="67"/>
      <c r="F1158" s="256"/>
      <c r="G1158" s="257"/>
      <c r="H1158" s="169"/>
      <c r="I1158" s="36"/>
      <c r="J1158" s="37"/>
    </row>
    <row r="1159" spans="1:11" ht="20.45" customHeight="1" x14ac:dyDescent="0.6">
      <c r="A1159" s="252"/>
      <c r="B1159" s="52"/>
      <c r="C1159" s="35"/>
      <c r="D1159" s="36"/>
      <c r="E1159" s="67"/>
      <c r="F1159" s="256"/>
      <c r="G1159" s="257"/>
      <c r="H1159" s="169"/>
      <c r="I1159" s="36"/>
      <c r="J1159" s="37"/>
    </row>
    <row r="1160" spans="1:11" ht="20.45" customHeight="1" x14ac:dyDescent="0.6">
      <c r="A1160" s="252"/>
      <c r="B1160" s="67"/>
      <c r="C1160" s="35"/>
      <c r="D1160" s="36"/>
      <c r="E1160" s="67"/>
      <c r="F1160" s="256"/>
      <c r="G1160" s="257"/>
      <c r="H1160" s="169"/>
      <c r="I1160" s="36"/>
      <c r="J1160" s="37"/>
    </row>
    <row r="1161" spans="1:11" ht="20.45" customHeight="1" x14ac:dyDescent="0.6">
      <c r="A1161" s="252"/>
      <c r="B1161" s="67"/>
      <c r="C1161" s="35"/>
      <c r="D1161" s="36"/>
      <c r="E1161" s="36"/>
      <c r="F1161" s="258"/>
      <c r="G1161" s="259"/>
      <c r="H1161" s="169"/>
      <c r="I1161" s="36"/>
      <c r="J1161" s="37"/>
    </row>
    <row r="1162" spans="1:11" ht="20.45" customHeight="1" x14ac:dyDescent="0.6">
      <c r="A1162" s="252"/>
      <c r="B1162" s="67"/>
      <c r="C1162" s="102"/>
      <c r="D1162" s="36"/>
      <c r="E1162" s="36"/>
      <c r="F1162" s="258"/>
      <c r="G1162" s="259"/>
      <c r="H1162" s="169"/>
      <c r="I1162" s="36"/>
      <c r="J1162" s="37"/>
    </row>
    <row r="1163" spans="1:11" ht="20.45" customHeight="1" x14ac:dyDescent="0.6">
      <c r="A1163" s="252"/>
      <c r="B1163" s="67"/>
      <c r="C1163" s="35"/>
      <c r="D1163" s="36"/>
      <c r="E1163" s="36"/>
      <c r="F1163" s="258"/>
      <c r="G1163" s="259"/>
      <c r="H1163" s="169"/>
      <c r="I1163" s="36"/>
      <c r="J1163" s="37"/>
    </row>
    <row r="1164" spans="1:11" ht="20.45" customHeight="1" x14ac:dyDescent="0.6">
      <c r="A1164" s="252"/>
      <c r="B1164" s="67"/>
      <c r="C1164" s="35"/>
      <c r="D1164" s="36"/>
      <c r="E1164" s="36"/>
      <c r="F1164" s="258"/>
      <c r="G1164" s="259"/>
      <c r="H1164" s="169"/>
      <c r="I1164" s="36"/>
      <c r="J1164" s="37"/>
    </row>
    <row r="1165" spans="1:11" ht="20.45" customHeight="1" x14ac:dyDescent="0.6">
      <c r="A1165" s="253"/>
      <c r="B1165" s="68"/>
      <c r="C1165" s="39"/>
      <c r="D1165" s="40"/>
      <c r="E1165" s="40"/>
      <c r="F1165" s="260"/>
      <c r="G1165" s="261"/>
      <c r="H1165" s="170"/>
      <c r="I1165" s="68" t="s">
        <v>95</v>
      </c>
      <c r="J1165" s="41">
        <f>SUM(C1157:H1163)</f>
        <v>1755000</v>
      </c>
    </row>
    <row r="1166" spans="1:11" ht="20.45" customHeight="1" x14ac:dyDescent="0.6">
      <c r="A1166" s="251" t="s">
        <v>96</v>
      </c>
      <c r="B1166" s="36" t="s">
        <v>97</v>
      </c>
      <c r="C1166" s="35">
        <f>VLOOKUP($K1153,임금대장!$A$6:$AH$86,25,0)</f>
        <v>52650</v>
      </c>
      <c r="D1166" s="33"/>
      <c r="E1166" s="42"/>
      <c r="F1166" s="262" t="s">
        <v>14</v>
      </c>
      <c r="G1166" s="263"/>
      <c r="H1166" s="169">
        <f>VLOOKUP($K1153,임금대장!$A$6:$AH$86,19,0)</f>
        <v>0</v>
      </c>
      <c r="I1166" s="33"/>
      <c r="J1166" s="34"/>
    </row>
    <row r="1167" spans="1:11" ht="20.45" customHeight="1" x14ac:dyDescent="0.6">
      <c r="A1167" s="252"/>
      <c r="B1167" s="36" t="s">
        <v>98</v>
      </c>
      <c r="C1167" s="35">
        <f>VLOOKUP($K1153,임금대장!$A$6:$AH$86,26,0)</f>
        <v>5260</v>
      </c>
      <c r="D1167" s="36"/>
      <c r="E1167" s="43"/>
      <c r="F1167" s="258" t="s">
        <v>12</v>
      </c>
      <c r="G1167" s="259"/>
      <c r="H1167" s="169">
        <f>VLOOKUP($K1153,임금대장!$A$6:$AH$86,17,0)</f>
        <v>0</v>
      </c>
      <c r="I1167" s="36"/>
      <c r="J1167" s="37"/>
    </row>
    <row r="1168" spans="1:11" ht="20.45" customHeight="1" x14ac:dyDescent="0.6">
      <c r="A1168" s="252"/>
      <c r="B1168" s="36" t="s">
        <v>99</v>
      </c>
      <c r="C1168" s="35">
        <f>VLOOKUP($K1153,임금대장!$A$6:$AH$86,27,0)</f>
        <v>0</v>
      </c>
      <c r="D1168" s="36"/>
      <c r="E1168" s="44"/>
      <c r="F1168" s="258" t="s">
        <v>100</v>
      </c>
      <c r="G1168" s="259"/>
      <c r="H1168" s="169">
        <f>VLOOKUP($K1153,임금대장!$A$6:$AH$86,31,0)</f>
        <v>0</v>
      </c>
      <c r="I1168" s="36"/>
      <c r="J1168" s="37"/>
    </row>
    <row r="1169" spans="1:11" ht="20.45" customHeight="1" x14ac:dyDescent="0.6">
      <c r="A1169" s="252"/>
      <c r="B1169" s="36" t="s">
        <v>101</v>
      </c>
      <c r="C1169" s="35">
        <f>VLOOKUP($K1153,임금대장!$A$6:$AH$86,28,0)</f>
        <v>0</v>
      </c>
      <c r="D1169" s="36"/>
      <c r="E1169" s="43"/>
      <c r="F1169" s="258" t="s">
        <v>102</v>
      </c>
      <c r="G1169" s="259"/>
      <c r="H1169" s="169">
        <f>VLOOKUP($K1153,임금대장!$A$6:$AH$86,30,0)</f>
        <v>0</v>
      </c>
      <c r="I1169" s="36"/>
      <c r="J1169" s="37"/>
    </row>
    <row r="1170" spans="1:11" ht="20.45" customHeight="1" x14ac:dyDescent="0.6">
      <c r="A1170" s="252"/>
      <c r="B1170" s="36" t="s">
        <v>31</v>
      </c>
      <c r="C1170" s="35">
        <f>VLOOKUP($K1153,임금대장!$A$6:$AH$86,29,0)</f>
        <v>0</v>
      </c>
      <c r="D1170" s="36"/>
      <c r="E1170" s="43"/>
      <c r="F1170" s="45"/>
      <c r="G1170" s="46"/>
      <c r="H1170" s="169"/>
      <c r="I1170" s="67" t="s">
        <v>103</v>
      </c>
      <c r="J1170" s="47">
        <f>SUM(C1166:H1171)</f>
        <v>57910</v>
      </c>
    </row>
    <row r="1171" spans="1:11" ht="20.45" customHeight="1" x14ac:dyDescent="0.6">
      <c r="A1171" s="253"/>
      <c r="B1171" s="40"/>
      <c r="C1171" s="101"/>
      <c r="D1171" s="40"/>
      <c r="E1171" s="48"/>
      <c r="F1171" s="260"/>
      <c r="G1171" s="261"/>
      <c r="H1171" s="170"/>
      <c r="I1171" s="68" t="s">
        <v>104</v>
      </c>
      <c r="J1171" s="49">
        <f>J1165-J1170</f>
        <v>1697090</v>
      </c>
    </row>
    <row r="1172" spans="1:11" ht="20.45" customHeight="1" x14ac:dyDescent="0.6">
      <c r="A1172" s="50" t="s">
        <v>105</v>
      </c>
      <c r="J1172" s="51" t="s">
        <v>0</v>
      </c>
    </row>
    <row r="1174" spans="1:11" ht="20.45" customHeight="1" x14ac:dyDescent="0.6">
      <c r="A1174" s="264" t="s">
        <v>399</v>
      </c>
      <c r="B1174" s="264"/>
      <c r="C1174" s="264"/>
      <c r="D1174" s="264"/>
      <c r="E1174" s="264"/>
      <c r="F1174" s="264"/>
      <c r="G1174" s="264"/>
      <c r="H1174" s="264"/>
      <c r="I1174" s="264"/>
      <c r="J1174" s="264"/>
    </row>
    <row r="1175" spans="1:11" ht="20.45" customHeight="1" x14ac:dyDescent="0.6">
      <c r="A1175" s="286" t="s">
        <v>83</v>
      </c>
      <c r="B1175" s="286"/>
      <c r="C1175" s="286"/>
      <c r="D1175" s="286" t="s">
        <v>84</v>
      </c>
      <c r="E1175" s="286"/>
      <c r="F1175" s="265" t="s">
        <v>85</v>
      </c>
      <c r="G1175" s="250"/>
      <c r="H1175" s="266"/>
      <c r="I1175" s="286" t="s">
        <v>86</v>
      </c>
      <c r="J1175" s="286"/>
    </row>
    <row r="1176" spans="1:11" ht="20.45" customHeight="1" x14ac:dyDescent="0.6">
      <c r="A1176" s="286" t="str">
        <f>VLOOKUP(K1176,임금대장!$A$6:$AH$86,3,0)</f>
        <v>파트</v>
      </c>
      <c r="B1176" s="286"/>
      <c r="C1176" s="286"/>
      <c r="D1176" s="287" t="str">
        <f>VLOOKUP(K1176,임금대장!$A$6:$AH$86,2,0)</f>
        <v>황수아</v>
      </c>
      <c r="E1176" s="287"/>
      <c r="F1176" s="267">
        <f>임금대장!$O$3</f>
        <v>31</v>
      </c>
      <c r="G1176" s="269"/>
      <c r="H1176" s="268"/>
      <c r="I1176" s="288">
        <f>VLOOKUP(K1176,임금대장!$A$6:$AH$86,16,0)</f>
        <v>0</v>
      </c>
      <c r="J1176" s="288"/>
      <c r="K1176" s="30">
        <v>52</v>
      </c>
    </row>
    <row r="1177" spans="1:11" ht="20.45" customHeight="1" x14ac:dyDescent="0.6">
      <c r="A1177" s="286" t="s">
        <v>107</v>
      </c>
      <c r="B1177" s="286"/>
      <c r="C1177" s="286" t="s">
        <v>5</v>
      </c>
      <c r="D1177" s="289"/>
      <c r="E1177" s="289"/>
      <c r="F1177" s="114" t="s">
        <v>108</v>
      </c>
      <c r="G1177" s="278">
        <f>VLOOKUP(K1176,임금대장!$A$6:$AH$86,15,0)</f>
        <v>60.5</v>
      </c>
      <c r="H1177" s="279"/>
      <c r="I1177" s="286" t="s">
        <v>89</v>
      </c>
      <c r="J1177" s="290">
        <f>VLOOKUP(K1176,임금대장!$A$6:$AH$86,17,0)</f>
        <v>0</v>
      </c>
    </row>
    <row r="1178" spans="1:11" ht="20.45" customHeight="1" x14ac:dyDescent="0.6">
      <c r="A1178" s="291">
        <f>C1180/G1177</f>
        <v>13000</v>
      </c>
      <c r="B1178" s="291"/>
      <c r="C1178" s="286"/>
      <c r="D1178" s="289"/>
      <c r="E1178" s="289"/>
      <c r="F1178" s="115" t="s">
        <v>90</v>
      </c>
      <c r="G1178" s="284">
        <f>VLOOKUP(K1176,임금대장!$A$6:$AH$86,16,0)</f>
        <v>0</v>
      </c>
      <c r="H1178" s="285"/>
      <c r="I1178" s="286"/>
      <c r="J1178" s="290"/>
    </row>
    <row r="1179" spans="1:11" ht="20.45" customHeight="1" x14ac:dyDescent="0.6">
      <c r="F1179" s="250"/>
      <c r="G1179" s="250"/>
    </row>
    <row r="1180" spans="1:11" ht="20.45" customHeight="1" x14ac:dyDescent="0.6">
      <c r="A1180" s="251" t="s">
        <v>91</v>
      </c>
      <c r="B1180" s="69" t="s">
        <v>109</v>
      </c>
      <c r="C1180" s="25">
        <f>VLOOKUP($K1176,임금대장!$A$6:$AH$86,9,0)</f>
        <v>786500</v>
      </c>
      <c r="D1180" s="33" t="s">
        <v>110</v>
      </c>
      <c r="E1180" s="69"/>
      <c r="F1180" s="254"/>
      <c r="G1180" s="255"/>
      <c r="H1180" s="168"/>
      <c r="I1180" s="33"/>
      <c r="J1180" s="34"/>
    </row>
    <row r="1181" spans="1:11" ht="20.45" customHeight="1" x14ac:dyDescent="0.6">
      <c r="A1181" s="252"/>
      <c r="B1181" s="67"/>
      <c r="C1181" s="35"/>
      <c r="D1181" s="36"/>
      <c r="E1181" s="67"/>
      <c r="F1181" s="256"/>
      <c r="G1181" s="257"/>
      <c r="H1181" s="169"/>
      <c r="I1181" s="36"/>
      <c r="J1181" s="37"/>
    </row>
    <row r="1182" spans="1:11" ht="20.45" customHeight="1" x14ac:dyDescent="0.6">
      <c r="A1182" s="252"/>
      <c r="B1182" s="52"/>
      <c r="C1182" s="35"/>
      <c r="D1182" s="36"/>
      <c r="E1182" s="67"/>
      <c r="F1182" s="256"/>
      <c r="G1182" s="257"/>
      <c r="H1182" s="169"/>
      <c r="I1182" s="36"/>
      <c r="J1182" s="37"/>
    </row>
    <row r="1183" spans="1:11" ht="20.45" customHeight="1" x14ac:dyDescent="0.6">
      <c r="A1183" s="252"/>
      <c r="B1183" s="67"/>
      <c r="C1183" s="35"/>
      <c r="D1183" s="36"/>
      <c r="E1183" s="67"/>
      <c r="F1183" s="256"/>
      <c r="G1183" s="257"/>
      <c r="H1183" s="169"/>
      <c r="I1183" s="36"/>
      <c r="J1183" s="37"/>
    </row>
    <row r="1184" spans="1:11" ht="20.45" customHeight="1" x14ac:dyDescent="0.6">
      <c r="A1184" s="252"/>
      <c r="B1184" s="67"/>
      <c r="C1184" s="35"/>
      <c r="D1184" s="36"/>
      <c r="E1184" s="36"/>
      <c r="F1184" s="258"/>
      <c r="G1184" s="259"/>
      <c r="H1184" s="169"/>
      <c r="I1184" s="36"/>
      <c r="J1184" s="37"/>
    </row>
    <row r="1185" spans="1:11" ht="20.45" customHeight="1" x14ac:dyDescent="0.6">
      <c r="A1185" s="252"/>
      <c r="B1185" s="67"/>
      <c r="C1185" s="102"/>
      <c r="D1185" s="36"/>
      <c r="E1185" s="36"/>
      <c r="F1185" s="258"/>
      <c r="G1185" s="259"/>
      <c r="H1185" s="169"/>
      <c r="I1185" s="36"/>
      <c r="J1185" s="37"/>
    </row>
    <row r="1186" spans="1:11" ht="20.45" customHeight="1" x14ac:dyDescent="0.6">
      <c r="A1186" s="252"/>
      <c r="B1186" s="67"/>
      <c r="C1186" s="35"/>
      <c r="D1186" s="36"/>
      <c r="E1186" s="36"/>
      <c r="F1186" s="258"/>
      <c r="G1186" s="259"/>
      <c r="H1186" s="169"/>
      <c r="I1186" s="36"/>
      <c r="J1186" s="37"/>
    </row>
    <row r="1187" spans="1:11" ht="20.45" customHeight="1" x14ac:dyDescent="0.6">
      <c r="A1187" s="252"/>
      <c r="B1187" s="67"/>
      <c r="C1187" s="35"/>
      <c r="D1187" s="36"/>
      <c r="E1187" s="36"/>
      <c r="F1187" s="258"/>
      <c r="G1187" s="259"/>
      <c r="H1187" s="169"/>
      <c r="I1187" s="36"/>
      <c r="J1187" s="37"/>
    </row>
    <row r="1188" spans="1:11" ht="20.45" customHeight="1" x14ac:dyDescent="0.6">
      <c r="A1188" s="253"/>
      <c r="B1188" s="68"/>
      <c r="C1188" s="39"/>
      <c r="D1188" s="40"/>
      <c r="E1188" s="40"/>
      <c r="F1188" s="260"/>
      <c r="G1188" s="261"/>
      <c r="H1188" s="170"/>
      <c r="I1188" s="68" t="s">
        <v>95</v>
      </c>
      <c r="J1188" s="41">
        <f>SUM(C1180:H1186)</f>
        <v>786500</v>
      </c>
    </row>
    <row r="1189" spans="1:11" ht="20.45" customHeight="1" x14ac:dyDescent="0.6">
      <c r="A1189" s="251" t="s">
        <v>96</v>
      </c>
      <c r="B1189" s="36" t="s">
        <v>97</v>
      </c>
      <c r="C1189" s="35">
        <f>VLOOKUP($K1176,임금대장!$A$6:$AH$86,25,0)</f>
        <v>23590</v>
      </c>
      <c r="D1189" s="33"/>
      <c r="E1189" s="42"/>
      <c r="F1189" s="262" t="s">
        <v>14</v>
      </c>
      <c r="G1189" s="263"/>
      <c r="H1189" s="169">
        <f>VLOOKUP($K1176,임금대장!$A$6:$AH$86,19,0)</f>
        <v>0</v>
      </c>
      <c r="I1189" s="33"/>
      <c r="J1189" s="34"/>
    </row>
    <row r="1190" spans="1:11" ht="20.45" customHeight="1" x14ac:dyDescent="0.6">
      <c r="A1190" s="252"/>
      <c r="B1190" s="36" t="s">
        <v>98</v>
      </c>
      <c r="C1190" s="35">
        <f>VLOOKUP($K1176,임금대장!$A$6:$AH$86,26,0)</f>
        <v>2350</v>
      </c>
      <c r="D1190" s="36"/>
      <c r="E1190" s="43"/>
      <c r="F1190" s="258" t="s">
        <v>12</v>
      </c>
      <c r="G1190" s="259"/>
      <c r="H1190" s="169">
        <f>VLOOKUP($K1176,임금대장!$A$6:$AH$86,17,0)</f>
        <v>0</v>
      </c>
      <c r="I1190" s="36"/>
      <c r="J1190" s="37"/>
    </row>
    <row r="1191" spans="1:11" ht="20.45" customHeight="1" x14ac:dyDescent="0.6">
      <c r="A1191" s="252"/>
      <c r="B1191" s="36" t="s">
        <v>99</v>
      </c>
      <c r="C1191" s="35">
        <f>VLOOKUP($K1176,임금대장!$A$6:$AH$86,27,0)</f>
        <v>0</v>
      </c>
      <c r="D1191" s="36"/>
      <c r="E1191" s="44"/>
      <c r="F1191" s="258" t="s">
        <v>100</v>
      </c>
      <c r="G1191" s="259"/>
      <c r="H1191" s="169">
        <f>VLOOKUP($K1176,임금대장!$A$6:$AH$86,31,0)</f>
        <v>0</v>
      </c>
      <c r="I1191" s="36"/>
      <c r="J1191" s="37"/>
    </row>
    <row r="1192" spans="1:11" ht="20.45" customHeight="1" x14ac:dyDescent="0.6">
      <c r="A1192" s="252"/>
      <c r="B1192" s="36" t="s">
        <v>101</v>
      </c>
      <c r="C1192" s="35">
        <f>VLOOKUP($K1176,임금대장!$A$6:$AH$86,28,0)</f>
        <v>0</v>
      </c>
      <c r="D1192" s="36"/>
      <c r="E1192" s="43"/>
      <c r="F1192" s="258" t="s">
        <v>102</v>
      </c>
      <c r="G1192" s="259"/>
      <c r="H1192" s="169">
        <f>VLOOKUP($K1176,임금대장!$A$6:$AH$86,30,0)</f>
        <v>0</v>
      </c>
      <c r="I1192" s="36"/>
      <c r="J1192" s="37"/>
    </row>
    <row r="1193" spans="1:11" ht="20.45" customHeight="1" x14ac:dyDescent="0.6">
      <c r="A1193" s="252"/>
      <c r="B1193" s="36" t="s">
        <v>31</v>
      </c>
      <c r="C1193" s="35">
        <f>VLOOKUP($K1176,임금대장!$A$6:$AH$86,29,0)</f>
        <v>0</v>
      </c>
      <c r="D1193" s="36"/>
      <c r="E1193" s="43"/>
      <c r="F1193" s="45"/>
      <c r="G1193" s="46"/>
      <c r="H1193" s="169"/>
      <c r="I1193" s="67" t="s">
        <v>103</v>
      </c>
      <c r="J1193" s="47">
        <f>SUM(C1189:H1194)</f>
        <v>25940</v>
      </c>
    </row>
    <row r="1194" spans="1:11" ht="20.45" customHeight="1" x14ac:dyDescent="0.6">
      <c r="A1194" s="253"/>
      <c r="B1194" s="40"/>
      <c r="C1194" s="101"/>
      <c r="D1194" s="40"/>
      <c r="E1194" s="48"/>
      <c r="F1194" s="260"/>
      <c r="G1194" s="261"/>
      <c r="H1194" s="170"/>
      <c r="I1194" s="68" t="s">
        <v>104</v>
      </c>
      <c r="J1194" s="49">
        <f>J1188-J1193</f>
        <v>760560</v>
      </c>
    </row>
    <row r="1195" spans="1:11" ht="20.45" customHeight="1" x14ac:dyDescent="0.6">
      <c r="A1195" s="50" t="s">
        <v>105</v>
      </c>
      <c r="J1195" s="51" t="s">
        <v>0</v>
      </c>
    </row>
    <row r="1197" spans="1:11" ht="20.45" customHeight="1" x14ac:dyDescent="0.6">
      <c r="A1197" s="264" t="s">
        <v>399</v>
      </c>
      <c r="B1197" s="264"/>
      <c r="C1197" s="264"/>
      <c r="D1197" s="264"/>
      <c r="E1197" s="264"/>
      <c r="F1197" s="264"/>
      <c r="G1197" s="264"/>
      <c r="H1197" s="264"/>
      <c r="I1197" s="264"/>
      <c r="J1197" s="264"/>
    </row>
    <row r="1198" spans="1:11" ht="20.45" customHeight="1" x14ac:dyDescent="0.6">
      <c r="A1198" s="286" t="s">
        <v>83</v>
      </c>
      <c r="B1198" s="286"/>
      <c r="C1198" s="286"/>
      <c r="D1198" s="286" t="s">
        <v>84</v>
      </c>
      <c r="E1198" s="286"/>
      <c r="F1198" s="265" t="s">
        <v>85</v>
      </c>
      <c r="G1198" s="250"/>
      <c r="H1198" s="266"/>
      <c r="I1198" s="286" t="s">
        <v>86</v>
      </c>
      <c r="J1198" s="286"/>
    </row>
    <row r="1199" spans="1:11" ht="20.45" customHeight="1" x14ac:dyDescent="0.6">
      <c r="A1199" s="286" t="str">
        <f>VLOOKUP(K1199,임금대장!$A$6:$AH$86,3,0)</f>
        <v>파트</v>
      </c>
      <c r="B1199" s="286"/>
      <c r="C1199" s="286"/>
      <c r="D1199" s="287" t="str">
        <f>VLOOKUP(K1199,임금대장!$A$6:$AH$86,2,0)</f>
        <v>김동현</v>
      </c>
      <c r="E1199" s="287"/>
      <c r="F1199" s="267">
        <f>임금대장!$O$3</f>
        <v>31</v>
      </c>
      <c r="G1199" s="269"/>
      <c r="H1199" s="268"/>
      <c r="I1199" s="288">
        <f>VLOOKUP(K1199,임금대장!$A$6:$AH$86,16,0)</f>
        <v>0</v>
      </c>
      <c r="J1199" s="288"/>
      <c r="K1199" s="30">
        <v>53</v>
      </c>
    </row>
    <row r="1200" spans="1:11" ht="20.45" customHeight="1" x14ac:dyDescent="0.6">
      <c r="A1200" s="286" t="s">
        <v>107</v>
      </c>
      <c r="B1200" s="286"/>
      <c r="C1200" s="286" t="s">
        <v>5</v>
      </c>
      <c r="D1200" s="289"/>
      <c r="E1200" s="289"/>
      <c r="F1200" s="114" t="s">
        <v>108</v>
      </c>
      <c r="G1200" s="278">
        <f>VLOOKUP(K1199,임금대장!$A$6:$AH$86,15,0)</f>
        <v>154</v>
      </c>
      <c r="H1200" s="279"/>
      <c r="I1200" s="286" t="s">
        <v>89</v>
      </c>
      <c r="J1200" s="290">
        <f>VLOOKUP(K1199,임금대장!$A$6:$AH$86,17,0)</f>
        <v>0</v>
      </c>
    </row>
    <row r="1201" spans="1:10" ht="20.45" customHeight="1" x14ac:dyDescent="0.6">
      <c r="A1201" s="291">
        <f>C1203/G1200</f>
        <v>13000</v>
      </c>
      <c r="B1201" s="291"/>
      <c r="C1201" s="286"/>
      <c r="D1201" s="289"/>
      <c r="E1201" s="289"/>
      <c r="F1201" s="115" t="s">
        <v>90</v>
      </c>
      <c r="G1201" s="284">
        <f>VLOOKUP(K1199,임금대장!$A$6:$AH$86,16,0)</f>
        <v>0</v>
      </c>
      <c r="H1201" s="285"/>
      <c r="I1201" s="286"/>
      <c r="J1201" s="290"/>
    </row>
    <row r="1202" spans="1:10" ht="20.45" customHeight="1" x14ac:dyDescent="0.6">
      <c r="F1202" s="250"/>
      <c r="G1202" s="250"/>
    </row>
    <row r="1203" spans="1:10" ht="20.45" customHeight="1" x14ac:dyDescent="0.6">
      <c r="A1203" s="251" t="s">
        <v>91</v>
      </c>
      <c r="B1203" s="69" t="s">
        <v>109</v>
      </c>
      <c r="C1203" s="25">
        <f>VLOOKUP($K1199,임금대장!$A$6:$AH$86,9,0)</f>
        <v>2002000</v>
      </c>
      <c r="D1203" s="33" t="s">
        <v>110</v>
      </c>
      <c r="E1203" s="69"/>
      <c r="F1203" s="254"/>
      <c r="G1203" s="255"/>
      <c r="H1203" s="168"/>
      <c r="I1203" s="33"/>
      <c r="J1203" s="34"/>
    </row>
    <row r="1204" spans="1:10" ht="20.45" customHeight="1" x14ac:dyDescent="0.6">
      <c r="A1204" s="252"/>
      <c r="B1204" s="67"/>
      <c r="C1204" s="35"/>
      <c r="D1204" s="36"/>
      <c r="E1204" s="67"/>
      <c r="F1204" s="256"/>
      <c r="G1204" s="257"/>
      <c r="H1204" s="169"/>
      <c r="I1204" s="36"/>
      <c r="J1204" s="37"/>
    </row>
    <row r="1205" spans="1:10" ht="20.45" customHeight="1" x14ac:dyDescent="0.6">
      <c r="A1205" s="252"/>
      <c r="B1205" s="52"/>
      <c r="C1205" s="35"/>
      <c r="D1205" s="36"/>
      <c r="E1205" s="67"/>
      <c r="F1205" s="256"/>
      <c r="G1205" s="257"/>
      <c r="H1205" s="169"/>
      <c r="I1205" s="36"/>
      <c r="J1205" s="37"/>
    </row>
    <row r="1206" spans="1:10" ht="20.45" customHeight="1" x14ac:dyDescent="0.6">
      <c r="A1206" s="252"/>
      <c r="B1206" s="67"/>
      <c r="C1206" s="35"/>
      <c r="D1206" s="36"/>
      <c r="E1206" s="67"/>
      <c r="F1206" s="256"/>
      <c r="G1206" s="257"/>
      <c r="H1206" s="169"/>
      <c r="I1206" s="36"/>
      <c r="J1206" s="37"/>
    </row>
    <row r="1207" spans="1:10" ht="20.45" customHeight="1" x14ac:dyDescent="0.6">
      <c r="A1207" s="252"/>
      <c r="B1207" s="67"/>
      <c r="C1207" s="35"/>
      <c r="D1207" s="36"/>
      <c r="E1207" s="36"/>
      <c r="F1207" s="258"/>
      <c r="G1207" s="259"/>
      <c r="H1207" s="169"/>
      <c r="I1207" s="36"/>
      <c r="J1207" s="37"/>
    </row>
    <row r="1208" spans="1:10" ht="20.45" customHeight="1" x14ac:dyDescent="0.6">
      <c r="A1208" s="252"/>
      <c r="B1208" s="67"/>
      <c r="C1208" s="102"/>
      <c r="D1208" s="36"/>
      <c r="E1208" s="36"/>
      <c r="F1208" s="258"/>
      <c r="G1208" s="259"/>
      <c r="H1208" s="169"/>
      <c r="I1208" s="36"/>
      <c r="J1208" s="37"/>
    </row>
    <row r="1209" spans="1:10" ht="20.45" customHeight="1" x14ac:dyDescent="0.6">
      <c r="A1209" s="252"/>
      <c r="B1209" s="67"/>
      <c r="C1209" s="35"/>
      <c r="D1209" s="36"/>
      <c r="E1209" s="36"/>
      <c r="F1209" s="258"/>
      <c r="G1209" s="259"/>
      <c r="H1209" s="169"/>
      <c r="I1209" s="36"/>
      <c r="J1209" s="37"/>
    </row>
    <row r="1210" spans="1:10" ht="20.45" customHeight="1" x14ac:dyDescent="0.6">
      <c r="A1210" s="252"/>
      <c r="B1210" s="67"/>
      <c r="C1210" s="35"/>
      <c r="D1210" s="36"/>
      <c r="E1210" s="36"/>
      <c r="F1210" s="258"/>
      <c r="G1210" s="259"/>
      <c r="H1210" s="169"/>
      <c r="I1210" s="36"/>
      <c r="J1210" s="37"/>
    </row>
    <row r="1211" spans="1:10" ht="20.45" customHeight="1" x14ac:dyDescent="0.6">
      <c r="A1211" s="253"/>
      <c r="B1211" s="68"/>
      <c r="C1211" s="39"/>
      <c r="D1211" s="40"/>
      <c r="E1211" s="40"/>
      <c r="F1211" s="260"/>
      <c r="G1211" s="261"/>
      <c r="H1211" s="170"/>
      <c r="I1211" s="68" t="s">
        <v>95</v>
      </c>
      <c r="J1211" s="41">
        <f>SUM(C1203:H1209)</f>
        <v>2002000</v>
      </c>
    </row>
    <row r="1212" spans="1:10" ht="20.45" customHeight="1" x14ac:dyDescent="0.6">
      <c r="A1212" s="251" t="s">
        <v>96</v>
      </c>
      <c r="B1212" s="36" t="s">
        <v>97</v>
      </c>
      <c r="C1212" s="35">
        <f>VLOOKUP($K1199,임금대장!$A$6:$AH$86,25,0)</f>
        <v>60060</v>
      </c>
      <c r="D1212" s="33"/>
      <c r="E1212" s="42"/>
      <c r="F1212" s="262" t="s">
        <v>14</v>
      </c>
      <c r="G1212" s="263"/>
      <c r="H1212" s="169">
        <f>VLOOKUP($K1199,임금대장!$A$6:$AH$86,19,0)</f>
        <v>0</v>
      </c>
      <c r="I1212" s="33"/>
      <c r="J1212" s="34"/>
    </row>
    <row r="1213" spans="1:10" ht="20.45" customHeight="1" x14ac:dyDescent="0.6">
      <c r="A1213" s="252"/>
      <c r="B1213" s="36" t="s">
        <v>98</v>
      </c>
      <c r="C1213" s="35">
        <f>VLOOKUP($K1199,임금대장!$A$6:$AH$86,26,0)</f>
        <v>6000</v>
      </c>
      <c r="D1213" s="36"/>
      <c r="E1213" s="43"/>
      <c r="F1213" s="258" t="s">
        <v>12</v>
      </c>
      <c r="G1213" s="259"/>
      <c r="H1213" s="169">
        <f>VLOOKUP($K1199,임금대장!$A$6:$AH$86,17,0)</f>
        <v>0</v>
      </c>
      <c r="I1213" s="36"/>
      <c r="J1213" s="37"/>
    </row>
    <row r="1214" spans="1:10" ht="20.45" customHeight="1" x14ac:dyDescent="0.6">
      <c r="A1214" s="252"/>
      <c r="B1214" s="36" t="s">
        <v>99</v>
      </c>
      <c r="C1214" s="35">
        <f>VLOOKUP($K1199,임금대장!$A$6:$AH$86,27,0)</f>
        <v>0</v>
      </c>
      <c r="D1214" s="36"/>
      <c r="E1214" s="44"/>
      <c r="F1214" s="258" t="s">
        <v>100</v>
      </c>
      <c r="G1214" s="259"/>
      <c r="H1214" s="169">
        <f>VLOOKUP($K1199,임금대장!$A$6:$AH$86,31,0)</f>
        <v>0</v>
      </c>
      <c r="I1214" s="36"/>
      <c r="J1214" s="37"/>
    </row>
    <row r="1215" spans="1:10" ht="20.45" customHeight="1" x14ac:dyDescent="0.6">
      <c r="A1215" s="252"/>
      <c r="B1215" s="36" t="s">
        <v>101</v>
      </c>
      <c r="C1215" s="35">
        <f>VLOOKUP($K1199,임금대장!$A$6:$AH$86,28,0)</f>
        <v>0</v>
      </c>
      <c r="D1215" s="36"/>
      <c r="E1215" s="43"/>
      <c r="F1215" s="258" t="s">
        <v>102</v>
      </c>
      <c r="G1215" s="259"/>
      <c r="H1215" s="169">
        <f>VLOOKUP($K1199,임금대장!$A$6:$AH$86,30,0)</f>
        <v>0</v>
      </c>
      <c r="I1215" s="36"/>
      <c r="J1215" s="37"/>
    </row>
    <row r="1216" spans="1:10" ht="20.45" customHeight="1" x14ac:dyDescent="0.6">
      <c r="A1216" s="252"/>
      <c r="B1216" s="36" t="s">
        <v>31</v>
      </c>
      <c r="C1216" s="35">
        <f>VLOOKUP($K1199,임금대장!$A$6:$AH$86,29,0)</f>
        <v>0</v>
      </c>
      <c r="D1216" s="36"/>
      <c r="E1216" s="43"/>
      <c r="F1216" s="45"/>
      <c r="G1216" s="46"/>
      <c r="H1216" s="169"/>
      <c r="I1216" s="67" t="s">
        <v>103</v>
      </c>
      <c r="J1216" s="47">
        <f>SUM(C1212:H1217)</f>
        <v>66060</v>
      </c>
    </row>
    <row r="1217" spans="1:11" ht="20.45" customHeight="1" x14ac:dyDescent="0.6">
      <c r="A1217" s="253"/>
      <c r="B1217" s="40"/>
      <c r="C1217" s="101"/>
      <c r="D1217" s="40"/>
      <c r="E1217" s="48"/>
      <c r="F1217" s="260"/>
      <c r="G1217" s="261"/>
      <c r="H1217" s="170"/>
      <c r="I1217" s="68" t="s">
        <v>104</v>
      </c>
      <c r="J1217" s="49">
        <f>J1211-J1216</f>
        <v>1935940</v>
      </c>
    </row>
    <row r="1218" spans="1:11" ht="20.45" customHeight="1" x14ac:dyDescent="0.6">
      <c r="A1218" s="50" t="s">
        <v>105</v>
      </c>
      <c r="J1218" s="51" t="s">
        <v>0</v>
      </c>
    </row>
    <row r="1219" spans="1:11" ht="20.45" customHeight="1" x14ac:dyDescent="0.6">
      <c r="A1219" s="50"/>
      <c r="J1219" s="51"/>
    </row>
    <row r="1220" spans="1:11" ht="20.45" customHeight="1" x14ac:dyDescent="0.6">
      <c r="A1220" s="264" t="s">
        <v>399</v>
      </c>
      <c r="B1220" s="264"/>
      <c r="C1220" s="264"/>
      <c r="D1220" s="264"/>
      <c r="E1220" s="264"/>
      <c r="F1220" s="264"/>
      <c r="G1220" s="264"/>
      <c r="H1220" s="264"/>
      <c r="I1220" s="264"/>
      <c r="J1220" s="264"/>
    </row>
    <row r="1221" spans="1:11" ht="20.45" customHeight="1" x14ac:dyDescent="0.6">
      <c r="A1221" s="286" t="s">
        <v>83</v>
      </c>
      <c r="B1221" s="286"/>
      <c r="C1221" s="286"/>
      <c r="D1221" s="286" t="s">
        <v>84</v>
      </c>
      <c r="E1221" s="286"/>
      <c r="F1221" s="265" t="s">
        <v>85</v>
      </c>
      <c r="G1221" s="250"/>
      <c r="H1221" s="266"/>
      <c r="I1221" s="286" t="s">
        <v>86</v>
      </c>
      <c r="J1221" s="286"/>
    </row>
    <row r="1222" spans="1:11" ht="20.45" customHeight="1" x14ac:dyDescent="0.6">
      <c r="A1222" s="286" t="str">
        <f>VLOOKUP(K1222,임금대장!$A$6:$AH$86,3,0)</f>
        <v>파트</v>
      </c>
      <c r="B1222" s="286"/>
      <c r="C1222" s="286"/>
      <c r="D1222" s="287" t="str">
        <f>VLOOKUP(K1222,임금대장!$A$6:$AH$86,2,0)</f>
        <v>이태현</v>
      </c>
      <c r="E1222" s="287"/>
      <c r="F1222" s="267">
        <f>임금대장!$O$3</f>
        <v>31</v>
      </c>
      <c r="G1222" s="269"/>
      <c r="H1222" s="268"/>
      <c r="I1222" s="288">
        <f>VLOOKUP(K1222,임금대장!$A$6:$AH$86,16,0)</f>
        <v>0</v>
      </c>
      <c r="J1222" s="288"/>
      <c r="K1222" s="30">
        <v>54</v>
      </c>
    </row>
    <row r="1223" spans="1:11" ht="20.45" customHeight="1" x14ac:dyDescent="0.6">
      <c r="A1223" s="286" t="s">
        <v>107</v>
      </c>
      <c r="B1223" s="286"/>
      <c r="C1223" s="286" t="s">
        <v>5</v>
      </c>
      <c r="D1223" s="289"/>
      <c r="E1223" s="289"/>
      <c r="F1223" s="114" t="s">
        <v>108</v>
      </c>
      <c r="G1223" s="278">
        <f>VLOOKUP(K1222,임금대장!$A$6:$AH$86,15,0)</f>
        <v>133</v>
      </c>
      <c r="H1223" s="279"/>
      <c r="I1223" s="286" t="s">
        <v>89</v>
      </c>
      <c r="J1223" s="290">
        <f>VLOOKUP(K1222,임금대장!$A$6:$AH$86,17,0)</f>
        <v>0</v>
      </c>
    </row>
    <row r="1224" spans="1:11" ht="20.45" customHeight="1" x14ac:dyDescent="0.6">
      <c r="A1224" s="291">
        <f>C1226/G1223</f>
        <v>13000</v>
      </c>
      <c r="B1224" s="291"/>
      <c r="C1224" s="286"/>
      <c r="D1224" s="289"/>
      <c r="E1224" s="289"/>
      <c r="F1224" s="115" t="s">
        <v>90</v>
      </c>
      <c r="G1224" s="284">
        <f>VLOOKUP(K1222,임금대장!$A$6:$AH$86,16,0)</f>
        <v>0</v>
      </c>
      <c r="H1224" s="285"/>
      <c r="I1224" s="286"/>
      <c r="J1224" s="290"/>
    </row>
    <row r="1225" spans="1:11" ht="20.45" customHeight="1" x14ac:dyDescent="0.6">
      <c r="F1225" s="250"/>
      <c r="G1225" s="250"/>
    </row>
    <row r="1226" spans="1:11" ht="20.45" customHeight="1" x14ac:dyDescent="0.6">
      <c r="A1226" s="251" t="s">
        <v>91</v>
      </c>
      <c r="B1226" s="69" t="s">
        <v>109</v>
      </c>
      <c r="C1226" s="25">
        <f>VLOOKUP($K1222,임금대장!$A$6:$AH$86,9,0)</f>
        <v>1729000</v>
      </c>
      <c r="D1226" s="33" t="s">
        <v>110</v>
      </c>
      <c r="E1226" s="69"/>
      <c r="F1226" s="254"/>
      <c r="G1226" s="255"/>
      <c r="H1226" s="168"/>
      <c r="I1226" s="33"/>
      <c r="J1226" s="34"/>
    </row>
    <row r="1227" spans="1:11" ht="20.45" customHeight="1" x14ac:dyDescent="0.6">
      <c r="A1227" s="252"/>
      <c r="B1227" s="67"/>
      <c r="C1227" s="35"/>
      <c r="D1227" s="36"/>
      <c r="E1227" s="67"/>
      <c r="F1227" s="256"/>
      <c r="G1227" s="257"/>
      <c r="H1227" s="169"/>
      <c r="I1227" s="36"/>
      <c r="J1227" s="37"/>
    </row>
    <row r="1228" spans="1:11" ht="20.45" customHeight="1" x14ac:dyDescent="0.6">
      <c r="A1228" s="252"/>
      <c r="B1228" s="52"/>
      <c r="C1228" s="35"/>
      <c r="D1228" s="36"/>
      <c r="E1228" s="67"/>
      <c r="F1228" s="256"/>
      <c r="G1228" s="257"/>
      <c r="H1228" s="169"/>
      <c r="I1228" s="36"/>
      <c r="J1228" s="37"/>
    </row>
    <row r="1229" spans="1:11" ht="20.45" customHeight="1" x14ac:dyDescent="0.6">
      <c r="A1229" s="252"/>
      <c r="B1229" s="67"/>
      <c r="C1229" s="35"/>
      <c r="D1229" s="36"/>
      <c r="E1229" s="67"/>
      <c r="F1229" s="256"/>
      <c r="G1229" s="257"/>
      <c r="H1229" s="169"/>
      <c r="I1229" s="36"/>
      <c r="J1229" s="37"/>
    </row>
    <row r="1230" spans="1:11" ht="20.45" customHeight="1" x14ac:dyDescent="0.6">
      <c r="A1230" s="252"/>
      <c r="B1230" s="67"/>
      <c r="C1230" s="35"/>
      <c r="D1230" s="36"/>
      <c r="E1230" s="36"/>
      <c r="F1230" s="258"/>
      <c r="G1230" s="259"/>
      <c r="H1230" s="169"/>
      <c r="I1230" s="36"/>
      <c r="J1230" s="37"/>
    </row>
    <row r="1231" spans="1:11" ht="20.45" customHeight="1" x14ac:dyDescent="0.6">
      <c r="A1231" s="252"/>
      <c r="B1231" s="67"/>
      <c r="C1231" s="102"/>
      <c r="D1231" s="36"/>
      <c r="E1231" s="36"/>
      <c r="F1231" s="258"/>
      <c r="G1231" s="259"/>
      <c r="H1231" s="169"/>
      <c r="I1231" s="36"/>
      <c r="J1231" s="37"/>
    </row>
    <row r="1232" spans="1:11" ht="20.45" customHeight="1" x14ac:dyDescent="0.6">
      <c r="A1232" s="252"/>
      <c r="B1232" s="67"/>
      <c r="C1232" s="35"/>
      <c r="D1232" s="36"/>
      <c r="E1232" s="36"/>
      <c r="F1232" s="258"/>
      <c r="G1232" s="259"/>
      <c r="H1232" s="169"/>
      <c r="I1232" s="36"/>
      <c r="J1232" s="37"/>
    </row>
    <row r="1233" spans="1:11" ht="20.45" customHeight="1" x14ac:dyDescent="0.6">
      <c r="A1233" s="252"/>
      <c r="B1233" s="67"/>
      <c r="C1233" s="35"/>
      <c r="D1233" s="36"/>
      <c r="E1233" s="36"/>
      <c r="F1233" s="258"/>
      <c r="G1233" s="259"/>
      <c r="H1233" s="169"/>
      <c r="I1233" s="36"/>
      <c r="J1233" s="37"/>
    </row>
    <row r="1234" spans="1:11" ht="20.45" customHeight="1" x14ac:dyDescent="0.6">
      <c r="A1234" s="253"/>
      <c r="B1234" s="68"/>
      <c r="C1234" s="39"/>
      <c r="D1234" s="40"/>
      <c r="E1234" s="40"/>
      <c r="F1234" s="260"/>
      <c r="G1234" s="261"/>
      <c r="H1234" s="170"/>
      <c r="I1234" s="68" t="s">
        <v>95</v>
      </c>
      <c r="J1234" s="41">
        <f>SUM(C1226:H1232)</f>
        <v>1729000</v>
      </c>
    </row>
    <row r="1235" spans="1:11" ht="20.45" customHeight="1" x14ac:dyDescent="0.6">
      <c r="A1235" s="251" t="s">
        <v>96</v>
      </c>
      <c r="B1235" s="36" t="s">
        <v>97</v>
      </c>
      <c r="C1235" s="35">
        <f>VLOOKUP($K1222,임금대장!$A$6:$AH$86,25,0)</f>
        <v>51870</v>
      </c>
      <c r="D1235" s="33"/>
      <c r="E1235" s="42"/>
      <c r="F1235" s="262" t="s">
        <v>14</v>
      </c>
      <c r="G1235" s="263"/>
      <c r="H1235" s="169">
        <f>VLOOKUP($K1222,임금대장!$A$6:$AH$86,19,0)</f>
        <v>0</v>
      </c>
      <c r="I1235" s="33"/>
      <c r="J1235" s="34"/>
    </row>
    <row r="1236" spans="1:11" ht="20.45" customHeight="1" x14ac:dyDescent="0.6">
      <c r="A1236" s="252"/>
      <c r="B1236" s="36" t="s">
        <v>98</v>
      </c>
      <c r="C1236" s="35">
        <f>VLOOKUP($K1222,임금대장!$A$6:$AH$86,26,0)</f>
        <v>5180</v>
      </c>
      <c r="D1236" s="36"/>
      <c r="E1236" s="43"/>
      <c r="F1236" s="258" t="s">
        <v>12</v>
      </c>
      <c r="G1236" s="259"/>
      <c r="H1236" s="169">
        <f>VLOOKUP($K1222,임금대장!$A$6:$AH$86,17,0)</f>
        <v>0</v>
      </c>
      <c r="I1236" s="36"/>
      <c r="J1236" s="37"/>
    </row>
    <row r="1237" spans="1:11" ht="20.45" customHeight="1" x14ac:dyDescent="0.6">
      <c r="A1237" s="252"/>
      <c r="B1237" s="36" t="s">
        <v>99</v>
      </c>
      <c r="C1237" s="35">
        <f>VLOOKUP($K1222,임금대장!$A$6:$AH$86,27,0)</f>
        <v>0</v>
      </c>
      <c r="D1237" s="36"/>
      <c r="E1237" s="44"/>
      <c r="F1237" s="258" t="s">
        <v>100</v>
      </c>
      <c r="G1237" s="259"/>
      <c r="H1237" s="169">
        <f>VLOOKUP($K1222,임금대장!$A$6:$AH$86,31,0)</f>
        <v>0</v>
      </c>
      <c r="I1237" s="36"/>
      <c r="J1237" s="37"/>
    </row>
    <row r="1238" spans="1:11" ht="20.45" customHeight="1" x14ac:dyDescent="0.6">
      <c r="A1238" s="252"/>
      <c r="B1238" s="36" t="s">
        <v>101</v>
      </c>
      <c r="C1238" s="35">
        <f>VLOOKUP($K1222,임금대장!$A$6:$AH$86,28,0)</f>
        <v>0</v>
      </c>
      <c r="D1238" s="36"/>
      <c r="E1238" s="43"/>
      <c r="F1238" s="258" t="s">
        <v>102</v>
      </c>
      <c r="G1238" s="259"/>
      <c r="H1238" s="169">
        <f>VLOOKUP($K1222,임금대장!$A$6:$AH$86,30,0)</f>
        <v>0</v>
      </c>
      <c r="I1238" s="36"/>
      <c r="J1238" s="37"/>
    </row>
    <row r="1239" spans="1:11" ht="20.45" customHeight="1" x14ac:dyDescent="0.6">
      <c r="A1239" s="252"/>
      <c r="B1239" s="36" t="s">
        <v>31</v>
      </c>
      <c r="C1239" s="35">
        <f>VLOOKUP($K1222,임금대장!$A$6:$AH$86,29,0)</f>
        <v>0</v>
      </c>
      <c r="D1239" s="36"/>
      <c r="E1239" s="43"/>
      <c r="F1239" s="45"/>
      <c r="G1239" s="46"/>
      <c r="H1239" s="169"/>
      <c r="I1239" s="67" t="s">
        <v>103</v>
      </c>
      <c r="J1239" s="47">
        <f>SUM(C1235:H1240)</f>
        <v>57050</v>
      </c>
    </row>
    <row r="1240" spans="1:11" ht="20.45" customHeight="1" x14ac:dyDescent="0.6">
      <c r="A1240" s="253"/>
      <c r="B1240" s="40"/>
      <c r="C1240" s="101"/>
      <c r="D1240" s="40"/>
      <c r="E1240" s="48"/>
      <c r="F1240" s="260"/>
      <c r="G1240" s="261"/>
      <c r="H1240" s="170"/>
      <c r="I1240" s="68" t="s">
        <v>104</v>
      </c>
      <c r="J1240" s="49">
        <f>J1234-J1239</f>
        <v>1671950</v>
      </c>
    </row>
    <row r="1241" spans="1:11" ht="20.45" customHeight="1" x14ac:dyDescent="0.6">
      <c r="A1241" s="50" t="s">
        <v>105</v>
      </c>
      <c r="J1241" s="51" t="s">
        <v>0</v>
      </c>
    </row>
    <row r="1243" spans="1:11" ht="20.45" customHeight="1" x14ac:dyDescent="0.6">
      <c r="A1243" s="264" t="s">
        <v>399</v>
      </c>
      <c r="B1243" s="264"/>
      <c r="C1243" s="264"/>
      <c r="D1243" s="264"/>
      <c r="E1243" s="264"/>
      <c r="F1243" s="264"/>
      <c r="G1243" s="264"/>
      <c r="H1243" s="264"/>
      <c r="I1243" s="264"/>
      <c r="J1243" s="264"/>
    </row>
    <row r="1244" spans="1:11" ht="20.45" customHeight="1" x14ac:dyDescent="0.6">
      <c r="A1244" s="286" t="s">
        <v>83</v>
      </c>
      <c r="B1244" s="286"/>
      <c r="C1244" s="286"/>
      <c r="D1244" s="286" t="s">
        <v>84</v>
      </c>
      <c r="E1244" s="286"/>
      <c r="F1244" s="265" t="s">
        <v>85</v>
      </c>
      <c r="G1244" s="250"/>
      <c r="H1244" s="266"/>
      <c r="I1244" s="286" t="s">
        <v>86</v>
      </c>
      <c r="J1244" s="286"/>
    </row>
    <row r="1245" spans="1:11" ht="20.45" customHeight="1" x14ac:dyDescent="0.6">
      <c r="A1245" s="286" t="str">
        <f>VLOOKUP(K1245,임금대장!$A$6:$AH$86,3,0)</f>
        <v>파트</v>
      </c>
      <c r="B1245" s="286"/>
      <c r="C1245" s="286"/>
      <c r="D1245" s="287" t="str">
        <f>VLOOKUP(K1245,임금대장!$A$6:$AH$86,2,0)</f>
        <v>주희연</v>
      </c>
      <c r="E1245" s="287"/>
      <c r="F1245" s="267">
        <f>임금대장!$O$3</f>
        <v>31</v>
      </c>
      <c r="G1245" s="269"/>
      <c r="H1245" s="268"/>
      <c r="I1245" s="288">
        <f>VLOOKUP(K1245,임금대장!$A$6:$AH$86,16,0)</f>
        <v>0</v>
      </c>
      <c r="J1245" s="288"/>
      <c r="K1245" s="30">
        <v>55</v>
      </c>
    </row>
    <row r="1246" spans="1:11" ht="20.45" customHeight="1" x14ac:dyDescent="0.6">
      <c r="A1246" s="286" t="s">
        <v>107</v>
      </c>
      <c r="B1246" s="286"/>
      <c r="C1246" s="286" t="s">
        <v>5</v>
      </c>
      <c r="D1246" s="289"/>
      <c r="E1246" s="289"/>
      <c r="F1246" s="114" t="s">
        <v>108</v>
      </c>
      <c r="G1246" s="278">
        <f>VLOOKUP(K1245,임금대장!$A$6:$AH$86,15,0)</f>
        <v>49.5</v>
      </c>
      <c r="H1246" s="279"/>
      <c r="I1246" s="286" t="s">
        <v>89</v>
      </c>
      <c r="J1246" s="290">
        <f>VLOOKUP(K1245,임금대장!$A$6:$AH$86,17,0)</f>
        <v>0</v>
      </c>
    </row>
    <row r="1247" spans="1:11" ht="20.45" customHeight="1" x14ac:dyDescent="0.6">
      <c r="A1247" s="291">
        <f>C1249/G1246</f>
        <v>13000</v>
      </c>
      <c r="B1247" s="291"/>
      <c r="C1247" s="286"/>
      <c r="D1247" s="289"/>
      <c r="E1247" s="289"/>
      <c r="F1247" s="115" t="s">
        <v>90</v>
      </c>
      <c r="G1247" s="284">
        <f>VLOOKUP(K1245,임금대장!$A$6:$AH$86,16,0)</f>
        <v>0</v>
      </c>
      <c r="H1247" s="285"/>
      <c r="I1247" s="286"/>
      <c r="J1247" s="290"/>
    </row>
    <row r="1248" spans="1:11" ht="20.45" customHeight="1" x14ac:dyDescent="0.6">
      <c r="F1248" s="250"/>
      <c r="G1248" s="250"/>
    </row>
    <row r="1249" spans="1:10" ht="20.45" customHeight="1" x14ac:dyDescent="0.6">
      <c r="A1249" s="251" t="s">
        <v>91</v>
      </c>
      <c r="B1249" s="69" t="s">
        <v>109</v>
      </c>
      <c r="C1249" s="25">
        <f>VLOOKUP($K1245,임금대장!$A$6:$AH$86,9,0)</f>
        <v>643500</v>
      </c>
      <c r="D1249" s="33" t="s">
        <v>110</v>
      </c>
      <c r="E1249" s="69"/>
      <c r="F1249" s="254"/>
      <c r="G1249" s="255"/>
      <c r="H1249" s="168"/>
      <c r="I1249" s="33"/>
      <c r="J1249" s="34"/>
    </row>
    <row r="1250" spans="1:10" ht="20.45" customHeight="1" x14ac:dyDescent="0.6">
      <c r="A1250" s="252"/>
      <c r="B1250" s="67"/>
      <c r="C1250" s="35"/>
      <c r="D1250" s="36"/>
      <c r="E1250" s="67"/>
      <c r="F1250" s="256"/>
      <c r="G1250" s="257"/>
      <c r="H1250" s="169"/>
      <c r="I1250" s="36"/>
      <c r="J1250" s="37"/>
    </row>
    <row r="1251" spans="1:10" ht="20.45" customHeight="1" x14ac:dyDescent="0.6">
      <c r="A1251" s="252"/>
      <c r="B1251" s="52"/>
      <c r="C1251" s="35"/>
      <c r="D1251" s="36"/>
      <c r="E1251" s="67"/>
      <c r="F1251" s="256"/>
      <c r="G1251" s="257"/>
      <c r="H1251" s="169"/>
      <c r="I1251" s="36"/>
      <c r="J1251" s="37"/>
    </row>
    <row r="1252" spans="1:10" ht="20.45" customHeight="1" x14ac:dyDescent="0.6">
      <c r="A1252" s="252"/>
      <c r="B1252" s="67"/>
      <c r="C1252" s="35"/>
      <c r="D1252" s="36"/>
      <c r="E1252" s="67"/>
      <c r="F1252" s="256"/>
      <c r="G1252" s="257"/>
      <c r="H1252" s="169"/>
      <c r="I1252" s="36"/>
      <c r="J1252" s="37"/>
    </row>
    <row r="1253" spans="1:10" ht="20.45" customHeight="1" x14ac:dyDescent="0.6">
      <c r="A1253" s="252"/>
      <c r="B1253" s="67"/>
      <c r="C1253" s="35"/>
      <c r="D1253" s="36"/>
      <c r="E1253" s="36"/>
      <c r="F1253" s="258"/>
      <c r="G1253" s="259"/>
      <c r="H1253" s="169"/>
      <c r="I1253" s="36"/>
      <c r="J1253" s="37"/>
    </row>
    <row r="1254" spans="1:10" ht="20.45" customHeight="1" x14ac:dyDescent="0.6">
      <c r="A1254" s="252"/>
      <c r="B1254" s="67"/>
      <c r="C1254" s="102"/>
      <c r="D1254" s="36"/>
      <c r="E1254" s="36"/>
      <c r="F1254" s="258"/>
      <c r="G1254" s="259"/>
      <c r="H1254" s="169"/>
      <c r="I1254" s="36"/>
      <c r="J1254" s="37"/>
    </row>
    <row r="1255" spans="1:10" ht="20.45" customHeight="1" x14ac:dyDescent="0.6">
      <c r="A1255" s="252"/>
      <c r="B1255" s="67"/>
      <c r="C1255" s="35"/>
      <c r="D1255" s="36"/>
      <c r="E1255" s="36"/>
      <c r="F1255" s="258"/>
      <c r="G1255" s="259"/>
      <c r="H1255" s="169"/>
      <c r="I1255" s="36"/>
      <c r="J1255" s="37"/>
    </row>
    <row r="1256" spans="1:10" ht="20.45" customHeight="1" x14ac:dyDescent="0.6">
      <c r="A1256" s="252"/>
      <c r="B1256" s="67"/>
      <c r="C1256" s="35"/>
      <c r="D1256" s="36"/>
      <c r="E1256" s="36"/>
      <c r="F1256" s="258"/>
      <c r="G1256" s="259"/>
      <c r="H1256" s="169"/>
      <c r="I1256" s="36"/>
      <c r="J1256" s="37"/>
    </row>
    <row r="1257" spans="1:10" ht="20.45" customHeight="1" x14ac:dyDescent="0.6">
      <c r="A1257" s="253"/>
      <c r="B1257" s="68"/>
      <c r="C1257" s="39"/>
      <c r="D1257" s="40"/>
      <c r="E1257" s="40"/>
      <c r="F1257" s="260"/>
      <c r="G1257" s="261"/>
      <c r="H1257" s="170"/>
      <c r="I1257" s="68" t="s">
        <v>95</v>
      </c>
      <c r="J1257" s="41">
        <f>SUM(C1249:H1255)</f>
        <v>643500</v>
      </c>
    </row>
    <row r="1258" spans="1:10" ht="20.45" customHeight="1" x14ac:dyDescent="0.6">
      <c r="A1258" s="251" t="s">
        <v>96</v>
      </c>
      <c r="B1258" s="36" t="s">
        <v>97</v>
      </c>
      <c r="C1258" s="35">
        <f>VLOOKUP($K1245,임금대장!$A$6:$AH$86,25,0)</f>
        <v>19300</v>
      </c>
      <c r="D1258" s="33"/>
      <c r="E1258" s="42"/>
      <c r="F1258" s="262" t="s">
        <v>14</v>
      </c>
      <c r="G1258" s="263"/>
      <c r="H1258" s="169">
        <f>VLOOKUP($K1245,임금대장!$A$6:$AH$86,19,0)</f>
        <v>0</v>
      </c>
      <c r="I1258" s="33"/>
      <c r="J1258" s="34"/>
    </row>
    <row r="1259" spans="1:10" ht="20.45" customHeight="1" x14ac:dyDescent="0.6">
      <c r="A1259" s="252"/>
      <c r="B1259" s="36" t="s">
        <v>98</v>
      </c>
      <c r="C1259" s="35">
        <f>VLOOKUP($K1245,임금대장!$A$6:$AH$86,26,0)</f>
        <v>1930</v>
      </c>
      <c r="D1259" s="36"/>
      <c r="E1259" s="43"/>
      <c r="F1259" s="258" t="s">
        <v>12</v>
      </c>
      <c r="G1259" s="259"/>
      <c r="H1259" s="169">
        <f>VLOOKUP($K1245,임금대장!$A$6:$AH$86,17,0)</f>
        <v>0</v>
      </c>
      <c r="I1259" s="36"/>
      <c r="J1259" s="37"/>
    </row>
    <row r="1260" spans="1:10" ht="20.45" customHeight="1" x14ac:dyDescent="0.6">
      <c r="A1260" s="252"/>
      <c r="B1260" s="36" t="s">
        <v>99</v>
      </c>
      <c r="C1260" s="35">
        <f>VLOOKUP($K1245,임금대장!$A$6:$AH$86,27,0)</f>
        <v>0</v>
      </c>
      <c r="D1260" s="36"/>
      <c r="E1260" s="44"/>
      <c r="F1260" s="258" t="s">
        <v>100</v>
      </c>
      <c r="G1260" s="259"/>
      <c r="H1260" s="169">
        <f>VLOOKUP($K1245,임금대장!$A$6:$AH$86,31,0)</f>
        <v>0</v>
      </c>
      <c r="I1260" s="36"/>
      <c r="J1260" s="37"/>
    </row>
    <row r="1261" spans="1:10" ht="20.45" customHeight="1" x14ac:dyDescent="0.6">
      <c r="A1261" s="252"/>
      <c r="B1261" s="36" t="s">
        <v>101</v>
      </c>
      <c r="C1261" s="35">
        <f>VLOOKUP($K1245,임금대장!$A$6:$AH$86,28,0)</f>
        <v>0</v>
      </c>
      <c r="D1261" s="36"/>
      <c r="E1261" s="43"/>
      <c r="F1261" s="258" t="s">
        <v>102</v>
      </c>
      <c r="G1261" s="259"/>
      <c r="H1261" s="169">
        <f>VLOOKUP($K1245,임금대장!$A$6:$AH$86,30,0)</f>
        <v>0</v>
      </c>
      <c r="I1261" s="36"/>
      <c r="J1261" s="37"/>
    </row>
    <row r="1262" spans="1:10" ht="20.45" customHeight="1" x14ac:dyDescent="0.6">
      <c r="A1262" s="252"/>
      <c r="B1262" s="36" t="s">
        <v>31</v>
      </c>
      <c r="C1262" s="35">
        <f>VLOOKUP($K1245,임금대장!$A$6:$AH$86,29,0)</f>
        <v>0</v>
      </c>
      <c r="D1262" s="36"/>
      <c r="E1262" s="43"/>
      <c r="F1262" s="45"/>
      <c r="G1262" s="46"/>
      <c r="H1262" s="169"/>
      <c r="I1262" s="67" t="s">
        <v>103</v>
      </c>
      <c r="J1262" s="47">
        <f>SUM(C1258:H1263)</f>
        <v>21230</v>
      </c>
    </row>
    <row r="1263" spans="1:10" ht="20.45" customHeight="1" x14ac:dyDescent="0.6">
      <c r="A1263" s="253"/>
      <c r="B1263" s="40"/>
      <c r="C1263" s="101"/>
      <c r="D1263" s="40"/>
      <c r="E1263" s="48"/>
      <c r="F1263" s="260"/>
      <c r="G1263" s="261"/>
      <c r="H1263" s="170"/>
      <c r="I1263" s="68" t="s">
        <v>104</v>
      </c>
      <c r="J1263" s="49">
        <f>J1257-J1262</f>
        <v>622270</v>
      </c>
    </row>
    <row r="1264" spans="1:10" ht="20.45" customHeight="1" x14ac:dyDescent="0.6">
      <c r="A1264" s="50" t="s">
        <v>105</v>
      </c>
      <c r="J1264" s="51" t="s">
        <v>0</v>
      </c>
    </row>
    <row r="1266" spans="1:11" ht="20.45" customHeight="1" x14ac:dyDescent="0.6">
      <c r="A1266" s="264" t="s">
        <v>399</v>
      </c>
      <c r="B1266" s="264"/>
      <c r="C1266" s="264"/>
      <c r="D1266" s="264"/>
      <c r="E1266" s="264"/>
      <c r="F1266" s="264"/>
      <c r="G1266" s="264"/>
      <c r="H1266" s="264"/>
      <c r="I1266" s="264"/>
      <c r="J1266" s="264"/>
    </row>
    <row r="1267" spans="1:11" ht="20.45" customHeight="1" x14ac:dyDescent="0.6">
      <c r="A1267" s="286" t="s">
        <v>83</v>
      </c>
      <c r="B1267" s="286"/>
      <c r="C1267" s="286"/>
      <c r="D1267" s="286" t="s">
        <v>84</v>
      </c>
      <c r="E1267" s="286"/>
      <c r="F1267" s="265" t="s">
        <v>85</v>
      </c>
      <c r="G1267" s="250"/>
      <c r="H1267" s="266"/>
      <c r="I1267" s="286" t="s">
        <v>86</v>
      </c>
      <c r="J1267" s="286"/>
    </row>
    <row r="1268" spans="1:11" ht="20.45" customHeight="1" x14ac:dyDescent="0.6">
      <c r="A1268" s="286" t="str">
        <f>VLOOKUP(K1268,임금대장!$A$6:$AH$86,3,0)</f>
        <v>파트</v>
      </c>
      <c r="B1268" s="286"/>
      <c r="C1268" s="286"/>
      <c r="D1268" s="287" t="str">
        <f>VLOOKUP(K1268,임금대장!$A$6:$AH$86,2,0)</f>
        <v>김서연</v>
      </c>
      <c r="E1268" s="287"/>
      <c r="F1268" s="267">
        <f>임금대장!$O$3</f>
        <v>31</v>
      </c>
      <c r="G1268" s="269"/>
      <c r="H1268" s="268"/>
      <c r="I1268" s="288">
        <f>VLOOKUP(K1268,임금대장!$A$6:$AH$86,16,0)</f>
        <v>0</v>
      </c>
      <c r="J1268" s="288"/>
      <c r="K1268" s="30">
        <v>56</v>
      </c>
    </row>
    <row r="1269" spans="1:11" ht="20.45" customHeight="1" x14ac:dyDescent="0.6">
      <c r="A1269" s="286" t="s">
        <v>107</v>
      </c>
      <c r="B1269" s="286"/>
      <c r="C1269" s="286" t="s">
        <v>5</v>
      </c>
      <c r="D1269" s="289"/>
      <c r="E1269" s="289"/>
      <c r="F1269" s="114" t="s">
        <v>108</v>
      </c>
      <c r="G1269" s="278">
        <f>VLOOKUP(K1268,임금대장!$A$6:$AH$86,15,0)</f>
        <v>104.5</v>
      </c>
      <c r="H1269" s="279"/>
      <c r="I1269" s="286" t="s">
        <v>89</v>
      </c>
      <c r="J1269" s="290">
        <f>VLOOKUP(K1268,임금대장!$A$6:$AH$86,17,0)</f>
        <v>0</v>
      </c>
    </row>
    <row r="1270" spans="1:11" ht="20.45" customHeight="1" x14ac:dyDescent="0.6">
      <c r="A1270" s="291">
        <f>C1272/G1269</f>
        <v>13000</v>
      </c>
      <c r="B1270" s="291"/>
      <c r="C1270" s="286"/>
      <c r="D1270" s="289"/>
      <c r="E1270" s="289"/>
      <c r="F1270" s="115" t="s">
        <v>90</v>
      </c>
      <c r="G1270" s="284">
        <f>VLOOKUP(K1268,임금대장!$A$6:$AH$86,16,0)</f>
        <v>0</v>
      </c>
      <c r="H1270" s="285"/>
      <c r="I1270" s="286"/>
      <c r="J1270" s="290"/>
    </row>
    <row r="1271" spans="1:11" ht="20.45" customHeight="1" x14ac:dyDescent="0.6">
      <c r="F1271" s="250"/>
      <c r="G1271" s="250"/>
    </row>
    <row r="1272" spans="1:11" ht="20.45" customHeight="1" x14ac:dyDescent="0.6">
      <c r="A1272" s="251" t="s">
        <v>91</v>
      </c>
      <c r="B1272" s="69" t="s">
        <v>109</v>
      </c>
      <c r="C1272" s="25">
        <f>VLOOKUP($K1268,임금대장!$A$6:$AH$86,9,0)</f>
        <v>1358500</v>
      </c>
      <c r="D1272" s="33" t="s">
        <v>110</v>
      </c>
      <c r="E1272" s="69"/>
      <c r="F1272" s="254"/>
      <c r="G1272" s="255"/>
      <c r="H1272" s="168"/>
      <c r="I1272" s="33"/>
      <c r="J1272" s="34"/>
    </row>
    <row r="1273" spans="1:11" ht="20.45" customHeight="1" x14ac:dyDescent="0.6">
      <c r="A1273" s="252"/>
      <c r="B1273" s="67"/>
      <c r="C1273" s="35"/>
      <c r="D1273" s="36"/>
      <c r="E1273" s="67"/>
      <c r="F1273" s="256"/>
      <c r="G1273" s="257"/>
      <c r="H1273" s="169"/>
      <c r="I1273" s="36"/>
      <c r="J1273" s="37"/>
    </row>
    <row r="1274" spans="1:11" ht="20.45" customHeight="1" x14ac:dyDescent="0.6">
      <c r="A1274" s="252"/>
      <c r="B1274" s="52"/>
      <c r="C1274" s="35"/>
      <c r="D1274" s="36"/>
      <c r="E1274" s="67"/>
      <c r="F1274" s="256"/>
      <c r="G1274" s="257"/>
      <c r="H1274" s="169"/>
      <c r="I1274" s="36"/>
      <c r="J1274" s="37"/>
    </row>
    <row r="1275" spans="1:11" ht="20.45" customHeight="1" x14ac:dyDescent="0.6">
      <c r="A1275" s="252"/>
      <c r="B1275" s="67"/>
      <c r="C1275" s="35"/>
      <c r="D1275" s="36"/>
      <c r="E1275" s="67"/>
      <c r="F1275" s="256"/>
      <c r="G1275" s="257"/>
      <c r="H1275" s="169"/>
      <c r="I1275" s="36"/>
      <c r="J1275" s="37"/>
    </row>
    <row r="1276" spans="1:11" ht="20.45" customHeight="1" x14ac:dyDescent="0.6">
      <c r="A1276" s="252"/>
      <c r="B1276" s="67"/>
      <c r="C1276" s="35"/>
      <c r="D1276" s="36"/>
      <c r="E1276" s="36"/>
      <c r="F1276" s="258"/>
      <c r="G1276" s="259"/>
      <c r="H1276" s="169"/>
      <c r="I1276" s="36"/>
      <c r="J1276" s="37"/>
    </row>
    <row r="1277" spans="1:11" ht="20.45" customHeight="1" x14ac:dyDescent="0.6">
      <c r="A1277" s="252"/>
      <c r="B1277" s="67"/>
      <c r="C1277" s="102"/>
      <c r="D1277" s="36"/>
      <c r="E1277" s="36"/>
      <c r="F1277" s="258"/>
      <c r="G1277" s="259"/>
      <c r="H1277" s="169"/>
      <c r="I1277" s="36"/>
      <c r="J1277" s="37"/>
    </row>
    <row r="1278" spans="1:11" ht="20.45" customHeight="1" x14ac:dyDescent="0.6">
      <c r="A1278" s="252"/>
      <c r="B1278" s="67"/>
      <c r="C1278" s="35"/>
      <c r="D1278" s="36"/>
      <c r="E1278" s="36"/>
      <c r="F1278" s="258"/>
      <c r="G1278" s="259"/>
      <c r="H1278" s="169"/>
      <c r="I1278" s="36"/>
      <c r="J1278" s="37"/>
    </row>
    <row r="1279" spans="1:11" ht="20.45" customHeight="1" x14ac:dyDescent="0.6">
      <c r="A1279" s="252"/>
      <c r="B1279" s="67"/>
      <c r="C1279" s="35"/>
      <c r="D1279" s="36"/>
      <c r="E1279" s="36"/>
      <c r="F1279" s="258"/>
      <c r="G1279" s="259"/>
      <c r="H1279" s="169"/>
      <c r="I1279" s="36"/>
      <c r="J1279" s="37"/>
    </row>
    <row r="1280" spans="1:11" ht="20.45" customHeight="1" x14ac:dyDescent="0.6">
      <c r="A1280" s="253"/>
      <c r="B1280" s="68"/>
      <c r="C1280" s="39"/>
      <c r="D1280" s="40"/>
      <c r="E1280" s="40"/>
      <c r="F1280" s="260"/>
      <c r="G1280" s="261"/>
      <c r="H1280" s="170"/>
      <c r="I1280" s="68" t="s">
        <v>95</v>
      </c>
      <c r="J1280" s="41">
        <f>SUM(C1272:H1278)</f>
        <v>1358500</v>
      </c>
    </row>
    <row r="1281" spans="1:11" ht="20.45" customHeight="1" x14ac:dyDescent="0.6">
      <c r="A1281" s="251" t="s">
        <v>96</v>
      </c>
      <c r="B1281" s="36" t="s">
        <v>97</v>
      </c>
      <c r="C1281" s="35">
        <f>VLOOKUP($K1268,임금대장!$A$6:$AH$86,25,0)</f>
        <v>40750</v>
      </c>
      <c r="D1281" s="33"/>
      <c r="E1281" s="42"/>
      <c r="F1281" s="262" t="s">
        <v>14</v>
      </c>
      <c r="G1281" s="263"/>
      <c r="H1281" s="169">
        <f>VLOOKUP($K1268,임금대장!$A$6:$AH$86,19,0)</f>
        <v>0</v>
      </c>
      <c r="I1281" s="33"/>
      <c r="J1281" s="34"/>
    </row>
    <row r="1282" spans="1:11" ht="20.45" customHeight="1" x14ac:dyDescent="0.6">
      <c r="A1282" s="252"/>
      <c r="B1282" s="36" t="s">
        <v>98</v>
      </c>
      <c r="C1282" s="35">
        <f>VLOOKUP($K1268,임금대장!$A$6:$AH$86,26,0)</f>
        <v>4070</v>
      </c>
      <c r="D1282" s="36"/>
      <c r="E1282" s="43"/>
      <c r="F1282" s="258" t="s">
        <v>12</v>
      </c>
      <c r="G1282" s="259"/>
      <c r="H1282" s="169">
        <f>VLOOKUP($K1268,임금대장!$A$6:$AH$86,17,0)</f>
        <v>0</v>
      </c>
      <c r="I1282" s="36"/>
      <c r="J1282" s="37"/>
    </row>
    <row r="1283" spans="1:11" ht="20.45" customHeight="1" x14ac:dyDescent="0.6">
      <c r="A1283" s="252"/>
      <c r="B1283" s="36" t="s">
        <v>99</v>
      </c>
      <c r="C1283" s="35">
        <f>VLOOKUP($K1268,임금대장!$A$6:$AH$86,27,0)</f>
        <v>0</v>
      </c>
      <c r="D1283" s="36"/>
      <c r="E1283" s="44"/>
      <c r="F1283" s="258" t="s">
        <v>100</v>
      </c>
      <c r="G1283" s="259"/>
      <c r="H1283" s="169">
        <f>VLOOKUP($K1268,임금대장!$A$6:$AH$86,31,0)</f>
        <v>0</v>
      </c>
      <c r="I1283" s="36"/>
      <c r="J1283" s="37"/>
    </row>
    <row r="1284" spans="1:11" ht="20.45" customHeight="1" x14ac:dyDescent="0.6">
      <c r="A1284" s="252"/>
      <c r="B1284" s="36" t="s">
        <v>101</v>
      </c>
      <c r="C1284" s="35">
        <f>VLOOKUP($K1268,임금대장!$A$6:$AH$86,28,0)</f>
        <v>0</v>
      </c>
      <c r="D1284" s="36"/>
      <c r="E1284" s="43"/>
      <c r="F1284" s="258" t="s">
        <v>102</v>
      </c>
      <c r="G1284" s="259"/>
      <c r="H1284" s="169">
        <f>VLOOKUP($K1268,임금대장!$A$6:$AH$86,30,0)</f>
        <v>0</v>
      </c>
      <c r="I1284" s="36"/>
      <c r="J1284" s="37"/>
    </row>
    <row r="1285" spans="1:11" ht="20.45" customHeight="1" x14ac:dyDescent="0.6">
      <c r="A1285" s="252"/>
      <c r="B1285" s="36" t="s">
        <v>31</v>
      </c>
      <c r="C1285" s="35">
        <f>VLOOKUP($K1268,임금대장!$A$6:$AH$86,29,0)</f>
        <v>0</v>
      </c>
      <c r="D1285" s="36"/>
      <c r="E1285" s="43"/>
      <c r="F1285" s="45"/>
      <c r="G1285" s="46"/>
      <c r="H1285" s="169"/>
      <c r="I1285" s="67" t="s">
        <v>103</v>
      </c>
      <c r="J1285" s="47">
        <f>SUM(C1281:H1286)</f>
        <v>44820</v>
      </c>
    </row>
    <row r="1286" spans="1:11" ht="20.45" customHeight="1" x14ac:dyDescent="0.6">
      <c r="A1286" s="253"/>
      <c r="B1286" s="40"/>
      <c r="C1286" s="101"/>
      <c r="D1286" s="40"/>
      <c r="E1286" s="48"/>
      <c r="F1286" s="260"/>
      <c r="G1286" s="261"/>
      <c r="H1286" s="170"/>
      <c r="I1286" s="68" t="s">
        <v>104</v>
      </c>
      <c r="J1286" s="49">
        <f>J1280-J1285</f>
        <v>1313680</v>
      </c>
    </row>
    <row r="1287" spans="1:11" ht="20.45" customHeight="1" x14ac:dyDescent="0.6">
      <c r="A1287" s="50" t="s">
        <v>105</v>
      </c>
      <c r="J1287" s="51" t="s">
        <v>0</v>
      </c>
    </row>
    <row r="1289" spans="1:11" ht="20.45" customHeight="1" x14ac:dyDescent="0.6">
      <c r="A1289" s="264" t="s">
        <v>399</v>
      </c>
      <c r="B1289" s="264"/>
      <c r="C1289" s="264"/>
      <c r="D1289" s="264"/>
      <c r="E1289" s="264"/>
      <c r="F1289" s="264"/>
      <c r="G1289" s="264"/>
      <c r="H1289" s="264"/>
      <c r="I1289" s="264"/>
      <c r="J1289" s="264"/>
    </row>
    <row r="1290" spans="1:11" ht="20.45" customHeight="1" x14ac:dyDescent="0.6">
      <c r="A1290" s="286" t="s">
        <v>83</v>
      </c>
      <c r="B1290" s="286"/>
      <c r="C1290" s="286"/>
      <c r="D1290" s="286" t="s">
        <v>84</v>
      </c>
      <c r="E1290" s="286"/>
      <c r="F1290" s="265" t="s">
        <v>85</v>
      </c>
      <c r="G1290" s="250"/>
      <c r="H1290" s="266"/>
      <c r="I1290" s="286" t="s">
        <v>86</v>
      </c>
      <c r="J1290" s="286"/>
    </row>
    <row r="1291" spans="1:11" ht="20.45" customHeight="1" x14ac:dyDescent="0.6">
      <c r="A1291" s="286" t="str">
        <f>VLOOKUP(K1291,임금대장!$A$6:$AH$86,3,0)</f>
        <v>파트</v>
      </c>
      <c r="B1291" s="286"/>
      <c r="C1291" s="286"/>
      <c r="D1291" s="287" t="str">
        <f>VLOOKUP(K1291,임금대장!$A$6:$AH$86,2,0)</f>
        <v>권은주</v>
      </c>
      <c r="E1291" s="287"/>
      <c r="F1291" s="267">
        <f>임금대장!$O$3</f>
        <v>31</v>
      </c>
      <c r="G1291" s="269"/>
      <c r="H1291" s="268"/>
      <c r="I1291" s="288">
        <f>VLOOKUP(K1291,임금대장!$A$6:$AH$86,16,0)</f>
        <v>0</v>
      </c>
      <c r="J1291" s="288"/>
      <c r="K1291" s="30">
        <v>57</v>
      </c>
    </row>
    <row r="1292" spans="1:11" ht="20.45" customHeight="1" x14ac:dyDescent="0.6">
      <c r="A1292" s="286" t="s">
        <v>107</v>
      </c>
      <c r="B1292" s="286"/>
      <c r="C1292" s="286" t="s">
        <v>5</v>
      </c>
      <c r="D1292" s="289"/>
      <c r="E1292" s="289"/>
      <c r="F1292" s="114" t="s">
        <v>108</v>
      </c>
      <c r="G1292" s="278">
        <f>VLOOKUP(K1291,임금대장!$A$6:$AH$86,15,0)</f>
        <v>138</v>
      </c>
      <c r="H1292" s="279"/>
      <c r="I1292" s="286" t="s">
        <v>89</v>
      </c>
      <c r="J1292" s="290">
        <f>VLOOKUP(K1291,임금대장!$A$6:$AH$86,17,0)</f>
        <v>0</v>
      </c>
    </row>
    <row r="1293" spans="1:11" ht="20.45" customHeight="1" x14ac:dyDescent="0.6">
      <c r="A1293" s="291">
        <f>C1295/G1292</f>
        <v>13000</v>
      </c>
      <c r="B1293" s="291"/>
      <c r="C1293" s="286"/>
      <c r="D1293" s="289"/>
      <c r="E1293" s="289"/>
      <c r="F1293" s="115" t="s">
        <v>90</v>
      </c>
      <c r="G1293" s="284">
        <f>VLOOKUP(K1291,임금대장!$A$6:$AH$86,16,0)</f>
        <v>0</v>
      </c>
      <c r="H1293" s="285"/>
      <c r="I1293" s="286"/>
      <c r="J1293" s="290"/>
    </row>
    <row r="1294" spans="1:11" ht="20.45" customHeight="1" x14ac:dyDescent="0.6">
      <c r="F1294" s="250"/>
      <c r="G1294" s="250"/>
    </row>
    <row r="1295" spans="1:11" ht="20.45" customHeight="1" x14ac:dyDescent="0.6">
      <c r="A1295" s="251" t="s">
        <v>91</v>
      </c>
      <c r="B1295" s="69" t="s">
        <v>109</v>
      </c>
      <c r="C1295" s="25">
        <f>VLOOKUP($K1291,임금대장!$A$6:$AH$86,9,0)</f>
        <v>1794000</v>
      </c>
      <c r="D1295" s="33" t="s">
        <v>110</v>
      </c>
      <c r="E1295" s="69"/>
      <c r="F1295" s="254"/>
      <c r="G1295" s="255"/>
      <c r="H1295" s="168"/>
      <c r="I1295" s="33"/>
      <c r="J1295" s="34"/>
    </row>
    <row r="1296" spans="1:11" ht="20.45" customHeight="1" x14ac:dyDescent="0.6">
      <c r="A1296" s="252"/>
      <c r="B1296" s="67"/>
      <c r="C1296" s="35"/>
      <c r="D1296" s="36"/>
      <c r="E1296" s="67"/>
      <c r="F1296" s="256"/>
      <c r="G1296" s="257"/>
      <c r="H1296" s="169"/>
      <c r="I1296" s="36"/>
      <c r="J1296" s="37"/>
    </row>
    <row r="1297" spans="1:10" ht="20.45" customHeight="1" x14ac:dyDescent="0.6">
      <c r="A1297" s="252"/>
      <c r="B1297" s="52"/>
      <c r="C1297" s="35"/>
      <c r="D1297" s="36"/>
      <c r="E1297" s="67"/>
      <c r="F1297" s="256"/>
      <c r="G1297" s="257"/>
      <c r="H1297" s="169"/>
      <c r="I1297" s="36"/>
      <c r="J1297" s="37"/>
    </row>
    <row r="1298" spans="1:10" ht="20.45" customHeight="1" x14ac:dyDescent="0.6">
      <c r="A1298" s="252"/>
      <c r="B1298" s="67"/>
      <c r="C1298" s="35"/>
      <c r="D1298" s="36"/>
      <c r="E1298" s="67"/>
      <c r="F1298" s="256"/>
      <c r="G1298" s="257"/>
      <c r="H1298" s="169"/>
      <c r="I1298" s="36"/>
      <c r="J1298" s="37"/>
    </row>
    <row r="1299" spans="1:10" ht="20.45" customHeight="1" x14ac:dyDescent="0.6">
      <c r="A1299" s="252"/>
      <c r="B1299" s="67"/>
      <c r="C1299" s="35"/>
      <c r="D1299" s="36"/>
      <c r="E1299" s="36"/>
      <c r="F1299" s="258"/>
      <c r="G1299" s="259"/>
      <c r="H1299" s="169"/>
      <c r="I1299" s="36"/>
      <c r="J1299" s="37"/>
    </row>
    <row r="1300" spans="1:10" ht="20.45" customHeight="1" x14ac:dyDescent="0.6">
      <c r="A1300" s="252"/>
      <c r="B1300" s="67"/>
      <c r="C1300" s="102"/>
      <c r="D1300" s="36"/>
      <c r="E1300" s="36"/>
      <c r="F1300" s="258"/>
      <c r="G1300" s="259"/>
      <c r="H1300" s="169"/>
      <c r="I1300" s="36"/>
      <c r="J1300" s="37"/>
    </row>
    <row r="1301" spans="1:10" ht="20.45" customHeight="1" x14ac:dyDescent="0.6">
      <c r="A1301" s="252"/>
      <c r="B1301" s="67"/>
      <c r="C1301" s="35"/>
      <c r="D1301" s="36"/>
      <c r="E1301" s="36"/>
      <c r="F1301" s="258"/>
      <c r="G1301" s="259"/>
      <c r="H1301" s="169"/>
      <c r="I1301" s="36"/>
      <c r="J1301" s="37"/>
    </row>
    <row r="1302" spans="1:10" ht="20.45" customHeight="1" x14ac:dyDescent="0.6">
      <c r="A1302" s="252"/>
      <c r="B1302" s="67"/>
      <c r="C1302" s="35"/>
      <c r="D1302" s="36"/>
      <c r="E1302" s="36"/>
      <c r="F1302" s="258"/>
      <c r="G1302" s="259"/>
      <c r="H1302" s="169"/>
      <c r="I1302" s="36"/>
      <c r="J1302" s="37"/>
    </row>
    <row r="1303" spans="1:10" ht="20.45" customHeight="1" x14ac:dyDescent="0.6">
      <c r="A1303" s="253"/>
      <c r="B1303" s="68"/>
      <c r="C1303" s="39"/>
      <c r="D1303" s="40"/>
      <c r="E1303" s="40"/>
      <c r="F1303" s="260"/>
      <c r="G1303" s="261"/>
      <c r="H1303" s="170"/>
      <c r="I1303" s="68" t="s">
        <v>95</v>
      </c>
      <c r="J1303" s="41">
        <f>SUM(C1295:H1301)</f>
        <v>1794000</v>
      </c>
    </row>
    <row r="1304" spans="1:10" ht="20.45" customHeight="1" x14ac:dyDescent="0.6">
      <c r="A1304" s="251" t="s">
        <v>96</v>
      </c>
      <c r="B1304" s="36" t="s">
        <v>97</v>
      </c>
      <c r="C1304" s="35">
        <f>VLOOKUP($K1291,임금대장!$A$6:$AH$86,25,0)</f>
        <v>53820</v>
      </c>
      <c r="D1304" s="33"/>
      <c r="E1304" s="42"/>
      <c r="F1304" s="262" t="s">
        <v>14</v>
      </c>
      <c r="G1304" s="263"/>
      <c r="H1304" s="169">
        <f>VLOOKUP($K1291,임금대장!$A$6:$AH$86,19,0)</f>
        <v>0</v>
      </c>
      <c r="I1304" s="33"/>
      <c r="J1304" s="34"/>
    </row>
    <row r="1305" spans="1:10" ht="20.45" customHeight="1" x14ac:dyDescent="0.6">
      <c r="A1305" s="252"/>
      <c r="B1305" s="36" t="s">
        <v>98</v>
      </c>
      <c r="C1305" s="35">
        <f>VLOOKUP($K1291,임금대장!$A$6:$AH$86,26,0)</f>
        <v>5380</v>
      </c>
      <c r="D1305" s="36"/>
      <c r="E1305" s="43"/>
      <c r="F1305" s="258" t="s">
        <v>12</v>
      </c>
      <c r="G1305" s="259"/>
      <c r="H1305" s="169">
        <f>VLOOKUP($K1291,임금대장!$A$6:$AH$86,17,0)</f>
        <v>0</v>
      </c>
      <c r="I1305" s="36"/>
      <c r="J1305" s="37"/>
    </row>
    <row r="1306" spans="1:10" ht="20.45" customHeight="1" x14ac:dyDescent="0.6">
      <c r="A1306" s="252"/>
      <c r="B1306" s="36" t="s">
        <v>99</v>
      </c>
      <c r="C1306" s="35">
        <f>VLOOKUP($K1291,임금대장!$A$6:$AH$86,27,0)</f>
        <v>0</v>
      </c>
      <c r="D1306" s="36"/>
      <c r="E1306" s="44"/>
      <c r="F1306" s="258" t="s">
        <v>100</v>
      </c>
      <c r="G1306" s="259"/>
      <c r="H1306" s="169">
        <f>VLOOKUP($K1291,임금대장!$A$6:$AH$86,31,0)</f>
        <v>0</v>
      </c>
      <c r="I1306" s="36"/>
      <c r="J1306" s="37"/>
    </row>
    <row r="1307" spans="1:10" ht="20.45" customHeight="1" x14ac:dyDescent="0.6">
      <c r="A1307" s="252"/>
      <c r="B1307" s="36" t="s">
        <v>101</v>
      </c>
      <c r="C1307" s="35">
        <f>VLOOKUP($K1291,임금대장!$A$6:$AH$86,28,0)</f>
        <v>0</v>
      </c>
      <c r="D1307" s="36"/>
      <c r="E1307" s="43"/>
      <c r="F1307" s="258" t="s">
        <v>102</v>
      </c>
      <c r="G1307" s="259"/>
      <c r="H1307" s="169">
        <f>VLOOKUP($K1291,임금대장!$A$6:$AH$86,30,0)</f>
        <v>0</v>
      </c>
      <c r="I1307" s="36"/>
      <c r="J1307" s="37"/>
    </row>
    <row r="1308" spans="1:10" ht="20.45" customHeight="1" x14ac:dyDescent="0.6">
      <c r="A1308" s="252"/>
      <c r="B1308" s="36" t="s">
        <v>31</v>
      </c>
      <c r="C1308" s="35">
        <f>VLOOKUP($K1291,임금대장!$A$6:$AH$86,29,0)</f>
        <v>0</v>
      </c>
      <c r="D1308" s="36"/>
      <c r="E1308" s="43"/>
      <c r="F1308" s="45"/>
      <c r="G1308" s="46"/>
      <c r="H1308" s="169"/>
      <c r="I1308" s="67" t="s">
        <v>103</v>
      </c>
      <c r="J1308" s="47">
        <f>SUM(C1304:H1309)</f>
        <v>59200</v>
      </c>
    </row>
    <row r="1309" spans="1:10" ht="20.45" customHeight="1" x14ac:dyDescent="0.6">
      <c r="A1309" s="253"/>
      <c r="B1309" s="40"/>
      <c r="C1309" s="101"/>
      <c r="D1309" s="40"/>
      <c r="E1309" s="48"/>
      <c r="F1309" s="260"/>
      <c r="G1309" s="261"/>
      <c r="H1309" s="170"/>
      <c r="I1309" s="68" t="s">
        <v>104</v>
      </c>
      <c r="J1309" s="49">
        <f>J1303-J1308</f>
        <v>1734800</v>
      </c>
    </row>
    <row r="1310" spans="1:10" ht="20.45" customHeight="1" x14ac:dyDescent="0.6">
      <c r="A1310" s="50" t="s">
        <v>105</v>
      </c>
      <c r="J1310" s="51" t="s">
        <v>0</v>
      </c>
    </row>
    <row r="1312" spans="1:10" ht="20.45" customHeight="1" x14ac:dyDescent="0.6">
      <c r="A1312" s="264" t="s">
        <v>399</v>
      </c>
      <c r="B1312" s="264"/>
      <c r="C1312" s="264"/>
      <c r="D1312" s="264"/>
      <c r="E1312" s="264"/>
      <c r="F1312" s="264"/>
      <c r="G1312" s="264"/>
      <c r="H1312" s="264"/>
      <c r="I1312" s="264"/>
      <c r="J1312" s="264"/>
    </row>
    <row r="1313" spans="1:11" ht="20.45" customHeight="1" x14ac:dyDescent="0.6">
      <c r="A1313" s="286" t="s">
        <v>83</v>
      </c>
      <c r="B1313" s="286"/>
      <c r="C1313" s="286"/>
      <c r="D1313" s="286" t="s">
        <v>84</v>
      </c>
      <c r="E1313" s="286"/>
      <c r="F1313" s="265" t="s">
        <v>85</v>
      </c>
      <c r="G1313" s="250"/>
      <c r="H1313" s="266"/>
      <c r="I1313" s="286" t="s">
        <v>86</v>
      </c>
      <c r="J1313" s="286"/>
    </row>
    <row r="1314" spans="1:11" ht="20.45" customHeight="1" x14ac:dyDescent="0.6">
      <c r="A1314" s="286" t="str">
        <f>VLOOKUP(K1314,임금대장!$A$6:$AH$86,3,0)</f>
        <v>파트</v>
      </c>
      <c r="B1314" s="286"/>
      <c r="C1314" s="286"/>
      <c r="D1314" s="287" t="str">
        <f>VLOOKUP(K1314,임금대장!$A$6:$AH$86,2,0)</f>
        <v>박경원</v>
      </c>
      <c r="E1314" s="287"/>
      <c r="F1314" s="267">
        <f>임금대장!$O$3</f>
        <v>31</v>
      </c>
      <c r="G1314" s="269"/>
      <c r="H1314" s="268"/>
      <c r="I1314" s="288">
        <f>VLOOKUP(K1314,임금대장!$A$6:$AH$86,16,0)</f>
        <v>0</v>
      </c>
      <c r="J1314" s="288"/>
      <c r="K1314" s="30">
        <v>58</v>
      </c>
    </row>
    <row r="1315" spans="1:11" ht="20.45" customHeight="1" x14ac:dyDescent="0.6">
      <c r="A1315" s="286" t="s">
        <v>107</v>
      </c>
      <c r="B1315" s="286"/>
      <c r="C1315" s="286" t="s">
        <v>5</v>
      </c>
      <c r="D1315" s="289"/>
      <c r="E1315" s="289"/>
      <c r="F1315" s="114" t="s">
        <v>108</v>
      </c>
      <c r="G1315" s="278">
        <f>VLOOKUP(K1314,임금대장!$A$6:$AH$86,15,0)</f>
        <v>117</v>
      </c>
      <c r="H1315" s="279"/>
      <c r="I1315" s="286" t="s">
        <v>89</v>
      </c>
      <c r="J1315" s="290">
        <f>VLOOKUP(K1314,임금대장!$A$6:$AH$86,17,0)</f>
        <v>0</v>
      </c>
    </row>
    <row r="1316" spans="1:11" ht="20.45" customHeight="1" x14ac:dyDescent="0.6">
      <c r="A1316" s="291">
        <f>C1318/G1315</f>
        <v>13000</v>
      </c>
      <c r="B1316" s="291"/>
      <c r="C1316" s="286"/>
      <c r="D1316" s="289"/>
      <c r="E1316" s="289"/>
      <c r="F1316" s="115" t="s">
        <v>90</v>
      </c>
      <c r="G1316" s="284">
        <f>VLOOKUP(K1314,임금대장!$A$6:$AH$86,16,0)</f>
        <v>0</v>
      </c>
      <c r="H1316" s="285"/>
      <c r="I1316" s="286"/>
      <c r="J1316" s="290"/>
    </row>
    <row r="1317" spans="1:11" ht="20.45" customHeight="1" x14ac:dyDescent="0.6">
      <c r="F1317" s="250"/>
      <c r="G1317" s="250"/>
    </row>
    <row r="1318" spans="1:11" ht="20.45" customHeight="1" x14ac:dyDescent="0.6">
      <c r="A1318" s="251" t="s">
        <v>91</v>
      </c>
      <c r="B1318" s="69" t="s">
        <v>109</v>
      </c>
      <c r="C1318" s="25">
        <f>VLOOKUP($K1314,임금대장!$A$6:$AH$86,9,0)</f>
        <v>1521000</v>
      </c>
      <c r="D1318" s="33" t="s">
        <v>110</v>
      </c>
      <c r="E1318" s="69"/>
      <c r="F1318" s="254"/>
      <c r="G1318" s="255"/>
      <c r="H1318" s="168"/>
      <c r="I1318" s="33"/>
      <c r="J1318" s="34"/>
    </row>
    <row r="1319" spans="1:11" ht="20.45" customHeight="1" x14ac:dyDescent="0.6">
      <c r="A1319" s="252"/>
      <c r="B1319" s="67"/>
      <c r="C1319" s="35"/>
      <c r="D1319" s="36"/>
      <c r="E1319" s="67"/>
      <c r="F1319" s="256"/>
      <c r="G1319" s="257"/>
      <c r="H1319" s="169"/>
      <c r="I1319" s="36"/>
      <c r="J1319" s="37"/>
    </row>
    <row r="1320" spans="1:11" ht="20.45" customHeight="1" x14ac:dyDescent="0.6">
      <c r="A1320" s="252"/>
      <c r="B1320" s="52"/>
      <c r="C1320" s="35"/>
      <c r="D1320" s="36"/>
      <c r="E1320" s="67"/>
      <c r="F1320" s="256"/>
      <c r="G1320" s="257"/>
      <c r="H1320" s="169"/>
      <c r="I1320" s="36"/>
      <c r="J1320" s="37"/>
    </row>
    <row r="1321" spans="1:11" ht="20.45" customHeight="1" x14ac:dyDescent="0.6">
      <c r="A1321" s="252"/>
      <c r="B1321" s="67"/>
      <c r="C1321" s="35"/>
      <c r="D1321" s="36"/>
      <c r="E1321" s="67"/>
      <c r="F1321" s="256"/>
      <c r="G1321" s="257"/>
      <c r="H1321" s="169"/>
      <c r="I1321" s="36"/>
      <c r="J1321" s="37"/>
    </row>
    <row r="1322" spans="1:11" ht="20.45" customHeight="1" x14ac:dyDescent="0.6">
      <c r="A1322" s="252"/>
      <c r="B1322" s="67"/>
      <c r="C1322" s="35"/>
      <c r="D1322" s="36"/>
      <c r="E1322" s="36"/>
      <c r="F1322" s="258"/>
      <c r="G1322" s="259"/>
      <c r="H1322" s="169"/>
      <c r="I1322" s="36"/>
      <c r="J1322" s="37"/>
    </row>
    <row r="1323" spans="1:11" ht="20.45" customHeight="1" x14ac:dyDescent="0.6">
      <c r="A1323" s="252"/>
      <c r="B1323" s="67"/>
      <c r="C1323" s="102"/>
      <c r="D1323" s="36"/>
      <c r="E1323" s="36"/>
      <c r="F1323" s="258"/>
      <c r="G1323" s="259"/>
      <c r="H1323" s="169"/>
      <c r="I1323" s="36"/>
      <c r="J1323" s="37"/>
    </row>
    <row r="1324" spans="1:11" ht="20.45" customHeight="1" x14ac:dyDescent="0.6">
      <c r="A1324" s="252"/>
      <c r="B1324" s="67"/>
      <c r="C1324" s="35"/>
      <c r="D1324" s="36"/>
      <c r="E1324" s="36"/>
      <c r="F1324" s="258"/>
      <c r="G1324" s="259"/>
      <c r="H1324" s="169"/>
      <c r="I1324" s="36"/>
      <c r="J1324" s="37"/>
    </row>
    <row r="1325" spans="1:11" ht="20.45" customHeight="1" x14ac:dyDescent="0.6">
      <c r="A1325" s="252"/>
      <c r="B1325" s="67"/>
      <c r="C1325" s="35"/>
      <c r="D1325" s="36"/>
      <c r="E1325" s="36"/>
      <c r="F1325" s="258"/>
      <c r="G1325" s="259"/>
      <c r="H1325" s="169"/>
      <c r="I1325" s="36"/>
      <c r="J1325" s="37"/>
    </row>
    <row r="1326" spans="1:11" ht="20.45" customHeight="1" x14ac:dyDescent="0.6">
      <c r="A1326" s="253"/>
      <c r="B1326" s="68"/>
      <c r="C1326" s="39"/>
      <c r="D1326" s="40"/>
      <c r="E1326" s="40"/>
      <c r="F1326" s="260"/>
      <c r="G1326" s="261"/>
      <c r="H1326" s="170"/>
      <c r="I1326" s="68" t="s">
        <v>95</v>
      </c>
      <c r="J1326" s="41">
        <f>SUM(C1318:H1324)</f>
        <v>1521000</v>
      </c>
    </row>
    <row r="1327" spans="1:11" ht="20.45" customHeight="1" x14ac:dyDescent="0.6">
      <c r="A1327" s="251" t="s">
        <v>96</v>
      </c>
      <c r="B1327" s="36" t="s">
        <v>97</v>
      </c>
      <c r="C1327" s="35">
        <f>VLOOKUP($K1314,임금대장!$A$6:$AH$86,25,0)</f>
        <v>45630</v>
      </c>
      <c r="D1327" s="33"/>
      <c r="E1327" s="42"/>
      <c r="F1327" s="262" t="s">
        <v>14</v>
      </c>
      <c r="G1327" s="263"/>
      <c r="H1327" s="169">
        <f>VLOOKUP($K1314,임금대장!$A$6:$AH$86,19,0)</f>
        <v>0</v>
      </c>
      <c r="I1327" s="33"/>
      <c r="J1327" s="34"/>
    </row>
    <row r="1328" spans="1:11" ht="20.45" customHeight="1" x14ac:dyDescent="0.6">
      <c r="A1328" s="252"/>
      <c r="B1328" s="36" t="s">
        <v>98</v>
      </c>
      <c r="C1328" s="35">
        <f>VLOOKUP($K1314,임금대장!$A$6:$AH$86,26,0)</f>
        <v>4560</v>
      </c>
      <c r="D1328" s="36"/>
      <c r="E1328" s="43"/>
      <c r="F1328" s="258" t="s">
        <v>12</v>
      </c>
      <c r="G1328" s="259"/>
      <c r="H1328" s="169">
        <f>VLOOKUP($K1314,임금대장!$A$6:$AH$86,17,0)</f>
        <v>0</v>
      </c>
      <c r="I1328" s="36"/>
      <c r="J1328" s="37"/>
    </row>
    <row r="1329" spans="1:11" ht="20.45" customHeight="1" x14ac:dyDescent="0.6">
      <c r="A1329" s="252"/>
      <c r="B1329" s="36" t="s">
        <v>99</v>
      </c>
      <c r="C1329" s="35">
        <f>VLOOKUP($K1314,임금대장!$A$6:$AH$86,27,0)</f>
        <v>0</v>
      </c>
      <c r="D1329" s="36"/>
      <c r="E1329" s="44"/>
      <c r="F1329" s="258" t="s">
        <v>100</v>
      </c>
      <c r="G1329" s="259"/>
      <c r="H1329" s="169">
        <f>VLOOKUP($K1314,임금대장!$A$6:$AH$86,31,0)</f>
        <v>0</v>
      </c>
      <c r="I1329" s="36"/>
      <c r="J1329" s="37"/>
    </row>
    <row r="1330" spans="1:11" ht="20.45" customHeight="1" x14ac:dyDescent="0.6">
      <c r="A1330" s="252"/>
      <c r="B1330" s="36" t="s">
        <v>101</v>
      </c>
      <c r="C1330" s="35">
        <f>VLOOKUP($K1314,임금대장!$A$6:$AH$86,28,0)</f>
        <v>0</v>
      </c>
      <c r="D1330" s="36"/>
      <c r="E1330" s="43"/>
      <c r="F1330" s="258" t="s">
        <v>102</v>
      </c>
      <c r="G1330" s="259"/>
      <c r="H1330" s="169">
        <f>VLOOKUP($K1314,임금대장!$A$6:$AH$86,30,0)</f>
        <v>0</v>
      </c>
      <c r="I1330" s="36"/>
      <c r="J1330" s="37"/>
    </row>
    <row r="1331" spans="1:11" ht="20.45" customHeight="1" x14ac:dyDescent="0.6">
      <c r="A1331" s="252"/>
      <c r="B1331" s="36" t="s">
        <v>31</v>
      </c>
      <c r="C1331" s="35">
        <f>VLOOKUP($K1314,임금대장!$A$6:$AH$86,29,0)</f>
        <v>0</v>
      </c>
      <c r="D1331" s="36"/>
      <c r="E1331" s="43"/>
      <c r="F1331" s="45"/>
      <c r="G1331" s="46"/>
      <c r="H1331" s="169"/>
      <c r="I1331" s="67" t="s">
        <v>103</v>
      </c>
      <c r="J1331" s="47">
        <f>SUM(C1327:H1332)</f>
        <v>50190</v>
      </c>
    </row>
    <row r="1332" spans="1:11" ht="20.45" customHeight="1" x14ac:dyDescent="0.6">
      <c r="A1332" s="253"/>
      <c r="B1332" s="40"/>
      <c r="C1332" s="101"/>
      <c r="D1332" s="40"/>
      <c r="E1332" s="48"/>
      <c r="F1332" s="260"/>
      <c r="G1332" s="261"/>
      <c r="H1332" s="170"/>
      <c r="I1332" s="68" t="s">
        <v>104</v>
      </c>
      <c r="J1332" s="49">
        <f>J1326-J1331</f>
        <v>1470810</v>
      </c>
    </row>
    <row r="1333" spans="1:11" ht="20.45" customHeight="1" x14ac:dyDescent="0.6">
      <c r="A1333" s="50" t="s">
        <v>105</v>
      </c>
      <c r="J1333" s="51" t="s">
        <v>0</v>
      </c>
    </row>
    <row r="1335" spans="1:11" ht="20.45" customHeight="1" x14ac:dyDescent="0.6">
      <c r="A1335" s="264" t="s">
        <v>399</v>
      </c>
      <c r="B1335" s="264"/>
      <c r="C1335" s="264"/>
      <c r="D1335" s="264"/>
      <c r="E1335" s="264"/>
      <c r="F1335" s="264"/>
      <c r="G1335" s="264"/>
      <c r="H1335" s="264"/>
      <c r="I1335" s="264"/>
      <c r="J1335" s="264"/>
    </row>
    <row r="1336" spans="1:11" ht="20.45" customHeight="1" x14ac:dyDescent="0.6">
      <c r="A1336" s="286" t="s">
        <v>83</v>
      </c>
      <c r="B1336" s="286"/>
      <c r="C1336" s="286"/>
      <c r="D1336" s="286" t="s">
        <v>84</v>
      </c>
      <c r="E1336" s="286"/>
      <c r="F1336" s="265" t="s">
        <v>85</v>
      </c>
      <c r="G1336" s="250"/>
      <c r="H1336" s="266"/>
      <c r="I1336" s="286" t="s">
        <v>86</v>
      </c>
      <c r="J1336" s="286"/>
    </row>
    <row r="1337" spans="1:11" ht="20.45" customHeight="1" x14ac:dyDescent="0.6">
      <c r="A1337" s="286" t="str">
        <f>VLOOKUP(K1337,임금대장!$A$6:$AH$86,3,0)</f>
        <v>파트</v>
      </c>
      <c r="B1337" s="286"/>
      <c r="C1337" s="286"/>
      <c r="D1337" s="287" t="str">
        <f>VLOOKUP(K1337,임금대장!$A$6:$AH$86,2,0)</f>
        <v>이혜원</v>
      </c>
      <c r="E1337" s="287"/>
      <c r="F1337" s="267">
        <f>임금대장!$O$3</f>
        <v>31</v>
      </c>
      <c r="G1337" s="269"/>
      <c r="H1337" s="268"/>
      <c r="I1337" s="288">
        <f>VLOOKUP(K1337,임금대장!$A$6:$AH$86,16,0)</f>
        <v>0</v>
      </c>
      <c r="J1337" s="288"/>
      <c r="K1337" s="30">
        <v>59</v>
      </c>
    </row>
    <row r="1338" spans="1:11" ht="20.45" customHeight="1" x14ac:dyDescent="0.6">
      <c r="A1338" s="286" t="s">
        <v>107</v>
      </c>
      <c r="B1338" s="286"/>
      <c r="C1338" s="286" t="s">
        <v>5</v>
      </c>
      <c r="D1338" s="289"/>
      <c r="E1338" s="289"/>
      <c r="F1338" s="114" t="s">
        <v>108</v>
      </c>
      <c r="G1338" s="278">
        <f>VLOOKUP(K1337,임금대장!$A$6:$AH$86,15,0)</f>
        <v>99</v>
      </c>
      <c r="H1338" s="279"/>
      <c r="I1338" s="286" t="s">
        <v>89</v>
      </c>
      <c r="J1338" s="290">
        <f>VLOOKUP(K1337,임금대장!$A$6:$AH$86,17,0)</f>
        <v>0</v>
      </c>
    </row>
    <row r="1339" spans="1:11" ht="20.45" customHeight="1" x14ac:dyDescent="0.6">
      <c r="A1339" s="291">
        <f>C1341/G1338</f>
        <v>13000</v>
      </c>
      <c r="B1339" s="291"/>
      <c r="C1339" s="286"/>
      <c r="D1339" s="289"/>
      <c r="E1339" s="289"/>
      <c r="F1339" s="115" t="s">
        <v>90</v>
      </c>
      <c r="G1339" s="284">
        <f>VLOOKUP(K1337,임금대장!$A$6:$AH$86,16,0)</f>
        <v>0</v>
      </c>
      <c r="H1339" s="285"/>
      <c r="I1339" s="286"/>
      <c r="J1339" s="290"/>
    </row>
    <row r="1340" spans="1:11" ht="20.45" customHeight="1" x14ac:dyDescent="0.6">
      <c r="F1340" s="250"/>
      <c r="G1340" s="250"/>
    </row>
    <row r="1341" spans="1:11" ht="20.45" customHeight="1" x14ac:dyDescent="0.6">
      <c r="A1341" s="251" t="s">
        <v>91</v>
      </c>
      <c r="B1341" s="69" t="s">
        <v>109</v>
      </c>
      <c r="C1341" s="25">
        <f>VLOOKUP($K1337,임금대장!$A$6:$AH$86,9,0)</f>
        <v>1287000</v>
      </c>
      <c r="D1341" s="33" t="s">
        <v>110</v>
      </c>
      <c r="E1341" s="69"/>
      <c r="F1341" s="254"/>
      <c r="G1341" s="255"/>
      <c r="H1341" s="168"/>
      <c r="I1341" s="33"/>
      <c r="J1341" s="34"/>
    </row>
    <row r="1342" spans="1:11" ht="20.45" customHeight="1" x14ac:dyDescent="0.6">
      <c r="A1342" s="252"/>
      <c r="B1342" s="67"/>
      <c r="C1342" s="35"/>
      <c r="D1342" s="36"/>
      <c r="E1342" s="67"/>
      <c r="F1342" s="256"/>
      <c r="G1342" s="257"/>
      <c r="H1342" s="169"/>
      <c r="I1342" s="36"/>
      <c r="J1342" s="37"/>
    </row>
    <row r="1343" spans="1:11" ht="20.45" customHeight="1" x14ac:dyDescent="0.6">
      <c r="A1343" s="252"/>
      <c r="B1343" s="52"/>
      <c r="C1343" s="35"/>
      <c r="D1343" s="36"/>
      <c r="E1343" s="67"/>
      <c r="F1343" s="256"/>
      <c r="G1343" s="257"/>
      <c r="H1343" s="169"/>
      <c r="I1343" s="36"/>
      <c r="J1343" s="37"/>
    </row>
    <row r="1344" spans="1:11" ht="20.45" customHeight="1" x14ac:dyDescent="0.6">
      <c r="A1344" s="252"/>
      <c r="B1344" s="67"/>
      <c r="C1344" s="35"/>
      <c r="D1344" s="36"/>
      <c r="E1344" s="67"/>
      <c r="F1344" s="256"/>
      <c r="G1344" s="257"/>
      <c r="H1344" s="169"/>
      <c r="I1344" s="36"/>
      <c r="J1344" s="37"/>
    </row>
    <row r="1345" spans="1:11" ht="20.45" customHeight="1" x14ac:dyDescent="0.6">
      <c r="A1345" s="252"/>
      <c r="B1345" s="67"/>
      <c r="C1345" s="35"/>
      <c r="D1345" s="36"/>
      <c r="E1345" s="36"/>
      <c r="F1345" s="258"/>
      <c r="G1345" s="259"/>
      <c r="H1345" s="169"/>
      <c r="I1345" s="36"/>
      <c r="J1345" s="37"/>
    </row>
    <row r="1346" spans="1:11" ht="20.45" customHeight="1" x14ac:dyDescent="0.6">
      <c r="A1346" s="252"/>
      <c r="B1346" s="67"/>
      <c r="C1346" s="102"/>
      <c r="D1346" s="36"/>
      <c r="E1346" s="36"/>
      <c r="F1346" s="258"/>
      <c r="G1346" s="259"/>
      <c r="H1346" s="169"/>
      <c r="I1346" s="36"/>
      <c r="J1346" s="37"/>
    </row>
    <row r="1347" spans="1:11" ht="20.45" customHeight="1" x14ac:dyDescent="0.6">
      <c r="A1347" s="252"/>
      <c r="B1347" s="67"/>
      <c r="C1347" s="35"/>
      <c r="D1347" s="36"/>
      <c r="E1347" s="36"/>
      <c r="F1347" s="258"/>
      <c r="G1347" s="259"/>
      <c r="H1347" s="169"/>
      <c r="I1347" s="36"/>
      <c r="J1347" s="37"/>
    </row>
    <row r="1348" spans="1:11" ht="20.45" customHeight="1" x14ac:dyDescent="0.6">
      <c r="A1348" s="252"/>
      <c r="B1348" s="67"/>
      <c r="C1348" s="35"/>
      <c r="D1348" s="36"/>
      <c r="E1348" s="36"/>
      <c r="F1348" s="258"/>
      <c r="G1348" s="259"/>
      <c r="H1348" s="169"/>
      <c r="I1348" s="36"/>
      <c r="J1348" s="37"/>
    </row>
    <row r="1349" spans="1:11" ht="20.45" customHeight="1" x14ac:dyDescent="0.6">
      <c r="A1349" s="253"/>
      <c r="B1349" s="68"/>
      <c r="C1349" s="39"/>
      <c r="D1349" s="40"/>
      <c r="E1349" s="40"/>
      <c r="F1349" s="260"/>
      <c r="G1349" s="261"/>
      <c r="H1349" s="170"/>
      <c r="I1349" s="68" t="s">
        <v>95</v>
      </c>
      <c r="J1349" s="41">
        <f>SUM(C1341:H1347)</f>
        <v>1287000</v>
      </c>
    </row>
    <row r="1350" spans="1:11" ht="20.45" customHeight="1" x14ac:dyDescent="0.6">
      <c r="A1350" s="251" t="s">
        <v>96</v>
      </c>
      <c r="B1350" s="36" t="s">
        <v>97</v>
      </c>
      <c r="C1350" s="35">
        <f>VLOOKUP($K1337,임금대장!$A$6:$AH$86,25,0)</f>
        <v>38610</v>
      </c>
      <c r="D1350" s="33"/>
      <c r="E1350" s="42"/>
      <c r="F1350" s="262" t="s">
        <v>14</v>
      </c>
      <c r="G1350" s="263"/>
      <c r="H1350" s="169">
        <f>VLOOKUP($K1337,임금대장!$A$6:$AH$86,19,0)</f>
        <v>0</v>
      </c>
      <c r="I1350" s="33"/>
      <c r="J1350" s="34"/>
    </row>
    <row r="1351" spans="1:11" ht="20.45" customHeight="1" x14ac:dyDescent="0.6">
      <c r="A1351" s="252"/>
      <c r="B1351" s="36" t="s">
        <v>98</v>
      </c>
      <c r="C1351" s="35">
        <f>VLOOKUP($K1337,임금대장!$A$6:$AH$86,26,0)</f>
        <v>3860</v>
      </c>
      <c r="D1351" s="36"/>
      <c r="E1351" s="43"/>
      <c r="F1351" s="258" t="s">
        <v>12</v>
      </c>
      <c r="G1351" s="259"/>
      <c r="H1351" s="169">
        <f>VLOOKUP($K1337,임금대장!$A$6:$AH$86,17,0)</f>
        <v>0</v>
      </c>
      <c r="I1351" s="36"/>
      <c r="J1351" s="37"/>
    </row>
    <row r="1352" spans="1:11" ht="20.45" customHeight="1" x14ac:dyDescent="0.6">
      <c r="A1352" s="252"/>
      <c r="B1352" s="36" t="s">
        <v>99</v>
      </c>
      <c r="C1352" s="35">
        <f>VLOOKUP($K1337,임금대장!$A$6:$AH$86,27,0)</f>
        <v>0</v>
      </c>
      <c r="D1352" s="36"/>
      <c r="E1352" s="44"/>
      <c r="F1352" s="258" t="s">
        <v>100</v>
      </c>
      <c r="G1352" s="259"/>
      <c r="H1352" s="169">
        <f>VLOOKUP($K1337,임금대장!$A$6:$AH$86,31,0)</f>
        <v>0</v>
      </c>
      <c r="I1352" s="36"/>
      <c r="J1352" s="37"/>
    </row>
    <row r="1353" spans="1:11" ht="20.45" customHeight="1" x14ac:dyDescent="0.6">
      <c r="A1353" s="252"/>
      <c r="B1353" s="36" t="s">
        <v>101</v>
      </c>
      <c r="C1353" s="35">
        <f>VLOOKUP($K1337,임금대장!$A$6:$AH$86,28,0)</f>
        <v>0</v>
      </c>
      <c r="D1353" s="36"/>
      <c r="E1353" s="43"/>
      <c r="F1353" s="258" t="s">
        <v>102</v>
      </c>
      <c r="G1353" s="259"/>
      <c r="H1353" s="169">
        <f>VLOOKUP($K1337,임금대장!$A$6:$AH$86,30,0)</f>
        <v>0</v>
      </c>
      <c r="I1353" s="36"/>
      <c r="J1353" s="37"/>
    </row>
    <row r="1354" spans="1:11" ht="20.45" customHeight="1" x14ac:dyDescent="0.6">
      <c r="A1354" s="252"/>
      <c r="B1354" s="36" t="s">
        <v>31</v>
      </c>
      <c r="C1354" s="35">
        <f>VLOOKUP($K1337,임금대장!$A$6:$AH$86,29,0)</f>
        <v>0</v>
      </c>
      <c r="D1354" s="36"/>
      <c r="E1354" s="43"/>
      <c r="F1354" s="45"/>
      <c r="G1354" s="46"/>
      <c r="H1354" s="169"/>
      <c r="I1354" s="67" t="s">
        <v>103</v>
      </c>
      <c r="J1354" s="47">
        <f>SUM(C1350:H1355)</f>
        <v>42470</v>
      </c>
    </row>
    <row r="1355" spans="1:11" ht="20.45" customHeight="1" x14ac:dyDescent="0.6">
      <c r="A1355" s="253"/>
      <c r="B1355" s="40"/>
      <c r="C1355" s="101"/>
      <c r="D1355" s="40"/>
      <c r="E1355" s="48"/>
      <c r="F1355" s="260"/>
      <c r="G1355" s="261"/>
      <c r="H1355" s="170"/>
      <c r="I1355" s="68" t="s">
        <v>104</v>
      </c>
      <c r="J1355" s="49">
        <f>J1349-J1354</f>
        <v>1244530</v>
      </c>
    </row>
    <row r="1356" spans="1:11" ht="20.45" customHeight="1" x14ac:dyDescent="0.6">
      <c r="A1356" s="50" t="s">
        <v>105</v>
      </c>
      <c r="J1356" s="51" t="s">
        <v>0</v>
      </c>
    </row>
    <row r="1358" spans="1:11" ht="20.45" customHeight="1" x14ac:dyDescent="0.6">
      <c r="A1358" s="264" t="s">
        <v>399</v>
      </c>
      <c r="B1358" s="264"/>
      <c r="C1358" s="264"/>
      <c r="D1358" s="264"/>
      <c r="E1358" s="264"/>
      <c r="F1358" s="264"/>
      <c r="G1358" s="264"/>
      <c r="H1358" s="264"/>
      <c r="I1358" s="264"/>
      <c r="J1358" s="264"/>
    </row>
    <row r="1359" spans="1:11" ht="20.45" customHeight="1" x14ac:dyDescent="0.6">
      <c r="A1359" s="286" t="s">
        <v>83</v>
      </c>
      <c r="B1359" s="286"/>
      <c r="C1359" s="286"/>
      <c r="D1359" s="286" t="s">
        <v>84</v>
      </c>
      <c r="E1359" s="286"/>
      <c r="F1359" s="265" t="s">
        <v>85</v>
      </c>
      <c r="G1359" s="250"/>
      <c r="H1359" s="266"/>
      <c r="I1359" s="286" t="s">
        <v>86</v>
      </c>
      <c r="J1359" s="286"/>
    </row>
    <row r="1360" spans="1:11" ht="20.45" customHeight="1" x14ac:dyDescent="0.6">
      <c r="A1360" s="286" t="str">
        <f>VLOOKUP(K1360,임금대장!$A$6:$AH$86,3,0)</f>
        <v>파트</v>
      </c>
      <c r="B1360" s="286"/>
      <c r="C1360" s="286"/>
      <c r="D1360" s="287" t="str">
        <f>VLOOKUP(K1360,임금대장!$A$6:$AH$86,2,0)</f>
        <v>이다온</v>
      </c>
      <c r="E1360" s="287"/>
      <c r="F1360" s="267">
        <f>임금대장!$O$3</f>
        <v>31</v>
      </c>
      <c r="G1360" s="269"/>
      <c r="H1360" s="268"/>
      <c r="I1360" s="288">
        <f>VLOOKUP(K1360,임금대장!$A$6:$AH$86,16,0)</f>
        <v>0</v>
      </c>
      <c r="J1360" s="288"/>
      <c r="K1360" s="30">
        <v>60</v>
      </c>
    </row>
    <row r="1361" spans="1:10" ht="20.45" customHeight="1" x14ac:dyDescent="0.6">
      <c r="A1361" s="286" t="s">
        <v>107</v>
      </c>
      <c r="B1361" s="286"/>
      <c r="C1361" s="286" t="s">
        <v>5</v>
      </c>
      <c r="D1361" s="289"/>
      <c r="E1361" s="289"/>
      <c r="F1361" s="114" t="s">
        <v>108</v>
      </c>
      <c r="G1361" s="278">
        <f>VLOOKUP(K1360,임금대장!$A$6:$AH$86,15,0)</f>
        <v>126</v>
      </c>
      <c r="H1361" s="279"/>
      <c r="I1361" s="286" t="s">
        <v>89</v>
      </c>
      <c r="J1361" s="290">
        <f>VLOOKUP(K1360,임금대장!$A$6:$AH$86,17,0)</f>
        <v>0</v>
      </c>
    </row>
    <row r="1362" spans="1:10" ht="20.45" customHeight="1" x14ac:dyDescent="0.6">
      <c r="A1362" s="291">
        <f>C1364/G1361</f>
        <v>13000</v>
      </c>
      <c r="B1362" s="291"/>
      <c r="C1362" s="286"/>
      <c r="D1362" s="289"/>
      <c r="E1362" s="289"/>
      <c r="F1362" s="115" t="s">
        <v>90</v>
      </c>
      <c r="G1362" s="284">
        <f>VLOOKUP(K1360,임금대장!$A$6:$AH$86,16,0)</f>
        <v>0</v>
      </c>
      <c r="H1362" s="285"/>
      <c r="I1362" s="286"/>
      <c r="J1362" s="290"/>
    </row>
    <row r="1363" spans="1:10" ht="20.45" customHeight="1" x14ac:dyDescent="0.6">
      <c r="F1363" s="250"/>
      <c r="G1363" s="250"/>
    </row>
    <row r="1364" spans="1:10" ht="20.45" customHeight="1" x14ac:dyDescent="0.6">
      <c r="A1364" s="251" t="s">
        <v>91</v>
      </c>
      <c r="B1364" s="69" t="s">
        <v>109</v>
      </c>
      <c r="C1364" s="25">
        <f>VLOOKUP($K1360,임금대장!$A$6:$AH$86,9,0)</f>
        <v>1638000</v>
      </c>
      <c r="D1364" s="33" t="s">
        <v>110</v>
      </c>
      <c r="E1364" s="69"/>
      <c r="F1364" s="254"/>
      <c r="G1364" s="255"/>
      <c r="H1364" s="168"/>
      <c r="I1364" s="33"/>
      <c r="J1364" s="34"/>
    </row>
    <row r="1365" spans="1:10" ht="20.45" customHeight="1" x14ac:dyDescent="0.6">
      <c r="A1365" s="252"/>
      <c r="B1365" s="67"/>
      <c r="C1365" s="35"/>
      <c r="D1365" s="36"/>
      <c r="E1365" s="67"/>
      <c r="F1365" s="256"/>
      <c r="G1365" s="257"/>
      <c r="H1365" s="169"/>
      <c r="I1365" s="36"/>
      <c r="J1365" s="37"/>
    </row>
    <row r="1366" spans="1:10" ht="20.45" customHeight="1" x14ac:dyDescent="0.6">
      <c r="A1366" s="252"/>
      <c r="B1366" s="52"/>
      <c r="C1366" s="35"/>
      <c r="D1366" s="36"/>
      <c r="E1366" s="67"/>
      <c r="F1366" s="256"/>
      <c r="G1366" s="257"/>
      <c r="H1366" s="169"/>
      <c r="I1366" s="36"/>
      <c r="J1366" s="37"/>
    </row>
    <row r="1367" spans="1:10" ht="20.45" customHeight="1" x14ac:dyDescent="0.6">
      <c r="A1367" s="252"/>
      <c r="B1367" s="67"/>
      <c r="C1367" s="35"/>
      <c r="D1367" s="36"/>
      <c r="E1367" s="67"/>
      <c r="F1367" s="256"/>
      <c r="G1367" s="257"/>
      <c r="H1367" s="169"/>
      <c r="I1367" s="36"/>
      <c r="J1367" s="37"/>
    </row>
    <row r="1368" spans="1:10" ht="20.45" customHeight="1" x14ac:dyDescent="0.6">
      <c r="A1368" s="252"/>
      <c r="B1368" s="67"/>
      <c r="C1368" s="35"/>
      <c r="D1368" s="36"/>
      <c r="E1368" s="36"/>
      <c r="F1368" s="258"/>
      <c r="G1368" s="259"/>
      <c r="H1368" s="169"/>
      <c r="I1368" s="36"/>
      <c r="J1368" s="37"/>
    </row>
    <row r="1369" spans="1:10" ht="20.45" customHeight="1" x14ac:dyDescent="0.6">
      <c r="A1369" s="252"/>
      <c r="B1369" s="67"/>
      <c r="C1369" s="102"/>
      <c r="D1369" s="36"/>
      <c r="E1369" s="36"/>
      <c r="F1369" s="258"/>
      <c r="G1369" s="259"/>
      <c r="H1369" s="169"/>
      <c r="I1369" s="36"/>
      <c r="J1369" s="37"/>
    </row>
    <row r="1370" spans="1:10" ht="20.45" customHeight="1" x14ac:dyDescent="0.6">
      <c r="A1370" s="252"/>
      <c r="B1370" s="67"/>
      <c r="C1370" s="35"/>
      <c r="D1370" s="36"/>
      <c r="E1370" s="36"/>
      <c r="F1370" s="258"/>
      <c r="G1370" s="259"/>
      <c r="H1370" s="169"/>
      <c r="I1370" s="36"/>
      <c r="J1370" s="37"/>
    </row>
    <row r="1371" spans="1:10" ht="20.45" customHeight="1" x14ac:dyDescent="0.6">
      <c r="A1371" s="252"/>
      <c r="B1371" s="67"/>
      <c r="C1371" s="35"/>
      <c r="D1371" s="36"/>
      <c r="E1371" s="36"/>
      <c r="F1371" s="258"/>
      <c r="G1371" s="259"/>
      <c r="H1371" s="169"/>
      <c r="I1371" s="36"/>
      <c r="J1371" s="37"/>
    </row>
    <row r="1372" spans="1:10" ht="20.45" customHeight="1" x14ac:dyDescent="0.6">
      <c r="A1372" s="253"/>
      <c r="B1372" s="68"/>
      <c r="C1372" s="39"/>
      <c r="D1372" s="40"/>
      <c r="E1372" s="40"/>
      <c r="F1372" s="260"/>
      <c r="G1372" s="261"/>
      <c r="H1372" s="170"/>
      <c r="I1372" s="68" t="s">
        <v>95</v>
      </c>
      <c r="J1372" s="41">
        <f>SUM(C1364:H1370)</f>
        <v>1638000</v>
      </c>
    </row>
    <row r="1373" spans="1:10" ht="20.45" customHeight="1" x14ac:dyDescent="0.6">
      <c r="A1373" s="251" t="s">
        <v>96</v>
      </c>
      <c r="B1373" s="36" t="s">
        <v>97</v>
      </c>
      <c r="C1373" s="35">
        <f>VLOOKUP($K1360,임금대장!$A$6:$AH$86,25,0)</f>
        <v>49140</v>
      </c>
      <c r="D1373" s="33"/>
      <c r="E1373" s="42"/>
      <c r="F1373" s="262" t="s">
        <v>14</v>
      </c>
      <c r="G1373" s="263"/>
      <c r="H1373" s="169">
        <f>VLOOKUP($K1360,임금대장!$A$6:$AH$86,19,0)</f>
        <v>0</v>
      </c>
      <c r="I1373" s="33"/>
      <c r="J1373" s="34"/>
    </row>
    <row r="1374" spans="1:10" ht="20.45" customHeight="1" x14ac:dyDescent="0.6">
      <c r="A1374" s="252"/>
      <c r="B1374" s="36" t="s">
        <v>98</v>
      </c>
      <c r="C1374" s="35">
        <f>VLOOKUP($K1360,임금대장!$A$6:$AH$86,26,0)</f>
        <v>4910</v>
      </c>
      <c r="D1374" s="36"/>
      <c r="E1374" s="43"/>
      <c r="F1374" s="258" t="s">
        <v>12</v>
      </c>
      <c r="G1374" s="259"/>
      <c r="H1374" s="169">
        <f>VLOOKUP($K1360,임금대장!$A$6:$AH$86,17,0)</f>
        <v>0</v>
      </c>
      <c r="I1374" s="36"/>
      <c r="J1374" s="37"/>
    </row>
    <row r="1375" spans="1:10" ht="20.45" customHeight="1" x14ac:dyDescent="0.6">
      <c r="A1375" s="252"/>
      <c r="B1375" s="36" t="s">
        <v>99</v>
      </c>
      <c r="C1375" s="35">
        <f>VLOOKUP($K1360,임금대장!$A$6:$AH$86,27,0)</f>
        <v>0</v>
      </c>
      <c r="D1375" s="36"/>
      <c r="E1375" s="44"/>
      <c r="F1375" s="258" t="s">
        <v>100</v>
      </c>
      <c r="G1375" s="259"/>
      <c r="H1375" s="169">
        <f>VLOOKUP($K1360,임금대장!$A$6:$AH$86,31,0)</f>
        <v>0</v>
      </c>
      <c r="I1375" s="36"/>
      <c r="J1375" s="37"/>
    </row>
    <row r="1376" spans="1:10" ht="20.45" customHeight="1" x14ac:dyDescent="0.6">
      <c r="A1376" s="252"/>
      <c r="B1376" s="36" t="s">
        <v>101</v>
      </c>
      <c r="C1376" s="35">
        <f>VLOOKUP($K1360,임금대장!$A$6:$AH$86,28,0)</f>
        <v>0</v>
      </c>
      <c r="D1376" s="36"/>
      <c r="E1376" s="43"/>
      <c r="F1376" s="258" t="s">
        <v>102</v>
      </c>
      <c r="G1376" s="259"/>
      <c r="H1376" s="169">
        <f>VLOOKUP($K1360,임금대장!$A$6:$AH$86,30,0)</f>
        <v>0</v>
      </c>
      <c r="I1376" s="36"/>
      <c r="J1376" s="37"/>
    </row>
    <row r="1377" spans="1:11" ht="20.45" customHeight="1" x14ac:dyDescent="0.6">
      <c r="A1377" s="252"/>
      <c r="B1377" s="36" t="s">
        <v>31</v>
      </c>
      <c r="C1377" s="35">
        <f>VLOOKUP($K1360,임금대장!$A$6:$AH$86,29,0)</f>
        <v>0</v>
      </c>
      <c r="D1377" s="36"/>
      <c r="E1377" s="43"/>
      <c r="F1377" s="45"/>
      <c r="G1377" s="46"/>
      <c r="H1377" s="169"/>
      <c r="I1377" s="67" t="s">
        <v>103</v>
      </c>
      <c r="J1377" s="47">
        <f>SUM(C1373:H1378)</f>
        <v>54050</v>
      </c>
    </row>
    <row r="1378" spans="1:11" ht="20.45" customHeight="1" x14ac:dyDescent="0.6">
      <c r="A1378" s="253"/>
      <c r="B1378" s="40"/>
      <c r="C1378" s="101"/>
      <c r="D1378" s="40"/>
      <c r="E1378" s="48"/>
      <c r="F1378" s="260"/>
      <c r="G1378" s="261"/>
      <c r="H1378" s="170"/>
      <c r="I1378" s="68" t="s">
        <v>104</v>
      </c>
      <c r="J1378" s="49">
        <f>J1372-J1377</f>
        <v>1583950</v>
      </c>
    </row>
    <row r="1379" spans="1:11" ht="20.45" customHeight="1" x14ac:dyDescent="0.6">
      <c r="A1379" s="50" t="s">
        <v>105</v>
      </c>
      <c r="J1379" s="51" t="s">
        <v>0</v>
      </c>
    </row>
    <row r="1381" spans="1:11" ht="20.45" customHeight="1" x14ac:dyDescent="0.6">
      <c r="A1381" s="264" t="s">
        <v>399</v>
      </c>
      <c r="B1381" s="264"/>
      <c r="C1381" s="264"/>
      <c r="D1381" s="264"/>
      <c r="E1381" s="264"/>
      <c r="F1381" s="264"/>
      <c r="G1381" s="264"/>
      <c r="H1381" s="264"/>
      <c r="I1381" s="264"/>
      <c r="J1381" s="264"/>
    </row>
    <row r="1382" spans="1:11" ht="20.45" customHeight="1" x14ac:dyDescent="0.6">
      <c r="A1382" s="286" t="s">
        <v>83</v>
      </c>
      <c r="B1382" s="286"/>
      <c r="C1382" s="286"/>
      <c r="D1382" s="286" t="s">
        <v>84</v>
      </c>
      <c r="E1382" s="286"/>
      <c r="F1382" s="265" t="s">
        <v>85</v>
      </c>
      <c r="G1382" s="250"/>
      <c r="H1382" s="266"/>
      <c r="I1382" s="286" t="s">
        <v>86</v>
      </c>
      <c r="J1382" s="286"/>
    </row>
    <row r="1383" spans="1:11" ht="20.45" customHeight="1" x14ac:dyDescent="0.6">
      <c r="A1383" s="286" t="str">
        <f>VLOOKUP(K1383,임금대장!$A$6:$AH$86,3,0)</f>
        <v>파트</v>
      </c>
      <c r="B1383" s="286"/>
      <c r="C1383" s="286"/>
      <c r="D1383" s="287" t="str">
        <f>VLOOKUP(K1383,임금대장!$A$6:$AH$86,2,0)</f>
        <v>강준은</v>
      </c>
      <c r="E1383" s="287"/>
      <c r="F1383" s="267">
        <f>임금대장!$O$3</f>
        <v>31</v>
      </c>
      <c r="G1383" s="269"/>
      <c r="H1383" s="268"/>
      <c r="I1383" s="288">
        <f>VLOOKUP(K1383,임금대장!$A$6:$AH$86,16,0)</f>
        <v>0</v>
      </c>
      <c r="J1383" s="288"/>
      <c r="K1383" s="30">
        <v>61</v>
      </c>
    </row>
    <row r="1384" spans="1:11" ht="20.45" customHeight="1" x14ac:dyDescent="0.6">
      <c r="A1384" s="286" t="s">
        <v>107</v>
      </c>
      <c r="B1384" s="286"/>
      <c r="C1384" s="286" t="s">
        <v>5</v>
      </c>
      <c r="D1384" s="289"/>
      <c r="E1384" s="289"/>
      <c r="F1384" s="114" t="s">
        <v>108</v>
      </c>
      <c r="G1384" s="278">
        <f>VLOOKUP(K1383,임금대장!$A$6:$AH$86,15,0)</f>
        <v>41</v>
      </c>
      <c r="H1384" s="279"/>
      <c r="I1384" s="286" t="s">
        <v>89</v>
      </c>
      <c r="J1384" s="290">
        <f>VLOOKUP(K1383,임금대장!$A$6:$AH$86,17,0)</f>
        <v>0</v>
      </c>
    </row>
    <row r="1385" spans="1:11" ht="20.45" customHeight="1" x14ac:dyDescent="0.6">
      <c r="A1385" s="291">
        <f>C1387/G1384</f>
        <v>13000</v>
      </c>
      <c r="B1385" s="291"/>
      <c r="C1385" s="286"/>
      <c r="D1385" s="289"/>
      <c r="E1385" s="289"/>
      <c r="F1385" s="115" t="s">
        <v>90</v>
      </c>
      <c r="G1385" s="284">
        <f>VLOOKUP(K1383,임금대장!$A$6:$AH$86,16,0)</f>
        <v>0</v>
      </c>
      <c r="H1385" s="285"/>
      <c r="I1385" s="286"/>
      <c r="J1385" s="290"/>
    </row>
    <row r="1386" spans="1:11" ht="20.45" customHeight="1" x14ac:dyDescent="0.6">
      <c r="F1386" s="250"/>
      <c r="G1386" s="250"/>
    </row>
    <row r="1387" spans="1:11" ht="20.45" customHeight="1" x14ac:dyDescent="0.6">
      <c r="A1387" s="251" t="s">
        <v>91</v>
      </c>
      <c r="B1387" s="69" t="s">
        <v>109</v>
      </c>
      <c r="C1387" s="25">
        <f>VLOOKUP($K1383,임금대장!$A$6:$AH$86,9,0)</f>
        <v>533000</v>
      </c>
      <c r="D1387" s="33" t="s">
        <v>110</v>
      </c>
      <c r="E1387" s="69"/>
      <c r="F1387" s="254"/>
      <c r="G1387" s="255"/>
      <c r="H1387" s="168"/>
      <c r="I1387" s="33"/>
      <c r="J1387" s="34"/>
    </row>
    <row r="1388" spans="1:11" ht="20.45" customHeight="1" x14ac:dyDescent="0.6">
      <c r="A1388" s="252"/>
      <c r="B1388" s="67"/>
      <c r="C1388" s="35"/>
      <c r="D1388" s="36"/>
      <c r="E1388" s="67"/>
      <c r="F1388" s="256"/>
      <c r="G1388" s="257"/>
      <c r="H1388" s="169"/>
      <c r="I1388" s="36"/>
      <c r="J1388" s="37"/>
    </row>
    <row r="1389" spans="1:11" ht="20.45" customHeight="1" x14ac:dyDescent="0.6">
      <c r="A1389" s="252"/>
      <c r="B1389" s="52"/>
      <c r="C1389" s="35"/>
      <c r="D1389" s="36"/>
      <c r="E1389" s="67"/>
      <c r="F1389" s="256"/>
      <c r="G1389" s="257"/>
      <c r="H1389" s="169"/>
      <c r="I1389" s="36"/>
      <c r="J1389" s="37"/>
    </row>
    <row r="1390" spans="1:11" ht="20.45" customHeight="1" x14ac:dyDescent="0.6">
      <c r="A1390" s="252"/>
      <c r="B1390" s="67"/>
      <c r="C1390" s="35"/>
      <c r="D1390" s="36"/>
      <c r="E1390" s="67"/>
      <c r="F1390" s="256"/>
      <c r="G1390" s="257"/>
      <c r="H1390" s="169"/>
      <c r="I1390" s="36"/>
      <c r="J1390" s="37"/>
    </row>
    <row r="1391" spans="1:11" ht="20.45" customHeight="1" x14ac:dyDescent="0.6">
      <c r="A1391" s="252"/>
      <c r="B1391" s="67"/>
      <c r="C1391" s="35"/>
      <c r="D1391" s="36"/>
      <c r="E1391" s="36"/>
      <c r="F1391" s="258"/>
      <c r="G1391" s="259"/>
      <c r="H1391" s="169"/>
      <c r="I1391" s="36"/>
      <c r="J1391" s="37"/>
    </row>
    <row r="1392" spans="1:11" ht="20.45" customHeight="1" x14ac:dyDescent="0.6">
      <c r="A1392" s="252"/>
      <c r="B1392" s="67"/>
      <c r="C1392" s="102"/>
      <c r="D1392" s="36"/>
      <c r="E1392" s="36"/>
      <c r="F1392" s="258"/>
      <c r="G1392" s="259"/>
      <c r="H1392" s="169"/>
      <c r="I1392" s="36"/>
      <c r="J1392" s="37"/>
    </row>
    <row r="1393" spans="1:11" ht="20.45" customHeight="1" x14ac:dyDescent="0.6">
      <c r="A1393" s="252"/>
      <c r="B1393" s="67"/>
      <c r="C1393" s="35"/>
      <c r="D1393" s="36"/>
      <c r="E1393" s="36"/>
      <c r="F1393" s="258"/>
      <c r="G1393" s="259"/>
      <c r="H1393" s="169"/>
      <c r="I1393" s="36"/>
      <c r="J1393" s="37"/>
    </row>
    <row r="1394" spans="1:11" ht="20.45" customHeight="1" x14ac:dyDescent="0.6">
      <c r="A1394" s="252"/>
      <c r="B1394" s="67"/>
      <c r="C1394" s="35"/>
      <c r="D1394" s="36"/>
      <c r="E1394" s="36"/>
      <c r="F1394" s="258"/>
      <c r="G1394" s="259"/>
      <c r="H1394" s="169"/>
      <c r="I1394" s="36"/>
      <c r="J1394" s="37"/>
    </row>
    <row r="1395" spans="1:11" ht="20.45" customHeight="1" x14ac:dyDescent="0.6">
      <c r="A1395" s="253"/>
      <c r="B1395" s="68"/>
      <c r="C1395" s="39"/>
      <c r="D1395" s="40"/>
      <c r="E1395" s="40"/>
      <c r="F1395" s="260"/>
      <c r="G1395" s="261"/>
      <c r="H1395" s="170"/>
      <c r="I1395" s="68" t="s">
        <v>95</v>
      </c>
      <c r="J1395" s="41">
        <f>SUM(C1387:H1393)</f>
        <v>533000</v>
      </c>
    </row>
    <row r="1396" spans="1:11" ht="20.45" customHeight="1" x14ac:dyDescent="0.6">
      <c r="A1396" s="251" t="s">
        <v>96</v>
      </c>
      <c r="B1396" s="36" t="s">
        <v>97</v>
      </c>
      <c r="C1396" s="35">
        <f>VLOOKUP($K1383,임금대장!$A$6:$AH$86,25,0)</f>
        <v>15990</v>
      </c>
      <c r="D1396" s="33"/>
      <c r="E1396" s="42"/>
      <c r="F1396" s="262" t="s">
        <v>14</v>
      </c>
      <c r="G1396" s="263"/>
      <c r="H1396" s="169">
        <f>VLOOKUP($K1383,임금대장!$A$6:$AH$86,19,0)</f>
        <v>0</v>
      </c>
      <c r="I1396" s="33"/>
      <c r="J1396" s="34"/>
    </row>
    <row r="1397" spans="1:11" ht="20.45" customHeight="1" x14ac:dyDescent="0.6">
      <c r="A1397" s="252"/>
      <c r="B1397" s="36" t="s">
        <v>98</v>
      </c>
      <c r="C1397" s="35">
        <f>VLOOKUP($K1383,임금대장!$A$6:$AH$86,26,0)</f>
        <v>1590</v>
      </c>
      <c r="D1397" s="36"/>
      <c r="E1397" s="43"/>
      <c r="F1397" s="258" t="s">
        <v>12</v>
      </c>
      <c r="G1397" s="259"/>
      <c r="H1397" s="169">
        <f>VLOOKUP($K1383,임금대장!$A$6:$AH$86,17,0)</f>
        <v>0</v>
      </c>
      <c r="I1397" s="36"/>
      <c r="J1397" s="37"/>
    </row>
    <row r="1398" spans="1:11" ht="20.45" customHeight="1" x14ac:dyDescent="0.6">
      <c r="A1398" s="252"/>
      <c r="B1398" s="36" t="s">
        <v>99</v>
      </c>
      <c r="C1398" s="35">
        <f>VLOOKUP($K1383,임금대장!$A$6:$AH$86,27,0)</f>
        <v>0</v>
      </c>
      <c r="D1398" s="36"/>
      <c r="E1398" s="44"/>
      <c r="F1398" s="258" t="s">
        <v>100</v>
      </c>
      <c r="G1398" s="259"/>
      <c r="H1398" s="169">
        <f>VLOOKUP($K1383,임금대장!$A$6:$AH$86,31,0)</f>
        <v>0</v>
      </c>
      <c r="I1398" s="36"/>
      <c r="J1398" s="37"/>
    </row>
    <row r="1399" spans="1:11" ht="20.45" customHeight="1" x14ac:dyDescent="0.6">
      <c r="A1399" s="252"/>
      <c r="B1399" s="36" t="s">
        <v>101</v>
      </c>
      <c r="C1399" s="35">
        <f>VLOOKUP($K1383,임금대장!$A$6:$AH$86,28,0)</f>
        <v>0</v>
      </c>
      <c r="D1399" s="36"/>
      <c r="E1399" s="43"/>
      <c r="F1399" s="258" t="s">
        <v>102</v>
      </c>
      <c r="G1399" s="259"/>
      <c r="H1399" s="169">
        <f>VLOOKUP($K1383,임금대장!$A$6:$AH$86,30,0)</f>
        <v>0</v>
      </c>
      <c r="I1399" s="36"/>
      <c r="J1399" s="37"/>
    </row>
    <row r="1400" spans="1:11" ht="20.45" customHeight="1" x14ac:dyDescent="0.6">
      <c r="A1400" s="252"/>
      <c r="B1400" s="36" t="s">
        <v>31</v>
      </c>
      <c r="C1400" s="35">
        <f>VLOOKUP($K1383,임금대장!$A$6:$AH$86,29,0)</f>
        <v>0</v>
      </c>
      <c r="D1400" s="36"/>
      <c r="E1400" s="43"/>
      <c r="F1400" s="45"/>
      <c r="G1400" s="46"/>
      <c r="H1400" s="169"/>
      <c r="I1400" s="67" t="s">
        <v>103</v>
      </c>
      <c r="J1400" s="47">
        <f>SUM(C1396:H1401)</f>
        <v>17580</v>
      </c>
    </row>
    <row r="1401" spans="1:11" ht="20.45" customHeight="1" x14ac:dyDescent="0.6">
      <c r="A1401" s="253"/>
      <c r="B1401" s="40"/>
      <c r="C1401" s="101"/>
      <c r="D1401" s="40"/>
      <c r="E1401" s="48"/>
      <c r="F1401" s="260"/>
      <c r="G1401" s="261"/>
      <c r="H1401" s="170"/>
      <c r="I1401" s="68" t="s">
        <v>104</v>
      </c>
      <c r="J1401" s="49">
        <f>J1395-J1400</f>
        <v>515420</v>
      </c>
    </row>
    <row r="1402" spans="1:11" ht="20.45" customHeight="1" x14ac:dyDescent="0.6">
      <c r="A1402" s="50" t="s">
        <v>105</v>
      </c>
      <c r="J1402" s="51" t="s">
        <v>0</v>
      </c>
    </row>
    <row r="1404" spans="1:11" ht="20.45" customHeight="1" x14ac:dyDescent="0.6">
      <c r="A1404" s="264" t="s">
        <v>399</v>
      </c>
      <c r="B1404" s="264"/>
      <c r="C1404" s="264"/>
      <c r="D1404" s="264"/>
      <c r="E1404" s="264"/>
      <c r="F1404" s="264"/>
      <c r="G1404" s="264"/>
      <c r="H1404" s="264"/>
      <c r="I1404" s="264"/>
      <c r="J1404" s="264"/>
    </row>
    <row r="1405" spans="1:11" ht="20.45" customHeight="1" x14ac:dyDescent="0.6">
      <c r="A1405" s="265" t="s">
        <v>83</v>
      </c>
      <c r="B1405" s="250"/>
      <c r="C1405" s="266"/>
      <c r="D1405" s="265" t="s">
        <v>84</v>
      </c>
      <c r="E1405" s="266"/>
      <c r="F1405" s="265" t="s">
        <v>85</v>
      </c>
      <c r="G1405" s="250"/>
      <c r="H1405" s="266"/>
      <c r="I1405" s="265" t="s">
        <v>86</v>
      </c>
      <c r="J1405" s="266"/>
    </row>
    <row r="1406" spans="1:11" ht="20.45" customHeight="1" x14ac:dyDescent="0.6">
      <c r="A1406" s="265" t="str">
        <f>VLOOKUP(K1406,임금대장!$A$6:$AH$86,3,0)</f>
        <v>파트</v>
      </c>
      <c r="B1406" s="250"/>
      <c r="C1406" s="266"/>
      <c r="D1406" s="267" t="str">
        <f>VLOOKUP(K1406,임금대장!$A$6:$AH$86,2,0)</f>
        <v>문서연</v>
      </c>
      <c r="E1406" s="268"/>
      <c r="F1406" s="267">
        <f>임금대장!$O$3</f>
        <v>31</v>
      </c>
      <c r="G1406" s="269"/>
      <c r="H1406" s="268"/>
      <c r="I1406" s="270">
        <f>VLOOKUP(K1406,임금대장!$A$6:$AH$86,16,0)</f>
        <v>0</v>
      </c>
      <c r="J1406" s="271"/>
      <c r="K1406" s="30">
        <v>62</v>
      </c>
    </row>
    <row r="1407" spans="1:11" ht="20.45" customHeight="1" x14ac:dyDescent="0.6">
      <c r="A1407" s="265" t="s">
        <v>107</v>
      </c>
      <c r="B1407" s="266"/>
      <c r="C1407" s="272" t="s">
        <v>5</v>
      </c>
      <c r="D1407" s="274"/>
      <c r="E1407" s="275"/>
      <c r="F1407" s="114" t="s">
        <v>108</v>
      </c>
      <c r="G1407" s="278">
        <f>VLOOKUP(K1406,임금대장!$A$6:$AH$86,15,0)</f>
        <v>135</v>
      </c>
      <c r="H1407" s="279"/>
      <c r="I1407" s="272" t="s">
        <v>89</v>
      </c>
      <c r="J1407" s="280">
        <f>VLOOKUP(K1406,임금대장!$A$6:$AH$86,17,0)</f>
        <v>0</v>
      </c>
    </row>
    <row r="1408" spans="1:11" ht="20.45" customHeight="1" x14ac:dyDescent="0.6">
      <c r="A1408" s="282">
        <f>C1410/G1407</f>
        <v>13000</v>
      </c>
      <c r="B1408" s="283"/>
      <c r="C1408" s="273"/>
      <c r="D1408" s="276"/>
      <c r="E1408" s="277"/>
      <c r="F1408" s="115" t="s">
        <v>90</v>
      </c>
      <c r="G1408" s="284">
        <f>VLOOKUP(K1406,임금대장!$A$6:$AH$86,16,0)</f>
        <v>0</v>
      </c>
      <c r="H1408" s="285"/>
      <c r="I1408" s="273"/>
      <c r="J1408" s="281"/>
    </row>
    <row r="1409" spans="1:10" ht="20.45" customHeight="1" x14ac:dyDescent="0.6">
      <c r="F1409" s="250"/>
      <c r="G1409" s="250"/>
    </row>
    <row r="1410" spans="1:10" ht="20.45" customHeight="1" x14ac:dyDescent="0.6">
      <c r="A1410" s="251" t="s">
        <v>91</v>
      </c>
      <c r="B1410" s="69" t="s">
        <v>109</v>
      </c>
      <c r="C1410" s="25">
        <f>VLOOKUP($K1406,임금대장!$A$6:$AH$86,9,0)</f>
        <v>1755000</v>
      </c>
      <c r="D1410" s="33" t="s">
        <v>110</v>
      </c>
      <c r="E1410" s="69"/>
      <c r="F1410" s="254"/>
      <c r="G1410" s="255"/>
      <c r="H1410" s="168"/>
      <c r="I1410" s="33"/>
      <c r="J1410" s="34"/>
    </row>
    <row r="1411" spans="1:10" ht="20.45" customHeight="1" x14ac:dyDescent="0.6">
      <c r="A1411" s="252"/>
      <c r="B1411" s="67"/>
      <c r="C1411" s="35"/>
      <c r="D1411" s="36"/>
      <c r="E1411" s="67"/>
      <c r="F1411" s="256"/>
      <c r="G1411" s="257"/>
      <c r="H1411" s="169"/>
      <c r="I1411" s="36"/>
      <c r="J1411" s="37"/>
    </row>
    <row r="1412" spans="1:10" ht="20.45" customHeight="1" x14ac:dyDescent="0.6">
      <c r="A1412" s="252"/>
      <c r="B1412" s="52"/>
      <c r="C1412" s="35"/>
      <c r="D1412" s="36"/>
      <c r="E1412" s="67"/>
      <c r="F1412" s="256"/>
      <c r="G1412" s="257"/>
      <c r="H1412" s="169"/>
      <c r="I1412" s="36"/>
      <c r="J1412" s="37"/>
    </row>
    <row r="1413" spans="1:10" ht="20.45" customHeight="1" x14ac:dyDescent="0.6">
      <c r="A1413" s="252"/>
      <c r="B1413" s="67"/>
      <c r="C1413" s="35"/>
      <c r="D1413" s="36"/>
      <c r="E1413" s="67"/>
      <c r="F1413" s="256"/>
      <c r="G1413" s="257"/>
      <c r="H1413" s="169"/>
      <c r="I1413" s="36"/>
      <c r="J1413" s="37"/>
    </row>
    <row r="1414" spans="1:10" ht="20.45" customHeight="1" x14ac:dyDescent="0.6">
      <c r="A1414" s="252"/>
      <c r="B1414" s="67"/>
      <c r="C1414" s="35"/>
      <c r="D1414" s="36"/>
      <c r="E1414" s="36"/>
      <c r="F1414" s="258"/>
      <c r="G1414" s="259"/>
      <c r="H1414" s="169"/>
      <c r="I1414" s="36"/>
      <c r="J1414" s="37"/>
    </row>
    <row r="1415" spans="1:10" ht="20.45" customHeight="1" x14ac:dyDescent="0.6">
      <c r="A1415" s="252"/>
      <c r="B1415" s="67"/>
      <c r="C1415" s="102"/>
      <c r="D1415" s="36"/>
      <c r="E1415" s="36"/>
      <c r="F1415" s="258"/>
      <c r="G1415" s="259"/>
      <c r="H1415" s="169"/>
      <c r="I1415" s="36"/>
      <c r="J1415" s="37"/>
    </row>
    <row r="1416" spans="1:10" ht="20.45" customHeight="1" x14ac:dyDescent="0.6">
      <c r="A1416" s="252"/>
      <c r="B1416" s="67"/>
      <c r="C1416" s="35"/>
      <c r="D1416" s="36"/>
      <c r="E1416" s="36"/>
      <c r="F1416" s="258"/>
      <c r="G1416" s="259"/>
      <c r="H1416" s="169"/>
      <c r="I1416" s="36"/>
      <c r="J1416" s="37"/>
    </row>
    <row r="1417" spans="1:10" ht="20.45" customHeight="1" x14ac:dyDescent="0.6">
      <c r="A1417" s="252"/>
      <c r="B1417" s="67"/>
      <c r="C1417" s="35"/>
      <c r="D1417" s="36"/>
      <c r="E1417" s="36"/>
      <c r="F1417" s="258"/>
      <c r="G1417" s="259"/>
      <c r="H1417" s="169"/>
      <c r="I1417" s="36"/>
      <c r="J1417" s="37"/>
    </row>
    <row r="1418" spans="1:10" ht="20.45" customHeight="1" x14ac:dyDescent="0.6">
      <c r="A1418" s="253"/>
      <c r="B1418" s="68"/>
      <c r="C1418" s="39"/>
      <c r="D1418" s="40"/>
      <c r="E1418" s="40"/>
      <c r="F1418" s="260"/>
      <c r="G1418" s="261"/>
      <c r="H1418" s="170"/>
      <c r="I1418" s="68" t="s">
        <v>95</v>
      </c>
      <c r="J1418" s="41">
        <f>SUM(C1410:H1416)</f>
        <v>1755000</v>
      </c>
    </row>
    <row r="1419" spans="1:10" ht="20.45" customHeight="1" x14ac:dyDescent="0.6">
      <c r="A1419" s="251" t="s">
        <v>96</v>
      </c>
      <c r="B1419" s="36" t="s">
        <v>97</v>
      </c>
      <c r="C1419" s="35">
        <f>VLOOKUP($K1406,임금대장!$A$6:$AH$86,25,0)</f>
        <v>52650</v>
      </c>
      <c r="D1419" s="33"/>
      <c r="E1419" s="42"/>
      <c r="F1419" s="262" t="s">
        <v>14</v>
      </c>
      <c r="G1419" s="263"/>
      <c r="H1419" s="169">
        <f>VLOOKUP($K1406,임금대장!$A$6:$AH$86,19,0)</f>
        <v>0</v>
      </c>
      <c r="I1419" s="33"/>
      <c r="J1419" s="34"/>
    </row>
    <row r="1420" spans="1:10" ht="20.45" customHeight="1" x14ac:dyDescent="0.6">
      <c r="A1420" s="252"/>
      <c r="B1420" s="36" t="s">
        <v>98</v>
      </c>
      <c r="C1420" s="35">
        <f>VLOOKUP($K1406,임금대장!$A$6:$AH$86,26,0)</f>
        <v>5260</v>
      </c>
      <c r="D1420" s="36"/>
      <c r="E1420" s="43"/>
      <c r="F1420" s="258" t="s">
        <v>12</v>
      </c>
      <c r="G1420" s="259"/>
      <c r="H1420" s="169">
        <f>VLOOKUP($K1406,임금대장!$A$6:$AH$86,17,0)</f>
        <v>0</v>
      </c>
      <c r="I1420" s="36"/>
      <c r="J1420" s="37"/>
    </row>
    <row r="1421" spans="1:10" ht="20.45" customHeight="1" x14ac:dyDescent="0.6">
      <c r="A1421" s="252"/>
      <c r="B1421" s="36" t="s">
        <v>99</v>
      </c>
      <c r="C1421" s="35">
        <f>VLOOKUP($K1406,임금대장!$A$6:$AH$86,27,0)</f>
        <v>0</v>
      </c>
      <c r="D1421" s="36"/>
      <c r="E1421" s="44"/>
      <c r="F1421" s="258" t="s">
        <v>100</v>
      </c>
      <c r="G1421" s="259"/>
      <c r="H1421" s="169">
        <f>VLOOKUP($K1406,임금대장!$A$6:$AH$86,31,0)</f>
        <v>0</v>
      </c>
      <c r="I1421" s="36"/>
      <c r="J1421" s="37"/>
    </row>
    <row r="1422" spans="1:10" ht="20.45" customHeight="1" x14ac:dyDescent="0.6">
      <c r="A1422" s="252"/>
      <c r="B1422" s="36" t="s">
        <v>101</v>
      </c>
      <c r="C1422" s="35">
        <f>VLOOKUP($K1406,임금대장!$A$6:$AH$86,28,0)</f>
        <v>0</v>
      </c>
      <c r="D1422" s="36"/>
      <c r="E1422" s="43"/>
      <c r="F1422" s="258" t="s">
        <v>102</v>
      </c>
      <c r="G1422" s="259"/>
      <c r="H1422" s="169">
        <f>VLOOKUP($K1406,임금대장!$A$6:$AH$86,30,0)</f>
        <v>0</v>
      </c>
      <c r="I1422" s="36"/>
      <c r="J1422" s="37"/>
    </row>
    <row r="1423" spans="1:10" ht="20.45" customHeight="1" x14ac:dyDescent="0.6">
      <c r="A1423" s="252"/>
      <c r="B1423" s="36" t="s">
        <v>31</v>
      </c>
      <c r="C1423" s="35">
        <f>VLOOKUP($K1406,임금대장!$A$6:$AH$86,29,0)</f>
        <v>0</v>
      </c>
      <c r="D1423" s="36"/>
      <c r="E1423" s="43"/>
      <c r="F1423" s="45"/>
      <c r="G1423" s="46"/>
      <c r="H1423" s="169"/>
      <c r="I1423" s="67" t="s">
        <v>103</v>
      </c>
      <c r="J1423" s="47">
        <f>SUM(C1419:H1424)</f>
        <v>57910</v>
      </c>
    </row>
    <row r="1424" spans="1:10" ht="20.45" customHeight="1" x14ac:dyDescent="0.6">
      <c r="A1424" s="253"/>
      <c r="B1424" s="40"/>
      <c r="C1424" s="101"/>
      <c r="D1424" s="40"/>
      <c r="E1424" s="48"/>
      <c r="F1424" s="260"/>
      <c r="G1424" s="261"/>
      <c r="H1424" s="170"/>
      <c r="I1424" s="68" t="s">
        <v>104</v>
      </c>
      <c r="J1424" s="49">
        <f>J1418-J1423</f>
        <v>1697090</v>
      </c>
    </row>
    <row r="1425" spans="1:11" ht="20.45" customHeight="1" x14ac:dyDescent="0.6">
      <c r="A1425" s="50" t="s">
        <v>105</v>
      </c>
      <c r="J1425" s="51" t="s">
        <v>0</v>
      </c>
    </row>
    <row r="1427" spans="1:11" ht="20.45" customHeight="1" x14ac:dyDescent="0.6">
      <c r="A1427" s="264" t="s">
        <v>399</v>
      </c>
      <c r="B1427" s="264"/>
      <c r="C1427" s="264"/>
      <c r="D1427" s="264"/>
      <c r="E1427" s="264"/>
      <c r="F1427" s="264"/>
      <c r="G1427" s="264"/>
      <c r="H1427" s="264"/>
      <c r="I1427" s="264"/>
      <c r="J1427" s="264"/>
    </row>
    <row r="1428" spans="1:11" ht="20.45" customHeight="1" x14ac:dyDescent="0.6">
      <c r="A1428" s="265" t="s">
        <v>83</v>
      </c>
      <c r="B1428" s="250"/>
      <c r="C1428" s="266"/>
      <c r="D1428" s="265" t="s">
        <v>84</v>
      </c>
      <c r="E1428" s="266"/>
      <c r="F1428" s="265" t="s">
        <v>85</v>
      </c>
      <c r="G1428" s="250"/>
      <c r="H1428" s="266"/>
      <c r="I1428" s="265" t="s">
        <v>86</v>
      </c>
      <c r="J1428" s="266"/>
    </row>
    <row r="1429" spans="1:11" ht="20.45" customHeight="1" x14ac:dyDescent="0.6">
      <c r="A1429" s="265" t="str">
        <f>VLOOKUP(K1429,임금대장!$A$6:$AH$86,3,0)</f>
        <v>파트</v>
      </c>
      <c r="B1429" s="250"/>
      <c r="C1429" s="266"/>
      <c r="D1429" s="267" t="str">
        <f>VLOOKUP(K1429,임금대장!$A$6:$AH$86,2,0)</f>
        <v>정영수</v>
      </c>
      <c r="E1429" s="268"/>
      <c r="F1429" s="267">
        <f>임금대장!$O$3</f>
        <v>31</v>
      </c>
      <c r="G1429" s="269"/>
      <c r="H1429" s="268"/>
      <c r="I1429" s="270">
        <f>VLOOKUP(K1429,임금대장!$A$6:$AH$86,16,0)</f>
        <v>0</v>
      </c>
      <c r="J1429" s="271"/>
      <c r="K1429" s="30">
        <v>63</v>
      </c>
    </row>
    <row r="1430" spans="1:11" ht="20.45" customHeight="1" x14ac:dyDescent="0.6">
      <c r="A1430" s="265" t="s">
        <v>107</v>
      </c>
      <c r="B1430" s="266"/>
      <c r="C1430" s="272" t="s">
        <v>5</v>
      </c>
      <c r="D1430" s="274"/>
      <c r="E1430" s="275"/>
      <c r="F1430" s="114" t="s">
        <v>108</v>
      </c>
      <c r="G1430" s="278">
        <f>VLOOKUP(K1429,임금대장!$A$6:$AH$86,15,0)</f>
        <v>113</v>
      </c>
      <c r="H1430" s="279"/>
      <c r="I1430" s="272" t="s">
        <v>89</v>
      </c>
      <c r="J1430" s="280">
        <f>VLOOKUP(K1429,임금대장!$A$6:$AH$86,17,0)</f>
        <v>0</v>
      </c>
    </row>
    <row r="1431" spans="1:11" ht="20.45" customHeight="1" x14ac:dyDescent="0.6">
      <c r="A1431" s="282">
        <f>C1433/G1430</f>
        <v>13000</v>
      </c>
      <c r="B1431" s="283"/>
      <c r="C1431" s="273"/>
      <c r="D1431" s="276"/>
      <c r="E1431" s="277"/>
      <c r="F1431" s="115" t="s">
        <v>90</v>
      </c>
      <c r="G1431" s="284">
        <f>VLOOKUP(K1429,임금대장!$A$6:$AH$86,16,0)</f>
        <v>0</v>
      </c>
      <c r="H1431" s="285"/>
      <c r="I1431" s="273"/>
      <c r="J1431" s="281"/>
    </row>
    <row r="1432" spans="1:11" ht="20.45" customHeight="1" x14ac:dyDescent="0.6">
      <c r="F1432" s="250"/>
      <c r="G1432" s="250"/>
    </row>
    <row r="1433" spans="1:11" ht="20.45" customHeight="1" x14ac:dyDescent="0.6">
      <c r="A1433" s="251" t="s">
        <v>91</v>
      </c>
      <c r="B1433" s="69" t="s">
        <v>109</v>
      </c>
      <c r="C1433" s="25">
        <f>VLOOKUP($K1429,임금대장!$A$6:$AH$86,9,0)</f>
        <v>1469000</v>
      </c>
      <c r="D1433" s="33" t="s">
        <v>110</v>
      </c>
      <c r="E1433" s="69"/>
      <c r="F1433" s="254"/>
      <c r="G1433" s="255"/>
      <c r="H1433" s="168"/>
      <c r="I1433" s="33"/>
      <c r="J1433" s="34"/>
    </row>
    <row r="1434" spans="1:11" ht="20.45" customHeight="1" x14ac:dyDescent="0.6">
      <c r="A1434" s="252"/>
      <c r="B1434" s="67"/>
      <c r="C1434" s="35"/>
      <c r="D1434" s="36"/>
      <c r="E1434" s="67"/>
      <c r="F1434" s="256"/>
      <c r="G1434" s="257"/>
      <c r="H1434" s="169"/>
      <c r="I1434" s="36"/>
      <c r="J1434" s="37"/>
    </row>
    <row r="1435" spans="1:11" ht="20.45" customHeight="1" x14ac:dyDescent="0.6">
      <c r="A1435" s="252"/>
      <c r="B1435" s="52"/>
      <c r="C1435" s="35"/>
      <c r="D1435" s="36"/>
      <c r="E1435" s="67"/>
      <c r="F1435" s="256"/>
      <c r="G1435" s="257"/>
      <c r="H1435" s="169"/>
      <c r="I1435" s="36"/>
      <c r="J1435" s="37"/>
    </row>
    <row r="1436" spans="1:11" ht="20.45" customHeight="1" x14ac:dyDescent="0.6">
      <c r="A1436" s="252"/>
      <c r="B1436" s="67"/>
      <c r="C1436" s="35"/>
      <c r="D1436" s="36"/>
      <c r="E1436" s="67"/>
      <c r="F1436" s="256"/>
      <c r="G1436" s="257"/>
      <c r="H1436" s="169"/>
      <c r="I1436" s="36"/>
      <c r="J1436" s="37"/>
    </row>
    <row r="1437" spans="1:11" ht="20.45" customHeight="1" x14ac:dyDescent="0.6">
      <c r="A1437" s="252"/>
      <c r="B1437" s="67"/>
      <c r="C1437" s="35"/>
      <c r="D1437" s="36"/>
      <c r="E1437" s="36"/>
      <c r="F1437" s="258"/>
      <c r="G1437" s="259"/>
      <c r="H1437" s="169"/>
      <c r="I1437" s="36"/>
      <c r="J1437" s="37"/>
    </row>
    <row r="1438" spans="1:11" ht="20.45" customHeight="1" x14ac:dyDescent="0.6">
      <c r="A1438" s="252"/>
      <c r="B1438" s="67"/>
      <c r="C1438" s="102"/>
      <c r="D1438" s="36"/>
      <c r="E1438" s="36"/>
      <c r="F1438" s="258"/>
      <c r="G1438" s="259"/>
      <c r="H1438" s="169"/>
      <c r="I1438" s="36"/>
      <c r="J1438" s="37"/>
    </row>
    <row r="1439" spans="1:11" ht="20.45" customHeight="1" x14ac:dyDescent="0.6">
      <c r="A1439" s="252"/>
      <c r="B1439" s="67"/>
      <c r="C1439" s="35"/>
      <c r="D1439" s="36"/>
      <c r="E1439" s="36"/>
      <c r="F1439" s="258"/>
      <c r="G1439" s="259"/>
      <c r="H1439" s="169"/>
      <c r="I1439" s="36"/>
      <c r="J1439" s="37"/>
    </row>
    <row r="1440" spans="1:11" ht="20.45" customHeight="1" x14ac:dyDescent="0.6">
      <c r="A1440" s="252"/>
      <c r="B1440" s="67"/>
      <c r="C1440" s="35"/>
      <c r="D1440" s="36"/>
      <c r="E1440" s="36"/>
      <c r="F1440" s="258"/>
      <c r="G1440" s="259"/>
      <c r="H1440" s="169"/>
      <c r="I1440" s="36"/>
      <c r="J1440" s="37"/>
    </row>
    <row r="1441" spans="1:11" ht="20.45" customHeight="1" x14ac:dyDescent="0.6">
      <c r="A1441" s="253"/>
      <c r="B1441" s="68"/>
      <c r="C1441" s="39"/>
      <c r="D1441" s="40"/>
      <c r="E1441" s="40"/>
      <c r="F1441" s="260"/>
      <c r="G1441" s="261"/>
      <c r="H1441" s="170"/>
      <c r="I1441" s="68" t="s">
        <v>95</v>
      </c>
      <c r="J1441" s="41">
        <f>SUM(C1433:H1439)</f>
        <v>1469000</v>
      </c>
    </row>
    <row r="1442" spans="1:11" ht="20.45" customHeight="1" x14ac:dyDescent="0.6">
      <c r="A1442" s="251" t="s">
        <v>96</v>
      </c>
      <c r="B1442" s="36" t="s">
        <v>97</v>
      </c>
      <c r="C1442" s="35">
        <f>VLOOKUP($K1429,임금대장!$A$6:$AH$86,25,0)</f>
        <v>44070</v>
      </c>
      <c r="D1442" s="33"/>
      <c r="E1442" s="42"/>
      <c r="F1442" s="262" t="s">
        <v>14</v>
      </c>
      <c r="G1442" s="263"/>
      <c r="H1442" s="169">
        <f>VLOOKUP($K1429,임금대장!$A$6:$AH$86,19,0)</f>
        <v>0</v>
      </c>
      <c r="I1442" s="33"/>
      <c r="J1442" s="34"/>
    </row>
    <row r="1443" spans="1:11" ht="20.45" customHeight="1" x14ac:dyDescent="0.6">
      <c r="A1443" s="252"/>
      <c r="B1443" s="36" t="s">
        <v>98</v>
      </c>
      <c r="C1443" s="35">
        <f>VLOOKUP($K1429,임금대장!$A$6:$AH$86,26,0)</f>
        <v>4400</v>
      </c>
      <c r="D1443" s="36"/>
      <c r="E1443" s="43"/>
      <c r="F1443" s="258" t="s">
        <v>12</v>
      </c>
      <c r="G1443" s="259"/>
      <c r="H1443" s="169">
        <f>VLOOKUP($K1429,임금대장!$A$6:$AH$86,17,0)</f>
        <v>0</v>
      </c>
      <c r="I1443" s="36"/>
      <c r="J1443" s="37"/>
    </row>
    <row r="1444" spans="1:11" ht="20.45" customHeight="1" x14ac:dyDescent="0.6">
      <c r="A1444" s="252"/>
      <c r="B1444" s="36" t="s">
        <v>99</v>
      </c>
      <c r="C1444" s="35">
        <f>VLOOKUP($K1429,임금대장!$A$6:$AH$86,27,0)</f>
        <v>0</v>
      </c>
      <c r="D1444" s="36"/>
      <c r="E1444" s="44"/>
      <c r="F1444" s="258" t="s">
        <v>100</v>
      </c>
      <c r="G1444" s="259"/>
      <c r="H1444" s="169">
        <f>VLOOKUP($K1429,임금대장!$A$6:$AH$86,31,0)</f>
        <v>0</v>
      </c>
      <c r="I1444" s="36"/>
      <c r="J1444" s="37"/>
    </row>
    <row r="1445" spans="1:11" ht="20.45" customHeight="1" x14ac:dyDescent="0.6">
      <c r="A1445" s="252"/>
      <c r="B1445" s="36" t="s">
        <v>101</v>
      </c>
      <c r="C1445" s="35">
        <f>VLOOKUP($K1429,임금대장!$A$6:$AH$86,28,0)</f>
        <v>0</v>
      </c>
      <c r="D1445" s="36"/>
      <c r="E1445" s="43"/>
      <c r="F1445" s="258" t="s">
        <v>102</v>
      </c>
      <c r="G1445" s="259"/>
      <c r="H1445" s="169">
        <f>VLOOKUP($K1429,임금대장!$A$6:$AH$86,30,0)</f>
        <v>0</v>
      </c>
      <c r="I1445" s="36"/>
      <c r="J1445" s="37"/>
    </row>
    <row r="1446" spans="1:11" ht="20.45" customHeight="1" x14ac:dyDescent="0.6">
      <c r="A1446" s="252"/>
      <c r="B1446" s="36" t="s">
        <v>31</v>
      </c>
      <c r="C1446" s="35">
        <f>VLOOKUP($K1429,임금대장!$A$6:$AH$86,29,0)</f>
        <v>0</v>
      </c>
      <c r="D1446" s="36"/>
      <c r="E1446" s="43"/>
      <c r="F1446" s="45"/>
      <c r="G1446" s="46"/>
      <c r="H1446" s="169"/>
      <c r="I1446" s="67" t="s">
        <v>103</v>
      </c>
      <c r="J1446" s="47">
        <f>SUM(C1442:H1447)</f>
        <v>48470</v>
      </c>
    </row>
    <row r="1447" spans="1:11" ht="20.45" customHeight="1" x14ac:dyDescent="0.6">
      <c r="A1447" s="253"/>
      <c r="B1447" s="40"/>
      <c r="C1447" s="101"/>
      <c r="D1447" s="40"/>
      <c r="E1447" s="48"/>
      <c r="F1447" s="260"/>
      <c r="G1447" s="261"/>
      <c r="H1447" s="170"/>
      <c r="I1447" s="68" t="s">
        <v>104</v>
      </c>
      <c r="J1447" s="49">
        <f>J1441-J1446</f>
        <v>1420530</v>
      </c>
    </row>
    <row r="1448" spans="1:11" ht="20.45" customHeight="1" x14ac:dyDescent="0.6">
      <c r="A1448" s="50" t="s">
        <v>105</v>
      </c>
      <c r="J1448" s="51" t="s">
        <v>0</v>
      </c>
    </row>
    <row r="1450" spans="1:11" ht="20.45" customHeight="1" x14ac:dyDescent="0.6">
      <c r="A1450" s="264" t="s">
        <v>399</v>
      </c>
      <c r="B1450" s="264"/>
      <c r="C1450" s="264"/>
      <c r="D1450" s="264"/>
      <c r="E1450" s="264"/>
      <c r="F1450" s="264"/>
      <c r="G1450" s="264"/>
      <c r="H1450" s="264"/>
      <c r="I1450" s="264"/>
      <c r="J1450" s="264"/>
    </row>
    <row r="1451" spans="1:11" ht="20.45" customHeight="1" x14ac:dyDescent="0.6">
      <c r="A1451" s="265" t="s">
        <v>83</v>
      </c>
      <c r="B1451" s="250"/>
      <c r="C1451" s="266"/>
      <c r="D1451" s="265" t="s">
        <v>84</v>
      </c>
      <c r="E1451" s="266"/>
      <c r="F1451" s="265" t="s">
        <v>85</v>
      </c>
      <c r="G1451" s="250"/>
      <c r="H1451" s="266"/>
      <c r="I1451" s="265" t="s">
        <v>86</v>
      </c>
      <c r="J1451" s="266"/>
    </row>
    <row r="1452" spans="1:11" ht="20.45" customHeight="1" x14ac:dyDescent="0.6">
      <c r="A1452" s="265" t="str">
        <f>VLOOKUP(K1452,임금대장!$A$6:$AH$86,3,0)</f>
        <v>파트</v>
      </c>
      <c r="B1452" s="250"/>
      <c r="C1452" s="266"/>
      <c r="D1452" s="267" t="str">
        <f>VLOOKUP(K1452,임금대장!$A$6:$AH$86,2,0)</f>
        <v>이윤서</v>
      </c>
      <c r="E1452" s="268"/>
      <c r="F1452" s="267">
        <f>임금대장!$O$3</f>
        <v>31</v>
      </c>
      <c r="G1452" s="269"/>
      <c r="H1452" s="268"/>
      <c r="I1452" s="270">
        <f>VLOOKUP(K1452,임금대장!$A$6:$AH$86,16,0)</f>
        <v>0</v>
      </c>
      <c r="J1452" s="271"/>
      <c r="K1452" s="30">
        <f>K1429+1</f>
        <v>64</v>
      </c>
    </row>
    <row r="1453" spans="1:11" ht="20.45" customHeight="1" x14ac:dyDescent="0.6">
      <c r="A1453" s="265" t="s">
        <v>107</v>
      </c>
      <c r="B1453" s="266"/>
      <c r="C1453" s="272" t="s">
        <v>5</v>
      </c>
      <c r="D1453" s="274"/>
      <c r="E1453" s="275"/>
      <c r="F1453" s="114" t="s">
        <v>108</v>
      </c>
      <c r="G1453" s="278">
        <f>VLOOKUP(K1452,임금대장!$A$6:$AH$86,15,0)</f>
        <v>117</v>
      </c>
      <c r="H1453" s="279"/>
      <c r="I1453" s="272" t="s">
        <v>89</v>
      </c>
      <c r="J1453" s="280">
        <f>VLOOKUP(K1452,임금대장!$A$6:$AH$86,17,0)</f>
        <v>0</v>
      </c>
    </row>
    <row r="1454" spans="1:11" ht="20.45" customHeight="1" x14ac:dyDescent="0.6">
      <c r="A1454" s="282">
        <f>C1456/G1453</f>
        <v>13000</v>
      </c>
      <c r="B1454" s="283"/>
      <c r="C1454" s="273"/>
      <c r="D1454" s="276"/>
      <c r="E1454" s="277"/>
      <c r="F1454" s="115" t="s">
        <v>90</v>
      </c>
      <c r="G1454" s="284">
        <f>VLOOKUP(K1452,임금대장!$A$6:$AH$86,16,0)</f>
        <v>0</v>
      </c>
      <c r="H1454" s="285"/>
      <c r="I1454" s="273"/>
      <c r="J1454" s="281"/>
    </row>
    <row r="1455" spans="1:11" ht="20.45" customHeight="1" x14ac:dyDescent="0.6">
      <c r="F1455" s="250"/>
      <c r="G1455" s="250"/>
    </row>
    <row r="1456" spans="1:11" ht="20.45" customHeight="1" x14ac:dyDescent="0.6">
      <c r="A1456" s="251" t="s">
        <v>91</v>
      </c>
      <c r="B1456" s="69" t="s">
        <v>109</v>
      </c>
      <c r="C1456" s="25">
        <f>VLOOKUP($K1452,임금대장!$A$6:$AH$86,9,0)</f>
        <v>1521000</v>
      </c>
      <c r="D1456" s="33" t="s">
        <v>110</v>
      </c>
      <c r="E1456" s="69"/>
      <c r="F1456" s="254"/>
      <c r="G1456" s="255"/>
      <c r="H1456" s="168"/>
      <c r="I1456" s="33"/>
      <c r="J1456" s="34"/>
    </row>
    <row r="1457" spans="1:10" ht="20.45" customHeight="1" x14ac:dyDescent="0.6">
      <c r="A1457" s="252"/>
      <c r="B1457" s="67"/>
      <c r="C1457" s="35"/>
      <c r="D1457" s="36"/>
      <c r="E1457" s="67"/>
      <c r="F1457" s="256"/>
      <c r="G1457" s="257"/>
      <c r="H1457" s="169"/>
      <c r="I1457" s="36"/>
      <c r="J1457" s="37"/>
    </row>
    <row r="1458" spans="1:10" ht="20.45" customHeight="1" x14ac:dyDescent="0.6">
      <c r="A1458" s="252"/>
      <c r="B1458" s="52"/>
      <c r="C1458" s="35"/>
      <c r="D1458" s="36"/>
      <c r="E1458" s="67"/>
      <c r="F1458" s="256"/>
      <c r="G1458" s="257"/>
      <c r="H1458" s="169"/>
      <c r="I1458" s="36"/>
      <c r="J1458" s="37"/>
    </row>
    <row r="1459" spans="1:10" ht="20.45" customHeight="1" x14ac:dyDescent="0.6">
      <c r="A1459" s="252"/>
      <c r="B1459" s="67"/>
      <c r="C1459" s="35"/>
      <c r="D1459" s="36"/>
      <c r="E1459" s="67"/>
      <c r="F1459" s="256"/>
      <c r="G1459" s="257"/>
      <c r="H1459" s="169"/>
      <c r="I1459" s="36"/>
      <c r="J1459" s="37"/>
    </row>
    <row r="1460" spans="1:10" ht="20.45" customHeight="1" x14ac:dyDescent="0.6">
      <c r="A1460" s="252"/>
      <c r="B1460" s="67"/>
      <c r="C1460" s="35"/>
      <c r="D1460" s="36"/>
      <c r="E1460" s="36"/>
      <c r="F1460" s="258"/>
      <c r="G1460" s="259"/>
      <c r="H1460" s="169"/>
      <c r="I1460" s="36"/>
      <c r="J1460" s="37"/>
    </row>
    <row r="1461" spans="1:10" ht="20.45" customHeight="1" x14ac:dyDescent="0.6">
      <c r="A1461" s="252"/>
      <c r="B1461" s="67"/>
      <c r="C1461" s="102"/>
      <c r="D1461" s="36"/>
      <c r="E1461" s="36"/>
      <c r="F1461" s="258"/>
      <c r="G1461" s="259"/>
      <c r="H1461" s="169"/>
      <c r="I1461" s="36"/>
      <c r="J1461" s="37"/>
    </row>
    <row r="1462" spans="1:10" ht="20.45" customHeight="1" x14ac:dyDescent="0.6">
      <c r="A1462" s="252"/>
      <c r="B1462" s="67"/>
      <c r="C1462" s="35"/>
      <c r="D1462" s="36"/>
      <c r="E1462" s="36"/>
      <c r="F1462" s="258"/>
      <c r="G1462" s="259"/>
      <c r="H1462" s="169"/>
      <c r="I1462" s="36"/>
      <c r="J1462" s="37"/>
    </row>
    <row r="1463" spans="1:10" ht="20.45" customHeight="1" x14ac:dyDescent="0.6">
      <c r="A1463" s="252"/>
      <c r="B1463" s="67"/>
      <c r="C1463" s="35"/>
      <c r="D1463" s="36"/>
      <c r="E1463" s="36"/>
      <c r="F1463" s="258"/>
      <c r="G1463" s="259"/>
      <c r="H1463" s="169"/>
      <c r="I1463" s="36"/>
      <c r="J1463" s="37"/>
    </row>
    <row r="1464" spans="1:10" ht="20.45" customHeight="1" x14ac:dyDescent="0.6">
      <c r="A1464" s="253"/>
      <c r="B1464" s="68"/>
      <c r="C1464" s="39"/>
      <c r="D1464" s="40"/>
      <c r="E1464" s="40"/>
      <c r="F1464" s="260"/>
      <c r="G1464" s="261"/>
      <c r="H1464" s="170"/>
      <c r="I1464" s="68" t="s">
        <v>95</v>
      </c>
      <c r="J1464" s="41">
        <f>SUM(C1456:H1462)</f>
        <v>1521000</v>
      </c>
    </row>
    <row r="1465" spans="1:10" ht="20.45" customHeight="1" x14ac:dyDescent="0.6">
      <c r="A1465" s="251" t="s">
        <v>96</v>
      </c>
      <c r="B1465" s="36" t="s">
        <v>97</v>
      </c>
      <c r="C1465" s="35">
        <f>VLOOKUP($K1452,임금대장!$A$6:$AH$86,25,0)</f>
        <v>45630</v>
      </c>
      <c r="D1465" s="33"/>
      <c r="E1465" s="42"/>
      <c r="F1465" s="262" t="s">
        <v>14</v>
      </c>
      <c r="G1465" s="263"/>
      <c r="H1465" s="169">
        <f>VLOOKUP($K1452,임금대장!$A$6:$AH$86,19,0)</f>
        <v>0</v>
      </c>
      <c r="I1465" s="33"/>
      <c r="J1465" s="34"/>
    </row>
    <row r="1466" spans="1:10" ht="20.45" customHeight="1" x14ac:dyDescent="0.6">
      <c r="A1466" s="252"/>
      <c r="B1466" s="36" t="s">
        <v>98</v>
      </c>
      <c r="C1466" s="35">
        <f>VLOOKUP($K1452,임금대장!$A$6:$AH$86,26,0)</f>
        <v>4560</v>
      </c>
      <c r="D1466" s="36"/>
      <c r="E1466" s="43"/>
      <c r="F1466" s="258" t="s">
        <v>12</v>
      </c>
      <c r="G1466" s="259"/>
      <c r="H1466" s="169">
        <f>VLOOKUP($K1452,임금대장!$A$6:$AH$86,17,0)</f>
        <v>0</v>
      </c>
      <c r="I1466" s="36"/>
      <c r="J1466" s="37"/>
    </row>
    <row r="1467" spans="1:10" ht="20.45" customHeight="1" x14ac:dyDescent="0.6">
      <c r="A1467" s="252"/>
      <c r="B1467" s="36" t="s">
        <v>99</v>
      </c>
      <c r="C1467" s="35">
        <f>VLOOKUP($K1452,임금대장!$A$6:$AH$86,27,0)</f>
        <v>0</v>
      </c>
      <c r="D1467" s="36"/>
      <c r="E1467" s="44"/>
      <c r="F1467" s="258" t="s">
        <v>100</v>
      </c>
      <c r="G1467" s="259"/>
      <c r="H1467" s="169">
        <f>VLOOKUP($K1452,임금대장!$A$6:$AH$86,31,0)</f>
        <v>0</v>
      </c>
      <c r="I1467" s="36"/>
      <c r="J1467" s="37"/>
    </row>
    <row r="1468" spans="1:10" ht="20.45" customHeight="1" x14ac:dyDescent="0.6">
      <c r="A1468" s="252"/>
      <c r="B1468" s="36" t="s">
        <v>101</v>
      </c>
      <c r="C1468" s="35">
        <f>VLOOKUP($K1452,임금대장!$A$6:$AH$86,28,0)</f>
        <v>0</v>
      </c>
      <c r="D1468" s="36"/>
      <c r="E1468" s="43"/>
      <c r="F1468" s="258" t="s">
        <v>102</v>
      </c>
      <c r="G1468" s="259"/>
      <c r="H1468" s="169">
        <f>VLOOKUP($K1452,임금대장!$A$6:$AH$86,30,0)</f>
        <v>0</v>
      </c>
      <c r="I1468" s="36"/>
      <c r="J1468" s="37"/>
    </row>
    <row r="1469" spans="1:10" ht="20.45" customHeight="1" x14ac:dyDescent="0.6">
      <c r="A1469" s="252"/>
      <c r="B1469" s="36" t="s">
        <v>31</v>
      </c>
      <c r="C1469" s="35">
        <f>VLOOKUP($K1452,임금대장!$A$6:$AH$86,29,0)</f>
        <v>0</v>
      </c>
      <c r="D1469" s="36"/>
      <c r="E1469" s="43"/>
      <c r="F1469" s="45"/>
      <c r="G1469" s="46"/>
      <c r="H1469" s="169"/>
      <c r="I1469" s="67" t="s">
        <v>103</v>
      </c>
      <c r="J1469" s="47">
        <f>SUM(C1465:H1470)</f>
        <v>50190</v>
      </c>
    </row>
    <row r="1470" spans="1:10" ht="20.45" customHeight="1" x14ac:dyDescent="0.6">
      <c r="A1470" s="253"/>
      <c r="B1470" s="40"/>
      <c r="C1470" s="101"/>
      <c r="D1470" s="40"/>
      <c r="E1470" s="48"/>
      <c r="F1470" s="260"/>
      <c r="G1470" s="261"/>
      <c r="H1470" s="170"/>
      <c r="I1470" s="68" t="s">
        <v>104</v>
      </c>
      <c r="J1470" s="49">
        <f>J1464-J1469</f>
        <v>1470810</v>
      </c>
    </row>
    <row r="1471" spans="1:10" ht="20.45" customHeight="1" x14ac:dyDescent="0.6">
      <c r="A1471" s="50" t="s">
        <v>105</v>
      </c>
      <c r="J1471" s="51" t="s">
        <v>0</v>
      </c>
    </row>
    <row r="1473" spans="1:11" ht="20.45" customHeight="1" x14ac:dyDescent="0.6">
      <c r="A1473" s="264" t="s">
        <v>399</v>
      </c>
      <c r="B1473" s="264"/>
      <c r="C1473" s="264"/>
      <c r="D1473" s="264"/>
      <c r="E1473" s="264"/>
      <c r="F1473" s="264"/>
      <c r="G1473" s="264"/>
      <c r="H1473" s="264"/>
      <c r="I1473" s="264"/>
      <c r="J1473" s="264"/>
    </row>
    <row r="1474" spans="1:11" ht="20.45" customHeight="1" x14ac:dyDescent="0.6">
      <c r="A1474" s="265" t="s">
        <v>83</v>
      </c>
      <c r="B1474" s="250"/>
      <c r="C1474" s="266"/>
      <c r="D1474" s="265" t="s">
        <v>84</v>
      </c>
      <c r="E1474" s="266"/>
      <c r="F1474" s="265" t="s">
        <v>85</v>
      </c>
      <c r="G1474" s="250"/>
      <c r="H1474" s="266"/>
      <c r="I1474" s="265" t="s">
        <v>86</v>
      </c>
      <c r="J1474" s="266"/>
    </row>
    <row r="1475" spans="1:11" ht="20.45" customHeight="1" x14ac:dyDescent="0.6">
      <c r="A1475" s="265" t="str">
        <f>VLOOKUP(K1475,임금대장!$A$6:$AH$86,3,0)</f>
        <v>파트</v>
      </c>
      <c r="B1475" s="250"/>
      <c r="C1475" s="266"/>
      <c r="D1475" s="267" t="str">
        <f>VLOOKUP(K1475,임금대장!$A$6:$AH$86,2,0)</f>
        <v>이강욱</v>
      </c>
      <c r="E1475" s="268"/>
      <c r="F1475" s="267">
        <f>임금대장!$O$3</f>
        <v>31</v>
      </c>
      <c r="G1475" s="269"/>
      <c r="H1475" s="268"/>
      <c r="I1475" s="270">
        <f>VLOOKUP(K1475,임금대장!$A$6:$AH$86,16,0)</f>
        <v>0</v>
      </c>
      <c r="J1475" s="271"/>
      <c r="K1475" s="30">
        <f>K1452+1</f>
        <v>65</v>
      </c>
    </row>
    <row r="1476" spans="1:11" ht="20.45" customHeight="1" x14ac:dyDescent="0.6">
      <c r="A1476" s="265" t="s">
        <v>107</v>
      </c>
      <c r="B1476" s="266"/>
      <c r="C1476" s="272" t="s">
        <v>5</v>
      </c>
      <c r="D1476" s="274"/>
      <c r="E1476" s="275"/>
      <c r="F1476" s="114" t="s">
        <v>108</v>
      </c>
      <c r="G1476" s="278">
        <f>VLOOKUP(K1475,임금대장!$A$6:$AH$86,15,0)</f>
        <v>76</v>
      </c>
      <c r="H1476" s="279"/>
      <c r="I1476" s="272" t="s">
        <v>89</v>
      </c>
      <c r="J1476" s="280">
        <f>VLOOKUP(K1475,임금대장!$A$6:$AH$86,17,0)</f>
        <v>0</v>
      </c>
    </row>
    <row r="1477" spans="1:11" ht="20.45" customHeight="1" x14ac:dyDescent="0.6">
      <c r="A1477" s="282">
        <f>C1479/G1476</f>
        <v>13000</v>
      </c>
      <c r="B1477" s="283"/>
      <c r="C1477" s="273"/>
      <c r="D1477" s="276"/>
      <c r="E1477" s="277"/>
      <c r="F1477" s="115" t="s">
        <v>90</v>
      </c>
      <c r="G1477" s="284">
        <f>VLOOKUP(K1475,임금대장!$A$6:$AH$86,16,0)</f>
        <v>0</v>
      </c>
      <c r="H1477" s="285"/>
      <c r="I1477" s="273"/>
      <c r="J1477" s="281"/>
    </row>
    <row r="1478" spans="1:11" ht="20.45" customHeight="1" x14ac:dyDescent="0.6">
      <c r="F1478" s="250"/>
      <c r="G1478" s="250"/>
    </row>
    <row r="1479" spans="1:11" ht="20.45" customHeight="1" x14ac:dyDescent="0.6">
      <c r="A1479" s="251" t="s">
        <v>91</v>
      </c>
      <c r="B1479" s="69" t="s">
        <v>109</v>
      </c>
      <c r="C1479" s="25">
        <f>VLOOKUP($K1475,임금대장!$A$6:$AH$86,9,0)</f>
        <v>988000</v>
      </c>
      <c r="D1479" s="33" t="s">
        <v>110</v>
      </c>
      <c r="E1479" s="69"/>
      <c r="F1479" s="254"/>
      <c r="G1479" s="255"/>
      <c r="H1479" s="168"/>
      <c r="I1479" s="33"/>
      <c r="J1479" s="34"/>
    </row>
    <row r="1480" spans="1:11" ht="20.45" customHeight="1" x14ac:dyDescent="0.6">
      <c r="A1480" s="252"/>
      <c r="B1480" s="67"/>
      <c r="C1480" s="35"/>
      <c r="D1480" s="36"/>
      <c r="E1480" s="67"/>
      <c r="F1480" s="256"/>
      <c r="G1480" s="257"/>
      <c r="H1480" s="169"/>
      <c r="I1480" s="36"/>
      <c r="J1480" s="37"/>
    </row>
    <row r="1481" spans="1:11" ht="20.45" customHeight="1" x14ac:dyDescent="0.6">
      <c r="A1481" s="252"/>
      <c r="B1481" s="52"/>
      <c r="C1481" s="35"/>
      <c r="D1481" s="36"/>
      <c r="E1481" s="67"/>
      <c r="F1481" s="256"/>
      <c r="G1481" s="257"/>
      <c r="H1481" s="169"/>
      <c r="I1481" s="36"/>
      <c r="J1481" s="37"/>
    </row>
    <row r="1482" spans="1:11" ht="20.45" customHeight="1" x14ac:dyDescent="0.6">
      <c r="A1482" s="252"/>
      <c r="B1482" s="67"/>
      <c r="C1482" s="35"/>
      <c r="D1482" s="36"/>
      <c r="E1482" s="67"/>
      <c r="F1482" s="256"/>
      <c r="G1482" s="257"/>
      <c r="H1482" s="169"/>
      <c r="I1482" s="36"/>
      <c r="J1482" s="37"/>
    </row>
    <row r="1483" spans="1:11" ht="20.45" customHeight="1" x14ac:dyDescent="0.6">
      <c r="A1483" s="252"/>
      <c r="B1483" s="67"/>
      <c r="C1483" s="35"/>
      <c r="D1483" s="36"/>
      <c r="E1483" s="36"/>
      <c r="F1483" s="258"/>
      <c r="G1483" s="259"/>
      <c r="H1483" s="169"/>
      <c r="I1483" s="36"/>
      <c r="J1483" s="37"/>
    </row>
    <row r="1484" spans="1:11" ht="20.45" customHeight="1" x14ac:dyDescent="0.6">
      <c r="A1484" s="252"/>
      <c r="B1484" s="67"/>
      <c r="C1484" s="102"/>
      <c r="D1484" s="36"/>
      <c r="E1484" s="36"/>
      <c r="F1484" s="258"/>
      <c r="G1484" s="259"/>
      <c r="H1484" s="169"/>
      <c r="I1484" s="36"/>
      <c r="J1484" s="37"/>
    </row>
    <row r="1485" spans="1:11" ht="20.45" customHeight="1" x14ac:dyDescent="0.6">
      <c r="A1485" s="252"/>
      <c r="B1485" s="67"/>
      <c r="C1485" s="35"/>
      <c r="D1485" s="36"/>
      <c r="E1485" s="36"/>
      <c r="F1485" s="258"/>
      <c r="G1485" s="259"/>
      <c r="H1485" s="169"/>
      <c r="I1485" s="36"/>
      <c r="J1485" s="37"/>
    </row>
    <row r="1486" spans="1:11" ht="20.45" customHeight="1" x14ac:dyDescent="0.6">
      <c r="A1486" s="252"/>
      <c r="B1486" s="67"/>
      <c r="C1486" s="35"/>
      <c r="D1486" s="36"/>
      <c r="E1486" s="36"/>
      <c r="F1486" s="258"/>
      <c r="G1486" s="259"/>
      <c r="H1486" s="169"/>
      <c r="I1486" s="36"/>
      <c r="J1486" s="37"/>
    </row>
    <row r="1487" spans="1:11" ht="20.45" customHeight="1" x14ac:dyDescent="0.6">
      <c r="A1487" s="253"/>
      <c r="B1487" s="68"/>
      <c r="C1487" s="39"/>
      <c r="D1487" s="40"/>
      <c r="E1487" s="40"/>
      <c r="F1487" s="260"/>
      <c r="G1487" s="261"/>
      <c r="H1487" s="170"/>
      <c r="I1487" s="68" t="s">
        <v>95</v>
      </c>
      <c r="J1487" s="41">
        <f>SUM(C1479:H1485)</f>
        <v>988000</v>
      </c>
    </row>
    <row r="1488" spans="1:11" ht="20.45" customHeight="1" x14ac:dyDescent="0.6">
      <c r="A1488" s="251" t="s">
        <v>96</v>
      </c>
      <c r="B1488" s="36" t="s">
        <v>97</v>
      </c>
      <c r="C1488" s="35">
        <f>VLOOKUP($K1475,임금대장!$A$6:$AH$86,25,0)</f>
        <v>29640</v>
      </c>
      <c r="D1488" s="33"/>
      <c r="E1488" s="42"/>
      <c r="F1488" s="262" t="s">
        <v>14</v>
      </c>
      <c r="G1488" s="263"/>
      <c r="H1488" s="169">
        <f>VLOOKUP($K1475,임금대장!$A$6:$AH$86,19,0)</f>
        <v>0</v>
      </c>
      <c r="I1488" s="33"/>
      <c r="J1488" s="34"/>
    </row>
    <row r="1489" spans="1:11" ht="20.45" customHeight="1" x14ac:dyDescent="0.6">
      <c r="A1489" s="252"/>
      <c r="B1489" s="36" t="s">
        <v>98</v>
      </c>
      <c r="C1489" s="35">
        <f>VLOOKUP($K1475,임금대장!$A$6:$AH$86,26,0)</f>
        <v>2960</v>
      </c>
      <c r="D1489" s="36"/>
      <c r="E1489" s="43"/>
      <c r="F1489" s="258" t="s">
        <v>12</v>
      </c>
      <c r="G1489" s="259"/>
      <c r="H1489" s="169">
        <f>VLOOKUP($K1475,임금대장!$A$6:$AH$86,17,0)</f>
        <v>0</v>
      </c>
      <c r="I1489" s="36"/>
      <c r="J1489" s="37"/>
    </row>
    <row r="1490" spans="1:11" ht="20.45" customHeight="1" x14ac:dyDescent="0.6">
      <c r="A1490" s="252"/>
      <c r="B1490" s="36" t="s">
        <v>99</v>
      </c>
      <c r="C1490" s="35">
        <f>VLOOKUP($K1475,임금대장!$A$6:$AH$86,27,0)</f>
        <v>0</v>
      </c>
      <c r="D1490" s="36"/>
      <c r="E1490" s="44"/>
      <c r="F1490" s="258" t="s">
        <v>100</v>
      </c>
      <c r="G1490" s="259"/>
      <c r="H1490" s="169">
        <f>VLOOKUP($K1475,임금대장!$A$6:$AH$86,31,0)</f>
        <v>0</v>
      </c>
      <c r="I1490" s="36"/>
      <c r="J1490" s="37"/>
    </row>
    <row r="1491" spans="1:11" ht="20.45" customHeight="1" x14ac:dyDescent="0.6">
      <c r="A1491" s="252"/>
      <c r="B1491" s="36" t="s">
        <v>101</v>
      </c>
      <c r="C1491" s="35">
        <f>VLOOKUP($K1475,임금대장!$A$6:$AH$86,28,0)</f>
        <v>0</v>
      </c>
      <c r="D1491" s="36"/>
      <c r="E1491" s="43"/>
      <c r="F1491" s="258" t="s">
        <v>102</v>
      </c>
      <c r="G1491" s="259"/>
      <c r="H1491" s="169">
        <f>VLOOKUP($K1475,임금대장!$A$6:$AH$86,30,0)</f>
        <v>0</v>
      </c>
      <c r="I1491" s="36"/>
      <c r="J1491" s="37"/>
    </row>
    <row r="1492" spans="1:11" ht="20.45" customHeight="1" x14ac:dyDescent="0.6">
      <c r="A1492" s="252"/>
      <c r="B1492" s="36" t="s">
        <v>31</v>
      </c>
      <c r="C1492" s="35">
        <f>VLOOKUP($K1475,임금대장!$A$6:$AH$86,29,0)</f>
        <v>0</v>
      </c>
      <c r="D1492" s="36"/>
      <c r="E1492" s="43"/>
      <c r="F1492" s="45"/>
      <c r="G1492" s="46"/>
      <c r="H1492" s="169"/>
      <c r="I1492" s="67" t="s">
        <v>103</v>
      </c>
      <c r="J1492" s="47">
        <f>SUM(C1488:H1493)</f>
        <v>32600</v>
      </c>
    </row>
    <row r="1493" spans="1:11" ht="20.45" customHeight="1" x14ac:dyDescent="0.6">
      <c r="A1493" s="253"/>
      <c r="B1493" s="40"/>
      <c r="C1493" s="101"/>
      <c r="D1493" s="40"/>
      <c r="E1493" s="48"/>
      <c r="F1493" s="260"/>
      <c r="G1493" s="261"/>
      <c r="H1493" s="170"/>
      <c r="I1493" s="68" t="s">
        <v>104</v>
      </c>
      <c r="J1493" s="49">
        <f>J1487-J1492</f>
        <v>955400</v>
      </c>
    </row>
    <row r="1494" spans="1:11" ht="20.45" customHeight="1" x14ac:dyDescent="0.6">
      <c r="A1494" s="50" t="s">
        <v>105</v>
      </c>
      <c r="J1494" s="51" t="s">
        <v>0</v>
      </c>
    </row>
    <row r="1496" spans="1:11" ht="20.45" customHeight="1" x14ac:dyDescent="0.6">
      <c r="A1496" s="264" t="s">
        <v>399</v>
      </c>
      <c r="B1496" s="264"/>
      <c r="C1496" s="264"/>
      <c r="D1496" s="264"/>
      <c r="E1496" s="264"/>
      <c r="F1496" s="264"/>
      <c r="G1496" s="264"/>
      <c r="H1496" s="264"/>
      <c r="I1496" s="264"/>
      <c r="J1496" s="264"/>
    </row>
    <row r="1497" spans="1:11" ht="20.45" customHeight="1" x14ac:dyDescent="0.6">
      <c r="A1497" s="265" t="s">
        <v>83</v>
      </c>
      <c r="B1497" s="250"/>
      <c r="C1497" s="266"/>
      <c r="D1497" s="265" t="s">
        <v>84</v>
      </c>
      <c r="E1497" s="266"/>
      <c r="F1497" s="265" t="s">
        <v>85</v>
      </c>
      <c r="G1497" s="250"/>
      <c r="H1497" s="266"/>
      <c r="I1497" s="265" t="s">
        <v>86</v>
      </c>
      <c r="J1497" s="266"/>
    </row>
    <row r="1498" spans="1:11" ht="20.45" customHeight="1" x14ac:dyDescent="0.6">
      <c r="A1498" s="265" t="str">
        <f>VLOOKUP(K1498,임금대장!$A$6:$AH$86,3,0)</f>
        <v>파트</v>
      </c>
      <c r="B1498" s="250"/>
      <c r="C1498" s="266"/>
      <c r="D1498" s="267" t="str">
        <f>VLOOKUP(K1498,임금대장!$A$6:$AH$86,2,0)</f>
        <v>김아영</v>
      </c>
      <c r="E1498" s="268"/>
      <c r="F1498" s="267">
        <f>임금대장!$O$3</f>
        <v>31</v>
      </c>
      <c r="G1498" s="269"/>
      <c r="H1498" s="268"/>
      <c r="I1498" s="270">
        <f>VLOOKUP(K1498,임금대장!$A$6:$AH$86,16,0)</f>
        <v>0</v>
      </c>
      <c r="J1498" s="271"/>
      <c r="K1498" s="30">
        <f>K1475+1</f>
        <v>66</v>
      </c>
    </row>
    <row r="1499" spans="1:11" ht="20.45" customHeight="1" x14ac:dyDescent="0.6">
      <c r="A1499" s="265" t="s">
        <v>107</v>
      </c>
      <c r="B1499" s="266"/>
      <c r="C1499" s="272" t="s">
        <v>5</v>
      </c>
      <c r="D1499" s="274"/>
      <c r="E1499" s="275"/>
      <c r="F1499" s="114" t="s">
        <v>108</v>
      </c>
      <c r="G1499" s="278">
        <f>VLOOKUP(K1498,임금대장!$A$6:$AH$86,15,0)</f>
        <v>56.5</v>
      </c>
      <c r="H1499" s="279"/>
      <c r="I1499" s="272" t="s">
        <v>89</v>
      </c>
      <c r="J1499" s="280">
        <f>VLOOKUP(K1498,임금대장!$A$6:$AH$86,17,0)</f>
        <v>0</v>
      </c>
    </row>
    <row r="1500" spans="1:11" ht="20.45" customHeight="1" x14ac:dyDescent="0.6">
      <c r="A1500" s="282">
        <f>C1502/G1499</f>
        <v>13000</v>
      </c>
      <c r="B1500" s="283"/>
      <c r="C1500" s="273"/>
      <c r="D1500" s="276"/>
      <c r="E1500" s="277"/>
      <c r="F1500" s="115" t="s">
        <v>90</v>
      </c>
      <c r="G1500" s="284">
        <f>VLOOKUP(K1498,임금대장!$A$6:$AH$86,16,0)</f>
        <v>0</v>
      </c>
      <c r="H1500" s="285"/>
      <c r="I1500" s="273"/>
      <c r="J1500" s="281"/>
    </row>
    <row r="1501" spans="1:11" ht="20.45" customHeight="1" x14ac:dyDescent="0.6">
      <c r="F1501" s="250"/>
      <c r="G1501" s="250"/>
    </row>
    <row r="1502" spans="1:11" ht="20.45" customHeight="1" x14ac:dyDescent="0.6">
      <c r="A1502" s="251" t="s">
        <v>91</v>
      </c>
      <c r="B1502" s="69" t="s">
        <v>109</v>
      </c>
      <c r="C1502" s="25">
        <f>VLOOKUP($K1498,임금대장!$A$6:$AH$86,9,0)</f>
        <v>734500</v>
      </c>
      <c r="D1502" s="33" t="s">
        <v>110</v>
      </c>
      <c r="E1502" s="69"/>
      <c r="F1502" s="254"/>
      <c r="G1502" s="255"/>
      <c r="H1502" s="168"/>
      <c r="I1502" s="33"/>
      <c r="J1502" s="34"/>
    </row>
    <row r="1503" spans="1:11" ht="20.45" customHeight="1" x14ac:dyDescent="0.6">
      <c r="A1503" s="252"/>
      <c r="B1503" s="67"/>
      <c r="C1503" s="35"/>
      <c r="D1503" s="36"/>
      <c r="E1503" s="67"/>
      <c r="F1503" s="256"/>
      <c r="G1503" s="257"/>
      <c r="H1503" s="169"/>
      <c r="I1503" s="36"/>
      <c r="J1503" s="37"/>
    </row>
    <row r="1504" spans="1:11" ht="20.45" customHeight="1" x14ac:dyDescent="0.6">
      <c r="A1504" s="252"/>
      <c r="B1504" s="52"/>
      <c r="C1504" s="35"/>
      <c r="D1504" s="36"/>
      <c r="E1504" s="67"/>
      <c r="F1504" s="256"/>
      <c r="G1504" s="257"/>
      <c r="H1504" s="169"/>
      <c r="I1504" s="36"/>
      <c r="J1504" s="37"/>
    </row>
    <row r="1505" spans="1:10" ht="20.45" customHeight="1" x14ac:dyDescent="0.6">
      <c r="A1505" s="252"/>
      <c r="B1505" s="67"/>
      <c r="C1505" s="35"/>
      <c r="D1505" s="36"/>
      <c r="E1505" s="67"/>
      <c r="F1505" s="256"/>
      <c r="G1505" s="257"/>
      <c r="H1505" s="169"/>
      <c r="I1505" s="36"/>
      <c r="J1505" s="37"/>
    </row>
    <row r="1506" spans="1:10" ht="20.45" customHeight="1" x14ac:dyDescent="0.6">
      <c r="A1506" s="252"/>
      <c r="B1506" s="67"/>
      <c r="C1506" s="35"/>
      <c r="D1506" s="36"/>
      <c r="E1506" s="36"/>
      <c r="F1506" s="258"/>
      <c r="G1506" s="259"/>
      <c r="H1506" s="169"/>
      <c r="I1506" s="36"/>
      <c r="J1506" s="37"/>
    </row>
    <row r="1507" spans="1:10" ht="20.45" customHeight="1" x14ac:dyDescent="0.6">
      <c r="A1507" s="252"/>
      <c r="B1507" s="67"/>
      <c r="C1507" s="102"/>
      <c r="D1507" s="36"/>
      <c r="E1507" s="36"/>
      <c r="F1507" s="258"/>
      <c r="G1507" s="259"/>
      <c r="H1507" s="169"/>
      <c r="I1507" s="36"/>
      <c r="J1507" s="37"/>
    </row>
    <row r="1508" spans="1:10" ht="20.45" customHeight="1" x14ac:dyDescent="0.6">
      <c r="A1508" s="252"/>
      <c r="B1508" s="67"/>
      <c r="C1508" s="35"/>
      <c r="D1508" s="36"/>
      <c r="E1508" s="36"/>
      <c r="F1508" s="258"/>
      <c r="G1508" s="259"/>
      <c r="H1508" s="169"/>
      <c r="I1508" s="36"/>
      <c r="J1508" s="37"/>
    </row>
    <row r="1509" spans="1:10" ht="20.45" customHeight="1" x14ac:dyDescent="0.6">
      <c r="A1509" s="252"/>
      <c r="B1509" s="67"/>
      <c r="C1509" s="35"/>
      <c r="D1509" s="36"/>
      <c r="E1509" s="36"/>
      <c r="F1509" s="258"/>
      <c r="G1509" s="259"/>
      <c r="H1509" s="169"/>
      <c r="I1509" s="36"/>
      <c r="J1509" s="37"/>
    </row>
    <row r="1510" spans="1:10" ht="20.45" customHeight="1" x14ac:dyDescent="0.6">
      <c r="A1510" s="253"/>
      <c r="B1510" s="68"/>
      <c r="C1510" s="39"/>
      <c r="D1510" s="40"/>
      <c r="E1510" s="40"/>
      <c r="F1510" s="260"/>
      <c r="G1510" s="261"/>
      <c r="H1510" s="170"/>
      <c r="I1510" s="68" t="s">
        <v>95</v>
      </c>
      <c r="J1510" s="41">
        <f>SUM(C1502:H1508)</f>
        <v>734500</v>
      </c>
    </row>
    <row r="1511" spans="1:10" ht="20.45" customHeight="1" x14ac:dyDescent="0.6">
      <c r="A1511" s="251" t="s">
        <v>96</v>
      </c>
      <c r="B1511" s="36" t="s">
        <v>97</v>
      </c>
      <c r="C1511" s="35">
        <f>VLOOKUP($K1498,임금대장!$A$6:$AH$86,25,0)</f>
        <v>22030</v>
      </c>
      <c r="D1511" s="33"/>
      <c r="E1511" s="42"/>
      <c r="F1511" s="262" t="s">
        <v>14</v>
      </c>
      <c r="G1511" s="263"/>
      <c r="H1511" s="169">
        <f>VLOOKUP($K1498,임금대장!$A$6:$AH$86,19,0)</f>
        <v>0</v>
      </c>
      <c r="I1511" s="33"/>
      <c r="J1511" s="34"/>
    </row>
    <row r="1512" spans="1:10" ht="20.45" customHeight="1" x14ac:dyDescent="0.6">
      <c r="A1512" s="252"/>
      <c r="B1512" s="36" t="s">
        <v>98</v>
      </c>
      <c r="C1512" s="35">
        <f>VLOOKUP($K1498,임금대장!$A$6:$AH$86,26,0)</f>
        <v>2200</v>
      </c>
      <c r="D1512" s="36"/>
      <c r="E1512" s="43"/>
      <c r="F1512" s="258" t="s">
        <v>12</v>
      </c>
      <c r="G1512" s="259"/>
      <c r="H1512" s="169">
        <f>VLOOKUP($K1498,임금대장!$A$6:$AH$86,17,0)</f>
        <v>0</v>
      </c>
      <c r="I1512" s="36"/>
      <c r="J1512" s="37"/>
    </row>
    <row r="1513" spans="1:10" ht="20.45" customHeight="1" x14ac:dyDescent="0.6">
      <c r="A1513" s="252"/>
      <c r="B1513" s="36" t="s">
        <v>99</v>
      </c>
      <c r="C1513" s="35">
        <f>VLOOKUP($K1498,임금대장!$A$6:$AH$86,27,0)</f>
        <v>0</v>
      </c>
      <c r="D1513" s="36"/>
      <c r="E1513" s="44"/>
      <c r="F1513" s="258" t="s">
        <v>100</v>
      </c>
      <c r="G1513" s="259"/>
      <c r="H1513" s="169">
        <f>VLOOKUP($K1498,임금대장!$A$6:$AH$86,31,0)</f>
        <v>0</v>
      </c>
      <c r="I1513" s="36"/>
      <c r="J1513" s="37"/>
    </row>
    <row r="1514" spans="1:10" ht="20.45" customHeight="1" x14ac:dyDescent="0.6">
      <c r="A1514" s="252"/>
      <c r="B1514" s="36" t="s">
        <v>101</v>
      </c>
      <c r="C1514" s="35">
        <f>VLOOKUP($K1498,임금대장!$A$6:$AH$86,28,0)</f>
        <v>0</v>
      </c>
      <c r="D1514" s="36"/>
      <c r="E1514" s="43"/>
      <c r="F1514" s="258" t="s">
        <v>102</v>
      </c>
      <c r="G1514" s="259"/>
      <c r="H1514" s="169">
        <f>VLOOKUP($K1498,임금대장!$A$6:$AH$86,30,0)</f>
        <v>0</v>
      </c>
      <c r="I1514" s="36"/>
      <c r="J1514" s="37"/>
    </row>
    <row r="1515" spans="1:10" ht="20.45" customHeight="1" x14ac:dyDescent="0.6">
      <c r="A1515" s="252"/>
      <c r="B1515" s="36" t="s">
        <v>31</v>
      </c>
      <c r="C1515" s="35">
        <f>VLOOKUP($K1498,임금대장!$A$6:$AH$86,29,0)</f>
        <v>0</v>
      </c>
      <c r="D1515" s="36"/>
      <c r="E1515" s="43"/>
      <c r="F1515" s="45"/>
      <c r="G1515" s="46"/>
      <c r="H1515" s="169"/>
      <c r="I1515" s="67" t="s">
        <v>103</v>
      </c>
      <c r="J1515" s="47">
        <f>SUM(C1511:H1516)</f>
        <v>24230</v>
      </c>
    </row>
    <row r="1516" spans="1:10" ht="20.45" customHeight="1" x14ac:dyDescent="0.6">
      <c r="A1516" s="253"/>
      <c r="B1516" s="40"/>
      <c r="C1516" s="101"/>
      <c r="D1516" s="40"/>
      <c r="E1516" s="48"/>
      <c r="F1516" s="260"/>
      <c r="G1516" s="261"/>
      <c r="H1516" s="170"/>
      <c r="I1516" s="68" t="s">
        <v>104</v>
      </c>
      <c r="J1516" s="49">
        <f>J1510-J1515</f>
        <v>710270</v>
      </c>
    </row>
    <row r="1517" spans="1:10" ht="20.45" customHeight="1" x14ac:dyDescent="0.6">
      <c r="A1517" s="50" t="s">
        <v>105</v>
      </c>
      <c r="J1517" s="51" t="s">
        <v>0</v>
      </c>
    </row>
    <row r="1519" spans="1:10" ht="20.45" customHeight="1" x14ac:dyDescent="0.6">
      <c r="A1519" s="264" t="s">
        <v>399</v>
      </c>
      <c r="B1519" s="264"/>
      <c r="C1519" s="264"/>
      <c r="D1519" s="264"/>
      <c r="E1519" s="264"/>
      <c r="F1519" s="264"/>
      <c r="G1519" s="264"/>
      <c r="H1519" s="264"/>
      <c r="I1519" s="264"/>
      <c r="J1519" s="264"/>
    </row>
    <row r="1520" spans="1:10" ht="20.45" customHeight="1" x14ac:dyDescent="0.6">
      <c r="A1520" s="265" t="s">
        <v>83</v>
      </c>
      <c r="B1520" s="250"/>
      <c r="C1520" s="266"/>
      <c r="D1520" s="265" t="s">
        <v>84</v>
      </c>
      <c r="E1520" s="266"/>
      <c r="F1520" s="265" t="s">
        <v>85</v>
      </c>
      <c r="G1520" s="250"/>
      <c r="H1520" s="266"/>
      <c r="I1520" s="265" t="s">
        <v>86</v>
      </c>
      <c r="J1520" s="266"/>
    </row>
    <row r="1521" spans="1:11" ht="20.45" customHeight="1" x14ac:dyDescent="0.6">
      <c r="A1521" s="265" t="str">
        <f>VLOOKUP(K1521,임금대장!$A$6:$AH$86,3,0)</f>
        <v>파트</v>
      </c>
      <c r="B1521" s="250"/>
      <c r="C1521" s="266"/>
      <c r="D1521" s="267" t="str">
        <f>VLOOKUP(K1521,임금대장!$A$6:$AH$86,2,0)</f>
        <v>이민성</v>
      </c>
      <c r="E1521" s="268"/>
      <c r="F1521" s="267">
        <f>임금대장!$O$3</f>
        <v>31</v>
      </c>
      <c r="G1521" s="269"/>
      <c r="H1521" s="268"/>
      <c r="I1521" s="270">
        <f>VLOOKUP(K1521,임금대장!$A$6:$AH$86,16,0)</f>
        <v>0</v>
      </c>
      <c r="J1521" s="271"/>
      <c r="K1521" s="30">
        <f>K1498+1</f>
        <v>67</v>
      </c>
    </row>
    <row r="1522" spans="1:11" ht="20.45" customHeight="1" x14ac:dyDescent="0.6">
      <c r="A1522" s="265" t="s">
        <v>107</v>
      </c>
      <c r="B1522" s="266"/>
      <c r="C1522" s="272" t="s">
        <v>5</v>
      </c>
      <c r="D1522" s="274"/>
      <c r="E1522" s="275"/>
      <c r="F1522" s="114" t="s">
        <v>108</v>
      </c>
      <c r="G1522" s="278">
        <f>VLOOKUP(K1521,임금대장!$A$6:$AH$86,15,0)</f>
        <v>97.5</v>
      </c>
      <c r="H1522" s="279"/>
      <c r="I1522" s="272" t="s">
        <v>89</v>
      </c>
      <c r="J1522" s="280">
        <f>VLOOKUP(K1521,임금대장!$A$6:$AH$86,17,0)</f>
        <v>0</v>
      </c>
    </row>
    <row r="1523" spans="1:11" ht="20.45" customHeight="1" x14ac:dyDescent="0.6">
      <c r="A1523" s="282">
        <f>C1525/G1522</f>
        <v>13000</v>
      </c>
      <c r="B1523" s="283"/>
      <c r="C1523" s="273"/>
      <c r="D1523" s="276"/>
      <c r="E1523" s="277"/>
      <c r="F1523" s="115" t="s">
        <v>90</v>
      </c>
      <c r="G1523" s="284">
        <f>VLOOKUP(K1521,임금대장!$A$6:$AH$86,16,0)</f>
        <v>0</v>
      </c>
      <c r="H1523" s="285"/>
      <c r="I1523" s="273"/>
      <c r="J1523" s="281"/>
    </row>
    <row r="1524" spans="1:11" ht="20.45" customHeight="1" x14ac:dyDescent="0.6">
      <c r="F1524" s="250"/>
      <c r="G1524" s="250"/>
    </row>
    <row r="1525" spans="1:11" ht="20.45" customHeight="1" x14ac:dyDescent="0.6">
      <c r="A1525" s="251" t="s">
        <v>91</v>
      </c>
      <c r="B1525" s="69" t="s">
        <v>109</v>
      </c>
      <c r="C1525" s="25">
        <f>VLOOKUP($K1521,임금대장!$A$6:$AH$86,9,0)</f>
        <v>1267500</v>
      </c>
      <c r="D1525" s="33" t="s">
        <v>110</v>
      </c>
      <c r="E1525" s="69"/>
      <c r="F1525" s="254"/>
      <c r="G1525" s="255"/>
      <c r="H1525" s="168"/>
      <c r="I1525" s="33"/>
      <c r="J1525" s="34"/>
    </row>
    <row r="1526" spans="1:11" ht="20.45" customHeight="1" x14ac:dyDescent="0.6">
      <c r="A1526" s="252"/>
      <c r="B1526" s="67"/>
      <c r="C1526" s="35"/>
      <c r="D1526" s="36"/>
      <c r="E1526" s="67"/>
      <c r="F1526" s="256"/>
      <c r="G1526" s="257"/>
      <c r="H1526" s="169"/>
      <c r="I1526" s="36"/>
      <c r="J1526" s="37"/>
    </row>
    <row r="1527" spans="1:11" ht="20.45" customHeight="1" x14ac:dyDescent="0.6">
      <c r="A1527" s="252"/>
      <c r="B1527" s="52"/>
      <c r="C1527" s="35"/>
      <c r="D1527" s="36"/>
      <c r="E1527" s="67"/>
      <c r="F1527" s="256"/>
      <c r="G1527" s="257"/>
      <c r="H1527" s="169"/>
      <c r="I1527" s="36"/>
      <c r="J1527" s="37"/>
    </row>
    <row r="1528" spans="1:11" ht="20.45" customHeight="1" x14ac:dyDescent="0.6">
      <c r="A1528" s="252"/>
      <c r="B1528" s="67"/>
      <c r="C1528" s="35"/>
      <c r="D1528" s="36"/>
      <c r="E1528" s="67"/>
      <c r="F1528" s="256"/>
      <c r="G1528" s="257"/>
      <c r="H1528" s="169"/>
      <c r="I1528" s="36"/>
      <c r="J1528" s="37"/>
    </row>
    <row r="1529" spans="1:11" ht="20.45" customHeight="1" x14ac:dyDescent="0.6">
      <c r="A1529" s="252"/>
      <c r="B1529" s="67"/>
      <c r="C1529" s="35"/>
      <c r="D1529" s="36"/>
      <c r="E1529" s="36"/>
      <c r="F1529" s="258"/>
      <c r="G1529" s="259"/>
      <c r="H1529" s="169"/>
      <c r="I1529" s="36"/>
      <c r="J1529" s="37"/>
    </row>
    <row r="1530" spans="1:11" ht="20.45" customHeight="1" x14ac:dyDescent="0.6">
      <c r="A1530" s="252"/>
      <c r="B1530" s="67"/>
      <c r="C1530" s="102"/>
      <c r="D1530" s="36"/>
      <c r="E1530" s="36"/>
      <c r="F1530" s="258"/>
      <c r="G1530" s="259"/>
      <c r="H1530" s="169"/>
      <c r="I1530" s="36"/>
      <c r="J1530" s="37"/>
    </row>
    <row r="1531" spans="1:11" ht="20.45" customHeight="1" x14ac:dyDescent="0.6">
      <c r="A1531" s="252"/>
      <c r="B1531" s="67"/>
      <c r="C1531" s="35"/>
      <c r="D1531" s="36"/>
      <c r="E1531" s="36"/>
      <c r="F1531" s="258"/>
      <c r="G1531" s="259"/>
      <c r="H1531" s="169"/>
      <c r="I1531" s="36"/>
      <c r="J1531" s="37"/>
    </row>
    <row r="1532" spans="1:11" ht="20.45" customHeight="1" x14ac:dyDescent="0.6">
      <c r="A1532" s="252"/>
      <c r="B1532" s="67"/>
      <c r="C1532" s="35"/>
      <c r="D1532" s="36"/>
      <c r="E1532" s="36"/>
      <c r="F1532" s="258"/>
      <c r="G1532" s="259"/>
      <c r="H1532" s="169"/>
      <c r="I1532" s="36"/>
      <c r="J1532" s="37"/>
    </row>
    <row r="1533" spans="1:11" ht="20.45" customHeight="1" x14ac:dyDescent="0.6">
      <c r="A1533" s="253"/>
      <c r="B1533" s="68"/>
      <c r="C1533" s="39"/>
      <c r="D1533" s="40"/>
      <c r="E1533" s="40"/>
      <c r="F1533" s="260"/>
      <c r="G1533" s="261"/>
      <c r="H1533" s="170"/>
      <c r="I1533" s="68" t="s">
        <v>95</v>
      </c>
      <c r="J1533" s="41">
        <f>SUM(C1525:H1531)</f>
        <v>1267500</v>
      </c>
    </row>
    <row r="1534" spans="1:11" ht="20.45" customHeight="1" x14ac:dyDescent="0.6">
      <c r="A1534" s="251" t="s">
        <v>96</v>
      </c>
      <c r="B1534" s="36" t="s">
        <v>97</v>
      </c>
      <c r="C1534" s="35">
        <f>VLOOKUP($K1521,임금대장!$A$6:$AH$86,25,0)</f>
        <v>38020</v>
      </c>
      <c r="D1534" s="33"/>
      <c r="E1534" s="42"/>
      <c r="F1534" s="262" t="s">
        <v>14</v>
      </c>
      <c r="G1534" s="263"/>
      <c r="H1534" s="169">
        <f>VLOOKUP($K1521,임금대장!$A$6:$AH$86,19,0)</f>
        <v>0</v>
      </c>
      <c r="I1534" s="33"/>
      <c r="J1534" s="34"/>
    </row>
    <row r="1535" spans="1:11" ht="20.45" customHeight="1" x14ac:dyDescent="0.6">
      <c r="A1535" s="252"/>
      <c r="B1535" s="36" t="s">
        <v>98</v>
      </c>
      <c r="C1535" s="35">
        <f>VLOOKUP($K1521,임금대장!$A$6:$AH$86,26,0)</f>
        <v>3800</v>
      </c>
      <c r="D1535" s="36"/>
      <c r="E1535" s="43"/>
      <c r="F1535" s="258" t="s">
        <v>12</v>
      </c>
      <c r="G1535" s="259"/>
      <c r="H1535" s="169">
        <f>VLOOKUP($K1521,임금대장!$A$6:$AH$86,17,0)</f>
        <v>0</v>
      </c>
      <c r="I1535" s="36"/>
      <c r="J1535" s="37"/>
    </row>
    <row r="1536" spans="1:11" ht="20.45" customHeight="1" x14ac:dyDescent="0.6">
      <c r="A1536" s="252"/>
      <c r="B1536" s="36" t="s">
        <v>99</v>
      </c>
      <c r="C1536" s="35">
        <f>VLOOKUP($K1521,임금대장!$A$6:$AH$86,27,0)</f>
        <v>0</v>
      </c>
      <c r="D1536" s="36"/>
      <c r="E1536" s="44"/>
      <c r="F1536" s="258" t="s">
        <v>100</v>
      </c>
      <c r="G1536" s="259"/>
      <c r="H1536" s="169">
        <f>VLOOKUP($K1521,임금대장!$A$6:$AH$86,31,0)</f>
        <v>0</v>
      </c>
      <c r="I1536" s="36"/>
      <c r="J1536" s="37"/>
    </row>
    <row r="1537" spans="1:11" ht="20.45" customHeight="1" x14ac:dyDescent="0.6">
      <c r="A1537" s="252"/>
      <c r="B1537" s="36" t="s">
        <v>101</v>
      </c>
      <c r="C1537" s="35">
        <f>VLOOKUP($K1521,임금대장!$A$6:$AH$86,28,0)</f>
        <v>0</v>
      </c>
      <c r="D1537" s="36"/>
      <c r="E1537" s="43"/>
      <c r="F1537" s="258" t="s">
        <v>102</v>
      </c>
      <c r="G1537" s="259"/>
      <c r="H1537" s="169">
        <f>VLOOKUP($K1521,임금대장!$A$6:$AH$86,30,0)</f>
        <v>0</v>
      </c>
      <c r="I1537" s="36"/>
      <c r="J1537" s="37"/>
    </row>
    <row r="1538" spans="1:11" ht="20.45" customHeight="1" x14ac:dyDescent="0.6">
      <c r="A1538" s="252"/>
      <c r="B1538" s="36" t="s">
        <v>31</v>
      </c>
      <c r="C1538" s="35">
        <f>VLOOKUP($K1521,임금대장!$A$6:$AH$86,29,0)</f>
        <v>0</v>
      </c>
      <c r="D1538" s="36"/>
      <c r="E1538" s="43"/>
      <c r="F1538" s="45"/>
      <c r="G1538" s="46"/>
      <c r="H1538" s="169"/>
      <c r="I1538" s="67" t="s">
        <v>103</v>
      </c>
      <c r="J1538" s="47">
        <f>SUM(C1534:H1539)</f>
        <v>41820</v>
      </c>
    </row>
    <row r="1539" spans="1:11" ht="20.45" customHeight="1" x14ac:dyDescent="0.6">
      <c r="A1539" s="253"/>
      <c r="B1539" s="40"/>
      <c r="C1539" s="101"/>
      <c r="D1539" s="40"/>
      <c r="E1539" s="48"/>
      <c r="F1539" s="260"/>
      <c r="G1539" s="261"/>
      <c r="H1539" s="170"/>
      <c r="I1539" s="68" t="s">
        <v>104</v>
      </c>
      <c r="J1539" s="49">
        <f>J1533-J1538</f>
        <v>1225680</v>
      </c>
    </row>
    <row r="1540" spans="1:11" ht="20.45" customHeight="1" x14ac:dyDescent="0.6">
      <c r="A1540" s="50" t="s">
        <v>105</v>
      </c>
      <c r="J1540" s="51" t="s">
        <v>0</v>
      </c>
    </row>
    <row r="1542" spans="1:11" ht="20.45" customHeight="1" x14ac:dyDescent="0.6">
      <c r="A1542" s="264" t="s">
        <v>399</v>
      </c>
      <c r="B1542" s="264"/>
      <c r="C1542" s="264"/>
      <c r="D1542" s="264"/>
      <c r="E1542" s="264"/>
      <c r="F1542" s="264"/>
      <c r="G1542" s="264"/>
      <c r="H1542" s="264"/>
      <c r="I1542" s="264"/>
      <c r="J1542" s="264"/>
    </row>
    <row r="1543" spans="1:11" ht="20.45" customHeight="1" x14ac:dyDescent="0.6">
      <c r="A1543" s="265" t="s">
        <v>83</v>
      </c>
      <c r="B1543" s="250"/>
      <c r="C1543" s="266"/>
      <c r="D1543" s="265" t="s">
        <v>84</v>
      </c>
      <c r="E1543" s="266"/>
      <c r="F1543" s="265" t="s">
        <v>85</v>
      </c>
      <c r="G1543" s="250"/>
      <c r="H1543" s="266"/>
      <c r="I1543" s="265" t="s">
        <v>86</v>
      </c>
      <c r="J1543" s="266"/>
    </row>
    <row r="1544" spans="1:11" ht="20.45" customHeight="1" x14ac:dyDescent="0.6">
      <c r="A1544" s="265" t="str">
        <f>VLOOKUP(K1544,임금대장!$A$6:$AH$86,3,0)</f>
        <v>파트</v>
      </c>
      <c r="B1544" s="250"/>
      <c r="C1544" s="266"/>
      <c r="D1544" s="267" t="str">
        <f>VLOOKUP(K1544,임금대장!$A$6:$AH$86,2,0)</f>
        <v>김소연</v>
      </c>
      <c r="E1544" s="268"/>
      <c r="F1544" s="267">
        <f>임금대장!$O$3</f>
        <v>31</v>
      </c>
      <c r="G1544" s="269"/>
      <c r="H1544" s="268"/>
      <c r="I1544" s="270">
        <f>VLOOKUP(K1544,임금대장!$A$6:$AH$86,16,0)</f>
        <v>0</v>
      </c>
      <c r="J1544" s="271"/>
      <c r="K1544" s="30">
        <f>K1521+1</f>
        <v>68</v>
      </c>
    </row>
    <row r="1545" spans="1:11" ht="20.45" customHeight="1" x14ac:dyDescent="0.6">
      <c r="A1545" s="265" t="s">
        <v>107</v>
      </c>
      <c r="B1545" s="266"/>
      <c r="C1545" s="272" t="s">
        <v>5</v>
      </c>
      <c r="D1545" s="274"/>
      <c r="E1545" s="275"/>
      <c r="F1545" s="114" t="s">
        <v>108</v>
      </c>
      <c r="G1545" s="278">
        <f>VLOOKUP(K1544,임금대장!$A$6:$AH$86,15,0)</f>
        <v>23</v>
      </c>
      <c r="H1545" s="279"/>
      <c r="I1545" s="272" t="s">
        <v>89</v>
      </c>
      <c r="J1545" s="280">
        <f>VLOOKUP(K1544,임금대장!$A$6:$AH$86,17,0)</f>
        <v>0</v>
      </c>
    </row>
    <row r="1546" spans="1:11" ht="20.45" customHeight="1" x14ac:dyDescent="0.6">
      <c r="A1546" s="282">
        <f>C1548/G1545</f>
        <v>13000</v>
      </c>
      <c r="B1546" s="283"/>
      <c r="C1546" s="273"/>
      <c r="D1546" s="276"/>
      <c r="E1546" s="277"/>
      <c r="F1546" s="115" t="s">
        <v>90</v>
      </c>
      <c r="G1546" s="284">
        <f>VLOOKUP(K1544,임금대장!$A$6:$AH$86,16,0)</f>
        <v>0</v>
      </c>
      <c r="H1546" s="285"/>
      <c r="I1546" s="273"/>
      <c r="J1546" s="281"/>
    </row>
    <row r="1547" spans="1:11" ht="20.45" customHeight="1" x14ac:dyDescent="0.6">
      <c r="F1547" s="250"/>
      <c r="G1547" s="250"/>
    </row>
    <row r="1548" spans="1:11" ht="20.45" customHeight="1" x14ac:dyDescent="0.6">
      <c r="A1548" s="251" t="s">
        <v>91</v>
      </c>
      <c r="B1548" s="69" t="s">
        <v>109</v>
      </c>
      <c r="C1548" s="25">
        <f>VLOOKUP($K1544,임금대장!$A$6:$AH$86,9,0)</f>
        <v>299000</v>
      </c>
      <c r="D1548" s="33" t="s">
        <v>110</v>
      </c>
      <c r="E1548" s="69"/>
      <c r="F1548" s="254"/>
      <c r="G1548" s="255"/>
      <c r="H1548" s="168"/>
      <c r="I1548" s="33"/>
      <c r="J1548" s="34"/>
    </row>
    <row r="1549" spans="1:11" ht="20.45" customHeight="1" x14ac:dyDescent="0.6">
      <c r="A1549" s="252"/>
      <c r="B1549" s="67"/>
      <c r="C1549" s="35"/>
      <c r="D1549" s="36"/>
      <c r="E1549" s="67"/>
      <c r="F1549" s="256"/>
      <c r="G1549" s="257"/>
      <c r="H1549" s="169"/>
      <c r="I1549" s="36"/>
      <c r="J1549" s="37"/>
    </row>
    <row r="1550" spans="1:11" ht="20.45" customHeight="1" x14ac:dyDescent="0.6">
      <c r="A1550" s="252"/>
      <c r="B1550" s="52"/>
      <c r="C1550" s="35"/>
      <c r="D1550" s="36"/>
      <c r="E1550" s="67"/>
      <c r="F1550" s="256"/>
      <c r="G1550" s="257"/>
      <c r="H1550" s="169"/>
      <c r="I1550" s="36"/>
      <c r="J1550" s="37"/>
    </row>
    <row r="1551" spans="1:11" ht="20.45" customHeight="1" x14ac:dyDescent="0.6">
      <c r="A1551" s="252"/>
      <c r="B1551" s="67"/>
      <c r="C1551" s="35"/>
      <c r="D1551" s="36"/>
      <c r="E1551" s="67"/>
      <c r="F1551" s="256"/>
      <c r="G1551" s="257"/>
      <c r="H1551" s="169"/>
      <c r="I1551" s="36"/>
      <c r="J1551" s="37"/>
    </row>
    <row r="1552" spans="1:11" ht="20.45" customHeight="1" x14ac:dyDescent="0.6">
      <c r="A1552" s="252"/>
      <c r="B1552" s="67"/>
      <c r="C1552" s="35"/>
      <c r="D1552" s="36"/>
      <c r="E1552" s="36"/>
      <c r="F1552" s="258"/>
      <c r="G1552" s="259"/>
      <c r="H1552" s="169"/>
      <c r="I1552" s="36"/>
      <c r="J1552" s="37"/>
    </row>
    <row r="1553" spans="1:11" ht="20.45" customHeight="1" x14ac:dyDescent="0.6">
      <c r="A1553" s="252"/>
      <c r="B1553" s="67"/>
      <c r="C1553" s="102"/>
      <c r="D1553" s="36"/>
      <c r="E1553" s="36"/>
      <c r="F1553" s="258"/>
      <c r="G1553" s="259"/>
      <c r="H1553" s="169"/>
      <c r="I1553" s="36"/>
      <c r="J1553" s="37"/>
    </row>
    <row r="1554" spans="1:11" ht="20.45" customHeight="1" x14ac:dyDescent="0.6">
      <c r="A1554" s="252"/>
      <c r="B1554" s="67"/>
      <c r="C1554" s="35"/>
      <c r="D1554" s="36"/>
      <c r="E1554" s="36"/>
      <c r="F1554" s="258"/>
      <c r="G1554" s="259"/>
      <c r="H1554" s="169"/>
      <c r="I1554" s="36"/>
      <c r="J1554" s="37"/>
    </row>
    <row r="1555" spans="1:11" ht="20.45" customHeight="1" x14ac:dyDescent="0.6">
      <c r="A1555" s="252"/>
      <c r="B1555" s="67"/>
      <c r="C1555" s="35"/>
      <c r="D1555" s="36"/>
      <c r="E1555" s="36"/>
      <c r="F1555" s="258"/>
      <c r="G1555" s="259"/>
      <c r="H1555" s="169"/>
      <c r="I1555" s="36"/>
      <c r="J1555" s="37"/>
    </row>
    <row r="1556" spans="1:11" ht="20.45" customHeight="1" x14ac:dyDescent="0.6">
      <c r="A1556" s="253"/>
      <c r="B1556" s="68"/>
      <c r="C1556" s="39"/>
      <c r="D1556" s="40"/>
      <c r="E1556" s="40"/>
      <c r="F1556" s="260"/>
      <c r="G1556" s="261"/>
      <c r="H1556" s="170"/>
      <c r="I1556" s="68" t="s">
        <v>95</v>
      </c>
      <c r="J1556" s="41">
        <f>SUM(C1548:H1554)</f>
        <v>299000</v>
      </c>
    </row>
    <row r="1557" spans="1:11" ht="20.45" customHeight="1" x14ac:dyDescent="0.6">
      <c r="A1557" s="251" t="s">
        <v>96</v>
      </c>
      <c r="B1557" s="36" t="s">
        <v>97</v>
      </c>
      <c r="C1557" s="35">
        <f>VLOOKUP($K1544,임금대장!$A$6:$AH$86,25,0)</f>
        <v>8970</v>
      </c>
      <c r="D1557" s="33"/>
      <c r="E1557" s="42"/>
      <c r="F1557" s="262" t="s">
        <v>14</v>
      </c>
      <c r="G1557" s="263"/>
      <c r="H1557" s="169">
        <f>VLOOKUP($K1544,임금대장!$A$6:$AH$86,19,0)</f>
        <v>0</v>
      </c>
      <c r="I1557" s="33"/>
      <c r="J1557" s="34"/>
    </row>
    <row r="1558" spans="1:11" ht="20.45" customHeight="1" x14ac:dyDescent="0.6">
      <c r="A1558" s="252"/>
      <c r="B1558" s="36" t="s">
        <v>98</v>
      </c>
      <c r="C1558" s="35">
        <f>VLOOKUP($K1544,임금대장!$A$6:$AH$86,26,0)</f>
        <v>890</v>
      </c>
      <c r="D1558" s="36"/>
      <c r="E1558" s="43"/>
      <c r="F1558" s="258" t="s">
        <v>12</v>
      </c>
      <c r="G1558" s="259"/>
      <c r="H1558" s="169">
        <f>VLOOKUP($K1544,임금대장!$A$6:$AH$86,17,0)</f>
        <v>0</v>
      </c>
      <c r="I1558" s="36"/>
      <c r="J1558" s="37"/>
    </row>
    <row r="1559" spans="1:11" ht="20.45" customHeight="1" x14ac:dyDescent="0.6">
      <c r="A1559" s="252"/>
      <c r="B1559" s="36" t="s">
        <v>99</v>
      </c>
      <c r="C1559" s="35">
        <f>VLOOKUP($K1544,임금대장!$A$6:$AH$86,27,0)</f>
        <v>0</v>
      </c>
      <c r="D1559" s="36"/>
      <c r="E1559" s="44"/>
      <c r="F1559" s="258" t="s">
        <v>100</v>
      </c>
      <c r="G1559" s="259"/>
      <c r="H1559" s="169">
        <f>VLOOKUP($K1544,임금대장!$A$6:$AH$86,31,0)</f>
        <v>0</v>
      </c>
      <c r="I1559" s="36"/>
      <c r="J1559" s="37"/>
    </row>
    <row r="1560" spans="1:11" ht="20.45" customHeight="1" x14ac:dyDescent="0.6">
      <c r="A1560" s="252"/>
      <c r="B1560" s="36" t="s">
        <v>101</v>
      </c>
      <c r="C1560" s="35">
        <f>VLOOKUP($K1544,임금대장!$A$6:$AH$86,28,0)</f>
        <v>0</v>
      </c>
      <c r="D1560" s="36"/>
      <c r="E1560" s="43"/>
      <c r="F1560" s="258" t="s">
        <v>102</v>
      </c>
      <c r="G1560" s="259"/>
      <c r="H1560" s="169">
        <f>VLOOKUP($K1544,임금대장!$A$6:$AH$86,30,0)</f>
        <v>0</v>
      </c>
      <c r="I1560" s="36"/>
      <c r="J1560" s="37"/>
    </row>
    <row r="1561" spans="1:11" ht="20.45" customHeight="1" x14ac:dyDescent="0.6">
      <c r="A1561" s="252"/>
      <c r="B1561" s="36" t="s">
        <v>31</v>
      </c>
      <c r="C1561" s="35">
        <f>VLOOKUP($K1544,임금대장!$A$6:$AH$86,29,0)</f>
        <v>0</v>
      </c>
      <c r="D1561" s="36"/>
      <c r="E1561" s="43"/>
      <c r="F1561" s="45"/>
      <c r="G1561" s="46"/>
      <c r="H1561" s="169"/>
      <c r="I1561" s="67" t="s">
        <v>103</v>
      </c>
      <c r="J1561" s="47">
        <f>SUM(C1557:H1562)</f>
        <v>9860</v>
      </c>
    </row>
    <row r="1562" spans="1:11" ht="20.45" customHeight="1" x14ac:dyDescent="0.6">
      <c r="A1562" s="253"/>
      <c r="B1562" s="40"/>
      <c r="C1562" s="101"/>
      <c r="D1562" s="40"/>
      <c r="E1562" s="48"/>
      <c r="F1562" s="260"/>
      <c r="G1562" s="261"/>
      <c r="H1562" s="170"/>
      <c r="I1562" s="68" t="s">
        <v>104</v>
      </c>
      <c r="J1562" s="49">
        <f>J1556-J1561</f>
        <v>289140</v>
      </c>
    </row>
    <row r="1563" spans="1:11" ht="20.45" customHeight="1" x14ac:dyDescent="0.6">
      <c r="A1563" s="50" t="s">
        <v>105</v>
      </c>
      <c r="J1563" s="51" t="s">
        <v>0</v>
      </c>
    </row>
    <row r="1565" spans="1:11" ht="20.45" customHeight="1" x14ac:dyDescent="0.6">
      <c r="A1565" s="264" t="s">
        <v>399</v>
      </c>
      <c r="B1565" s="264"/>
      <c r="C1565" s="264"/>
      <c r="D1565" s="264"/>
      <c r="E1565" s="264"/>
      <c r="F1565" s="264"/>
      <c r="G1565" s="264"/>
      <c r="H1565" s="264"/>
      <c r="I1565" s="264"/>
      <c r="J1565" s="264"/>
    </row>
    <row r="1566" spans="1:11" ht="20.45" customHeight="1" x14ac:dyDescent="0.6">
      <c r="A1566" s="265" t="s">
        <v>83</v>
      </c>
      <c r="B1566" s="250"/>
      <c r="C1566" s="266"/>
      <c r="D1566" s="265" t="s">
        <v>84</v>
      </c>
      <c r="E1566" s="266"/>
      <c r="F1566" s="265" t="s">
        <v>85</v>
      </c>
      <c r="G1566" s="250"/>
      <c r="H1566" s="266"/>
      <c r="I1566" s="265" t="s">
        <v>86</v>
      </c>
      <c r="J1566" s="266"/>
    </row>
    <row r="1567" spans="1:11" ht="20.45" customHeight="1" x14ac:dyDescent="0.6">
      <c r="A1567" s="265" t="str">
        <f>VLOOKUP(K1567,임금대장!$A$6:$AH$86,3,0)</f>
        <v>파트</v>
      </c>
      <c r="B1567" s="250"/>
      <c r="C1567" s="266"/>
      <c r="D1567" s="267" t="str">
        <f>VLOOKUP(K1567,임금대장!$A$6:$AH$86,2,0)</f>
        <v>최지훈</v>
      </c>
      <c r="E1567" s="268"/>
      <c r="F1567" s="267">
        <f>임금대장!$O$3</f>
        <v>31</v>
      </c>
      <c r="G1567" s="269"/>
      <c r="H1567" s="268"/>
      <c r="I1567" s="270">
        <f>VLOOKUP(K1567,임금대장!$A$6:$AH$86,16,0)</f>
        <v>0</v>
      </c>
      <c r="J1567" s="271"/>
      <c r="K1567" s="30">
        <f>K1544+1</f>
        <v>69</v>
      </c>
    </row>
    <row r="1568" spans="1:11" ht="20.45" customHeight="1" x14ac:dyDescent="0.6">
      <c r="A1568" s="265" t="s">
        <v>107</v>
      </c>
      <c r="B1568" s="266"/>
      <c r="C1568" s="272" t="s">
        <v>5</v>
      </c>
      <c r="D1568" s="274"/>
      <c r="E1568" s="275"/>
      <c r="F1568" s="114" t="s">
        <v>108</v>
      </c>
      <c r="G1568" s="278">
        <f>VLOOKUP(K1567,임금대장!$A$6:$AH$86,15,0)</f>
        <v>109.5</v>
      </c>
      <c r="H1568" s="279"/>
      <c r="I1568" s="272" t="s">
        <v>89</v>
      </c>
      <c r="J1568" s="280">
        <f>VLOOKUP(K1567,임금대장!$A$6:$AH$86,17,0)</f>
        <v>0</v>
      </c>
    </row>
    <row r="1569" spans="1:10" ht="20.45" customHeight="1" x14ac:dyDescent="0.6">
      <c r="A1569" s="282">
        <f>C1571/G1568</f>
        <v>13000</v>
      </c>
      <c r="B1569" s="283"/>
      <c r="C1569" s="273"/>
      <c r="D1569" s="276"/>
      <c r="E1569" s="277"/>
      <c r="F1569" s="115" t="s">
        <v>90</v>
      </c>
      <c r="G1569" s="284">
        <f>VLOOKUP(K1567,임금대장!$A$6:$AH$86,16,0)</f>
        <v>0</v>
      </c>
      <c r="H1569" s="285"/>
      <c r="I1569" s="273"/>
      <c r="J1569" s="281"/>
    </row>
    <row r="1570" spans="1:10" ht="20.45" customHeight="1" x14ac:dyDescent="0.6">
      <c r="F1570" s="250"/>
      <c r="G1570" s="250"/>
    </row>
    <row r="1571" spans="1:10" ht="20.45" customHeight="1" x14ac:dyDescent="0.6">
      <c r="A1571" s="251" t="s">
        <v>91</v>
      </c>
      <c r="B1571" s="69" t="s">
        <v>109</v>
      </c>
      <c r="C1571" s="25">
        <f>VLOOKUP($K1567,임금대장!$A$6:$AH$86,9,0)</f>
        <v>1423500</v>
      </c>
      <c r="D1571" s="33" t="s">
        <v>110</v>
      </c>
      <c r="E1571" s="69"/>
      <c r="F1571" s="254"/>
      <c r="G1571" s="255"/>
      <c r="H1571" s="168"/>
      <c r="I1571" s="33"/>
      <c r="J1571" s="34"/>
    </row>
    <row r="1572" spans="1:10" ht="20.45" customHeight="1" x14ac:dyDescent="0.6">
      <c r="A1572" s="252"/>
      <c r="B1572" s="67"/>
      <c r="C1572" s="35"/>
      <c r="D1572" s="36"/>
      <c r="E1572" s="67"/>
      <c r="F1572" s="256"/>
      <c r="G1572" s="257"/>
      <c r="H1572" s="169"/>
      <c r="I1572" s="36"/>
      <c r="J1572" s="37"/>
    </row>
    <row r="1573" spans="1:10" ht="20.45" customHeight="1" x14ac:dyDescent="0.6">
      <c r="A1573" s="252"/>
      <c r="B1573" s="52"/>
      <c r="C1573" s="35"/>
      <c r="D1573" s="36"/>
      <c r="E1573" s="67"/>
      <c r="F1573" s="256"/>
      <c r="G1573" s="257"/>
      <c r="H1573" s="169"/>
      <c r="I1573" s="36"/>
      <c r="J1573" s="37"/>
    </row>
    <row r="1574" spans="1:10" ht="20.45" customHeight="1" x14ac:dyDescent="0.6">
      <c r="A1574" s="252"/>
      <c r="B1574" s="67"/>
      <c r="C1574" s="35"/>
      <c r="D1574" s="36"/>
      <c r="E1574" s="67"/>
      <c r="F1574" s="256"/>
      <c r="G1574" s="257"/>
      <c r="H1574" s="169"/>
      <c r="I1574" s="36"/>
      <c r="J1574" s="37"/>
    </row>
    <row r="1575" spans="1:10" ht="20.45" customHeight="1" x14ac:dyDescent="0.6">
      <c r="A1575" s="252"/>
      <c r="B1575" s="67"/>
      <c r="C1575" s="35"/>
      <c r="D1575" s="36"/>
      <c r="E1575" s="36"/>
      <c r="F1575" s="258"/>
      <c r="G1575" s="259"/>
      <c r="H1575" s="169"/>
      <c r="I1575" s="36"/>
      <c r="J1575" s="37"/>
    </row>
    <row r="1576" spans="1:10" ht="20.45" customHeight="1" x14ac:dyDescent="0.6">
      <c r="A1576" s="252"/>
      <c r="B1576" s="67"/>
      <c r="C1576" s="102"/>
      <c r="D1576" s="36"/>
      <c r="E1576" s="36"/>
      <c r="F1576" s="258"/>
      <c r="G1576" s="259"/>
      <c r="H1576" s="169"/>
      <c r="I1576" s="36"/>
      <c r="J1576" s="37"/>
    </row>
    <row r="1577" spans="1:10" ht="20.45" customHeight="1" x14ac:dyDescent="0.6">
      <c r="A1577" s="252"/>
      <c r="B1577" s="67"/>
      <c r="C1577" s="35"/>
      <c r="D1577" s="36"/>
      <c r="E1577" s="36"/>
      <c r="F1577" s="258"/>
      <c r="G1577" s="259"/>
      <c r="H1577" s="169"/>
      <c r="I1577" s="36"/>
      <c r="J1577" s="37"/>
    </row>
    <row r="1578" spans="1:10" ht="20.45" customHeight="1" x14ac:dyDescent="0.6">
      <c r="A1578" s="252"/>
      <c r="B1578" s="67"/>
      <c r="C1578" s="35"/>
      <c r="D1578" s="36"/>
      <c r="E1578" s="36"/>
      <c r="F1578" s="258"/>
      <c r="G1578" s="259"/>
      <c r="H1578" s="169"/>
      <c r="I1578" s="36"/>
      <c r="J1578" s="37"/>
    </row>
    <row r="1579" spans="1:10" ht="20.45" customHeight="1" x14ac:dyDescent="0.6">
      <c r="A1579" s="253"/>
      <c r="B1579" s="68"/>
      <c r="C1579" s="39"/>
      <c r="D1579" s="40"/>
      <c r="E1579" s="40"/>
      <c r="F1579" s="260"/>
      <c r="G1579" s="261"/>
      <c r="H1579" s="170"/>
      <c r="I1579" s="68" t="s">
        <v>95</v>
      </c>
      <c r="J1579" s="41">
        <f>SUM(C1571:H1577)</f>
        <v>1423500</v>
      </c>
    </row>
    <row r="1580" spans="1:10" ht="20.45" customHeight="1" x14ac:dyDescent="0.6">
      <c r="A1580" s="251" t="s">
        <v>96</v>
      </c>
      <c r="B1580" s="36" t="s">
        <v>97</v>
      </c>
      <c r="C1580" s="35">
        <f>VLOOKUP($K1567,임금대장!$A$6:$AH$86,25,0)</f>
        <v>42700</v>
      </c>
      <c r="D1580" s="33"/>
      <c r="E1580" s="42"/>
      <c r="F1580" s="262" t="s">
        <v>14</v>
      </c>
      <c r="G1580" s="263"/>
      <c r="H1580" s="169">
        <f>VLOOKUP($K1567,임금대장!$A$6:$AH$86,19,0)</f>
        <v>0</v>
      </c>
      <c r="I1580" s="33"/>
      <c r="J1580" s="34"/>
    </row>
    <row r="1581" spans="1:10" ht="20.45" customHeight="1" x14ac:dyDescent="0.6">
      <c r="A1581" s="252"/>
      <c r="B1581" s="36" t="s">
        <v>98</v>
      </c>
      <c r="C1581" s="35">
        <f>VLOOKUP($K1567,임금대장!$A$6:$AH$86,26,0)</f>
        <v>4270</v>
      </c>
      <c r="D1581" s="36"/>
      <c r="E1581" s="43"/>
      <c r="F1581" s="258" t="s">
        <v>12</v>
      </c>
      <c r="G1581" s="259"/>
      <c r="H1581" s="169">
        <f>VLOOKUP($K1567,임금대장!$A$6:$AH$86,17,0)</f>
        <v>0</v>
      </c>
      <c r="I1581" s="36"/>
      <c r="J1581" s="37"/>
    </row>
    <row r="1582" spans="1:10" ht="20.45" customHeight="1" x14ac:dyDescent="0.6">
      <c r="A1582" s="252"/>
      <c r="B1582" s="36" t="s">
        <v>99</v>
      </c>
      <c r="C1582" s="35">
        <f>VLOOKUP($K1567,임금대장!$A$6:$AH$86,27,0)</f>
        <v>0</v>
      </c>
      <c r="D1582" s="36"/>
      <c r="E1582" s="44"/>
      <c r="F1582" s="258" t="s">
        <v>100</v>
      </c>
      <c r="G1582" s="259"/>
      <c r="H1582" s="169">
        <f>VLOOKUP($K1567,임금대장!$A$6:$AH$86,31,0)</f>
        <v>0</v>
      </c>
      <c r="I1582" s="36"/>
      <c r="J1582" s="37"/>
    </row>
    <row r="1583" spans="1:10" ht="20.45" customHeight="1" x14ac:dyDescent="0.6">
      <c r="A1583" s="252"/>
      <c r="B1583" s="36" t="s">
        <v>101</v>
      </c>
      <c r="C1583" s="35">
        <f>VLOOKUP($K1567,임금대장!$A$6:$AH$86,28,0)</f>
        <v>0</v>
      </c>
      <c r="D1583" s="36"/>
      <c r="E1583" s="43"/>
      <c r="F1583" s="258" t="s">
        <v>102</v>
      </c>
      <c r="G1583" s="259"/>
      <c r="H1583" s="169">
        <f>VLOOKUP($K1567,임금대장!$A$6:$AH$86,30,0)</f>
        <v>0</v>
      </c>
      <c r="I1583" s="36"/>
      <c r="J1583" s="37"/>
    </row>
    <row r="1584" spans="1:10" ht="20.45" customHeight="1" x14ac:dyDescent="0.6">
      <c r="A1584" s="252"/>
      <c r="B1584" s="36" t="s">
        <v>31</v>
      </c>
      <c r="C1584" s="35">
        <f>VLOOKUP($K1567,임금대장!$A$6:$AH$86,29,0)</f>
        <v>0</v>
      </c>
      <c r="D1584" s="36"/>
      <c r="E1584" s="43"/>
      <c r="F1584" s="45"/>
      <c r="G1584" s="46"/>
      <c r="H1584" s="169"/>
      <c r="I1584" s="67" t="s">
        <v>103</v>
      </c>
      <c r="J1584" s="47">
        <f>SUM(C1580:H1585)</f>
        <v>46970</v>
      </c>
    </row>
    <row r="1585" spans="1:11" ht="20.45" customHeight="1" x14ac:dyDescent="0.6">
      <c r="A1585" s="253"/>
      <c r="B1585" s="40"/>
      <c r="C1585" s="101"/>
      <c r="D1585" s="40"/>
      <c r="E1585" s="48"/>
      <c r="F1585" s="260"/>
      <c r="G1585" s="261"/>
      <c r="H1585" s="170"/>
      <c r="I1585" s="68" t="s">
        <v>104</v>
      </c>
      <c r="J1585" s="49">
        <f>J1579-J1584</f>
        <v>1376530</v>
      </c>
    </row>
    <row r="1586" spans="1:11" ht="20.45" customHeight="1" x14ac:dyDescent="0.6">
      <c r="A1586" s="50" t="s">
        <v>105</v>
      </c>
      <c r="J1586" s="51" t="s">
        <v>0</v>
      </c>
    </row>
    <row r="1588" spans="1:11" ht="20.45" customHeight="1" x14ac:dyDescent="0.6">
      <c r="A1588" s="264" t="s">
        <v>399</v>
      </c>
      <c r="B1588" s="264"/>
      <c r="C1588" s="264"/>
      <c r="D1588" s="264"/>
      <c r="E1588" s="264"/>
      <c r="F1588" s="264"/>
      <c r="G1588" s="264"/>
      <c r="H1588" s="264"/>
      <c r="I1588" s="264"/>
      <c r="J1588" s="264"/>
    </row>
    <row r="1589" spans="1:11" ht="20.45" customHeight="1" x14ac:dyDescent="0.6">
      <c r="A1589" s="265" t="s">
        <v>83</v>
      </c>
      <c r="B1589" s="250"/>
      <c r="C1589" s="266"/>
      <c r="D1589" s="265" t="s">
        <v>84</v>
      </c>
      <c r="E1589" s="266"/>
      <c r="F1589" s="265" t="s">
        <v>85</v>
      </c>
      <c r="G1589" s="250"/>
      <c r="H1589" s="266"/>
      <c r="I1589" s="265" t="s">
        <v>86</v>
      </c>
      <c r="J1589" s="266"/>
    </row>
    <row r="1590" spans="1:11" ht="20.45" customHeight="1" x14ac:dyDescent="0.6">
      <c r="A1590" s="265" t="str">
        <f>VLOOKUP(K1590,임금대장!$A$6:$AH$86,3,0)</f>
        <v>파트</v>
      </c>
      <c r="B1590" s="250"/>
      <c r="C1590" s="266"/>
      <c r="D1590" s="267" t="str">
        <f>VLOOKUP(K1590,임금대장!$A$6:$AH$86,2,0)</f>
        <v>함석형</v>
      </c>
      <c r="E1590" s="268"/>
      <c r="F1590" s="267">
        <f>임금대장!$O$3</f>
        <v>31</v>
      </c>
      <c r="G1590" s="269"/>
      <c r="H1590" s="268"/>
      <c r="I1590" s="270">
        <f>VLOOKUP(K1590,임금대장!$A$6:$AH$86,16,0)</f>
        <v>0</v>
      </c>
      <c r="J1590" s="271"/>
      <c r="K1590" s="30">
        <f>K1567+1</f>
        <v>70</v>
      </c>
    </row>
    <row r="1591" spans="1:11" ht="20.45" customHeight="1" x14ac:dyDescent="0.6">
      <c r="A1591" s="265" t="s">
        <v>107</v>
      </c>
      <c r="B1591" s="266"/>
      <c r="C1591" s="272" t="s">
        <v>5</v>
      </c>
      <c r="D1591" s="274"/>
      <c r="E1591" s="275"/>
      <c r="F1591" s="114" t="s">
        <v>108</v>
      </c>
      <c r="G1591" s="278">
        <f>VLOOKUP(K1590,임금대장!$A$6:$AH$86,15,0)</f>
        <v>114.5</v>
      </c>
      <c r="H1591" s="279"/>
      <c r="I1591" s="272" t="s">
        <v>89</v>
      </c>
      <c r="J1591" s="280">
        <f>VLOOKUP(K1590,임금대장!$A$6:$AH$86,17,0)</f>
        <v>0</v>
      </c>
    </row>
    <row r="1592" spans="1:11" ht="20.45" customHeight="1" x14ac:dyDescent="0.6">
      <c r="A1592" s="282">
        <f>C1594/G1591</f>
        <v>13000</v>
      </c>
      <c r="B1592" s="283"/>
      <c r="C1592" s="273"/>
      <c r="D1592" s="276"/>
      <c r="E1592" s="277"/>
      <c r="F1592" s="115" t="s">
        <v>90</v>
      </c>
      <c r="G1592" s="284">
        <f>VLOOKUP(K1590,임금대장!$A$6:$AH$86,16,0)</f>
        <v>0</v>
      </c>
      <c r="H1592" s="285"/>
      <c r="I1592" s="273"/>
      <c r="J1592" s="281"/>
    </row>
    <row r="1593" spans="1:11" ht="20.45" customHeight="1" x14ac:dyDescent="0.6">
      <c r="F1593" s="250"/>
      <c r="G1593" s="250"/>
    </row>
    <row r="1594" spans="1:11" ht="20.45" customHeight="1" x14ac:dyDescent="0.6">
      <c r="A1594" s="251" t="s">
        <v>91</v>
      </c>
      <c r="B1594" s="69" t="s">
        <v>109</v>
      </c>
      <c r="C1594" s="25">
        <f>VLOOKUP($K1590,임금대장!$A$6:$AH$86,9,0)</f>
        <v>1488500</v>
      </c>
      <c r="D1594" s="33" t="s">
        <v>110</v>
      </c>
      <c r="E1594" s="69"/>
      <c r="F1594" s="254"/>
      <c r="G1594" s="255"/>
      <c r="H1594" s="168"/>
      <c r="I1594" s="33"/>
      <c r="J1594" s="34"/>
    </row>
    <row r="1595" spans="1:11" ht="20.45" customHeight="1" x14ac:dyDescent="0.6">
      <c r="A1595" s="252"/>
      <c r="B1595" s="67"/>
      <c r="C1595" s="35"/>
      <c r="D1595" s="36"/>
      <c r="E1595" s="67"/>
      <c r="F1595" s="256"/>
      <c r="G1595" s="257"/>
      <c r="H1595" s="169"/>
      <c r="I1595" s="36"/>
      <c r="J1595" s="37"/>
    </row>
    <row r="1596" spans="1:11" ht="20.45" customHeight="1" x14ac:dyDescent="0.6">
      <c r="A1596" s="252"/>
      <c r="B1596" s="52"/>
      <c r="C1596" s="35"/>
      <c r="D1596" s="36"/>
      <c r="E1596" s="67"/>
      <c r="F1596" s="256"/>
      <c r="G1596" s="257"/>
      <c r="H1596" s="169"/>
      <c r="I1596" s="36"/>
      <c r="J1596" s="37"/>
    </row>
    <row r="1597" spans="1:11" ht="20.45" customHeight="1" x14ac:dyDescent="0.6">
      <c r="A1597" s="252"/>
      <c r="B1597" s="67"/>
      <c r="C1597" s="35"/>
      <c r="D1597" s="36"/>
      <c r="E1597" s="67"/>
      <c r="F1597" s="256"/>
      <c r="G1597" s="257"/>
      <c r="H1597" s="169"/>
      <c r="I1597" s="36"/>
      <c r="J1597" s="37"/>
    </row>
    <row r="1598" spans="1:11" ht="20.45" customHeight="1" x14ac:dyDescent="0.6">
      <c r="A1598" s="252"/>
      <c r="B1598" s="67"/>
      <c r="C1598" s="35"/>
      <c r="D1598" s="36"/>
      <c r="E1598" s="36"/>
      <c r="F1598" s="258"/>
      <c r="G1598" s="259"/>
      <c r="H1598" s="169"/>
      <c r="I1598" s="36"/>
      <c r="J1598" s="37"/>
    </row>
    <row r="1599" spans="1:11" ht="20.45" customHeight="1" x14ac:dyDescent="0.6">
      <c r="A1599" s="252"/>
      <c r="B1599" s="67"/>
      <c r="C1599" s="102"/>
      <c r="D1599" s="36"/>
      <c r="E1599" s="36"/>
      <c r="F1599" s="258"/>
      <c r="G1599" s="259"/>
      <c r="H1599" s="169"/>
      <c r="I1599" s="36"/>
      <c r="J1599" s="37"/>
    </row>
    <row r="1600" spans="1:11" ht="20.45" customHeight="1" x14ac:dyDescent="0.6">
      <c r="A1600" s="252"/>
      <c r="B1600" s="67"/>
      <c r="C1600" s="35"/>
      <c r="D1600" s="36"/>
      <c r="E1600" s="36"/>
      <c r="F1600" s="258"/>
      <c r="G1600" s="259"/>
      <c r="H1600" s="169"/>
      <c r="I1600" s="36"/>
      <c r="J1600" s="37"/>
    </row>
    <row r="1601" spans="1:11" ht="20.45" customHeight="1" x14ac:dyDescent="0.6">
      <c r="A1601" s="252"/>
      <c r="B1601" s="67"/>
      <c r="C1601" s="35"/>
      <c r="D1601" s="36"/>
      <c r="E1601" s="36"/>
      <c r="F1601" s="258"/>
      <c r="G1601" s="259"/>
      <c r="H1601" s="169"/>
      <c r="I1601" s="36"/>
      <c r="J1601" s="37"/>
    </row>
    <row r="1602" spans="1:11" ht="20.45" customHeight="1" x14ac:dyDescent="0.6">
      <c r="A1602" s="253"/>
      <c r="B1602" s="68"/>
      <c r="C1602" s="39"/>
      <c r="D1602" s="40"/>
      <c r="E1602" s="40"/>
      <c r="F1602" s="260"/>
      <c r="G1602" s="261"/>
      <c r="H1602" s="170"/>
      <c r="I1602" s="68" t="s">
        <v>95</v>
      </c>
      <c r="J1602" s="41">
        <f>SUM(C1594:H1600)</f>
        <v>1488500</v>
      </c>
    </row>
    <row r="1603" spans="1:11" ht="20.45" customHeight="1" x14ac:dyDescent="0.6">
      <c r="A1603" s="251" t="s">
        <v>96</v>
      </c>
      <c r="B1603" s="36" t="s">
        <v>97</v>
      </c>
      <c r="C1603" s="35">
        <f>VLOOKUP($K1590,임금대장!$A$6:$AH$86,25,0)</f>
        <v>44650</v>
      </c>
      <c r="D1603" s="33"/>
      <c r="E1603" s="42"/>
      <c r="F1603" s="262" t="s">
        <v>14</v>
      </c>
      <c r="G1603" s="263"/>
      <c r="H1603" s="169">
        <f>VLOOKUP($K1590,임금대장!$A$6:$AH$86,19,0)</f>
        <v>0</v>
      </c>
      <c r="I1603" s="33"/>
      <c r="J1603" s="34"/>
    </row>
    <row r="1604" spans="1:11" ht="20.45" customHeight="1" x14ac:dyDescent="0.6">
      <c r="A1604" s="252"/>
      <c r="B1604" s="36" t="s">
        <v>98</v>
      </c>
      <c r="C1604" s="35">
        <f>VLOOKUP($K1590,임금대장!$A$6:$AH$86,26,0)</f>
        <v>4460</v>
      </c>
      <c r="D1604" s="36"/>
      <c r="E1604" s="43"/>
      <c r="F1604" s="258" t="s">
        <v>12</v>
      </c>
      <c r="G1604" s="259"/>
      <c r="H1604" s="169">
        <f>VLOOKUP($K1590,임금대장!$A$6:$AH$86,17,0)</f>
        <v>0</v>
      </c>
      <c r="I1604" s="36"/>
      <c r="J1604" s="37"/>
    </row>
    <row r="1605" spans="1:11" ht="20.45" customHeight="1" x14ac:dyDescent="0.6">
      <c r="A1605" s="252"/>
      <c r="B1605" s="36" t="s">
        <v>99</v>
      </c>
      <c r="C1605" s="35">
        <f>VLOOKUP($K1590,임금대장!$A$6:$AH$86,27,0)</f>
        <v>0</v>
      </c>
      <c r="D1605" s="36"/>
      <c r="E1605" s="44"/>
      <c r="F1605" s="258" t="s">
        <v>100</v>
      </c>
      <c r="G1605" s="259"/>
      <c r="H1605" s="169">
        <f>VLOOKUP($K1590,임금대장!$A$6:$AH$86,31,0)</f>
        <v>0</v>
      </c>
      <c r="I1605" s="36"/>
      <c r="J1605" s="37"/>
    </row>
    <row r="1606" spans="1:11" ht="20.45" customHeight="1" x14ac:dyDescent="0.6">
      <c r="A1606" s="252"/>
      <c r="B1606" s="36" t="s">
        <v>101</v>
      </c>
      <c r="C1606" s="35">
        <f>VLOOKUP($K1590,임금대장!$A$6:$AH$86,28,0)</f>
        <v>0</v>
      </c>
      <c r="D1606" s="36"/>
      <c r="E1606" s="43"/>
      <c r="F1606" s="258" t="s">
        <v>102</v>
      </c>
      <c r="G1606" s="259"/>
      <c r="H1606" s="169">
        <f>VLOOKUP($K1590,임금대장!$A$6:$AH$86,30,0)</f>
        <v>0</v>
      </c>
      <c r="I1606" s="36"/>
      <c r="J1606" s="37"/>
    </row>
    <row r="1607" spans="1:11" ht="20.45" customHeight="1" x14ac:dyDescent="0.6">
      <c r="A1607" s="252"/>
      <c r="B1607" s="36" t="s">
        <v>31</v>
      </c>
      <c r="C1607" s="35">
        <f>VLOOKUP($K1590,임금대장!$A$6:$AH$86,29,0)</f>
        <v>0</v>
      </c>
      <c r="D1607" s="36"/>
      <c r="E1607" s="43"/>
      <c r="F1607" s="45"/>
      <c r="G1607" s="46"/>
      <c r="H1607" s="169"/>
      <c r="I1607" s="67" t="s">
        <v>103</v>
      </c>
      <c r="J1607" s="47">
        <f>SUM(C1603:H1608)</f>
        <v>49110</v>
      </c>
    </row>
    <row r="1608" spans="1:11" ht="20.45" customHeight="1" x14ac:dyDescent="0.6">
      <c r="A1608" s="253"/>
      <c r="B1608" s="40"/>
      <c r="C1608" s="101"/>
      <c r="D1608" s="40"/>
      <c r="E1608" s="48"/>
      <c r="F1608" s="260"/>
      <c r="G1608" s="261"/>
      <c r="H1608" s="170"/>
      <c r="I1608" s="68" t="s">
        <v>104</v>
      </c>
      <c r="J1608" s="49">
        <f>J1602-J1607</f>
        <v>1439390</v>
      </c>
    </row>
    <row r="1609" spans="1:11" ht="20.45" customHeight="1" x14ac:dyDescent="0.6">
      <c r="A1609" s="50" t="s">
        <v>105</v>
      </c>
      <c r="J1609" s="51" t="s">
        <v>0</v>
      </c>
    </row>
    <row r="1611" spans="1:11" ht="20.45" customHeight="1" x14ac:dyDescent="0.6">
      <c r="A1611" s="264" t="s">
        <v>399</v>
      </c>
      <c r="B1611" s="264"/>
      <c r="C1611" s="264"/>
      <c r="D1611" s="264"/>
      <c r="E1611" s="264"/>
      <c r="F1611" s="264"/>
      <c r="G1611" s="264"/>
      <c r="H1611" s="264"/>
      <c r="I1611" s="264"/>
      <c r="J1611" s="264"/>
    </row>
    <row r="1612" spans="1:11" ht="20.45" customHeight="1" x14ac:dyDescent="0.6">
      <c r="A1612" s="265" t="s">
        <v>83</v>
      </c>
      <c r="B1612" s="250"/>
      <c r="C1612" s="266"/>
      <c r="D1612" s="265" t="s">
        <v>84</v>
      </c>
      <c r="E1612" s="266"/>
      <c r="F1612" s="265" t="s">
        <v>85</v>
      </c>
      <c r="G1612" s="250"/>
      <c r="H1612" s="266"/>
      <c r="I1612" s="265" t="s">
        <v>86</v>
      </c>
      <c r="J1612" s="266"/>
    </row>
    <row r="1613" spans="1:11" ht="20.45" customHeight="1" x14ac:dyDescent="0.6">
      <c r="A1613" s="265" t="str">
        <f>VLOOKUP(K1613,임금대장!$A$6:$AH$86,3,0)</f>
        <v>파트</v>
      </c>
      <c r="B1613" s="250"/>
      <c r="C1613" s="266"/>
      <c r="D1613" s="267" t="str">
        <f>VLOOKUP(K1613,임금대장!$A$6:$AH$86,2,0)</f>
        <v>윤서진</v>
      </c>
      <c r="E1613" s="268"/>
      <c r="F1613" s="267">
        <f>임금대장!$O$3</f>
        <v>31</v>
      </c>
      <c r="G1613" s="269"/>
      <c r="H1613" s="268"/>
      <c r="I1613" s="270">
        <f>VLOOKUP(K1613,임금대장!$A$6:$AH$86,16,0)</f>
        <v>0</v>
      </c>
      <c r="J1613" s="271"/>
      <c r="K1613" s="30">
        <f>K1590+1</f>
        <v>71</v>
      </c>
    </row>
    <row r="1614" spans="1:11" ht="20.45" customHeight="1" x14ac:dyDescent="0.6">
      <c r="A1614" s="265" t="s">
        <v>107</v>
      </c>
      <c r="B1614" s="266"/>
      <c r="C1614" s="272" t="s">
        <v>5</v>
      </c>
      <c r="D1614" s="274"/>
      <c r="E1614" s="275"/>
      <c r="F1614" s="114" t="s">
        <v>108</v>
      </c>
      <c r="G1614" s="278">
        <f>VLOOKUP(K1613,임금대장!$A$6:$AH$86,15,0)</f>
        <v>6</v>
      </c>
      <c r="H1614" s="279"/>
      <c r="I1614" s="272" t="s">
        <v>89</v>
      </c>
      <c r="J1614" s="280">
        <f>VLOOKUP(K1613,임금대장!$A$6:$AH$86,17,0)</f>
        <v>0</v>
      </c>
    </row>
    <row r="1615" spans="1:11" ht="20.45" customHeight="1" x14ac:dyDescent="0.6">
      <c r="A1615" s="282">
        <f>C1617/G1614</f>
        <v>13000</v>
      </c>
      <c r="B1615" s="283"/>
      <c r="C1615" s="273"/>
      <c r="D1615" s="276"/>
      <c r="E1615" s="277"/>
      <c r="F1615" s="115" t="s">
        <v>90</v>
      </c>
      <c r="G1615" s="284">
        <f>VLOOKUP(K1613,임금대장!$A$6:$AH$86,16,0)</f>
        <v>0</v>
      </c>
      <c r="H1615" s="285"/>
      <c r="I1615" s="273"/>
      <c r="J1615" s="281"/>
    </row>
    <row r="1616" spans="1:11" ht="20.45" customHeight="1" x14ac:dyDescent="0.6">
      <c r="F1616" s="250"/>
      <c r="G1616" s="250"/>
    </row>
    <row r="1617" spans="1:10" ht="20.45" customHeight="1" x14ac:dyDescent="0.6">
      <c r="A1617" s="251" t="s">
        <v>91</v>
      </c>
      <c r="B1617" s="69" t="s">
        <v>109</v>
      </c>
      <c r="C1617" s="25">
        <f>VLOOKUP($K1613,임금대장!$A$6:$AH$86,9,0)</f>
        <v>78000</v>
      </c>
      <c r="D1617" s="33" t="s">
        <v>110</v>
      </c>
      <c r="E1617" s="69"/>
      <c r="F1617" s="254"/>
      <c r="G1617" s="255"/>
      <c r="H1617" s="168"/>
      <c r="I1617" s="33"/>
      <c r="J1617" s="34"/>
    </row>
    <row r="1618" spans="1:10" ht="20.45" customHeight="1" x14ac:dyDescent="0.6">
      <c r="A1618" s="252"/>
      <c r="B1618" s="67"/>
      <c r="C1618" s="35"/>
      <c r="D1618" s="36"/>
      <c r="E1618" s="67"/>
      <c r="F1618" s="256"/>
      <c r="G1618" s="257"/>
      <c r="H1618" s="169"/>
      <c r="I1618" s="36"/>
      <c r="J1618" s="37"/>
    </row>
    <row r="1619" spans="1:10" ht="20.45" customHeight="1" x14ac:dyDescent="0.6">
      <c r="A1619" s="252"/>
      <c r="B1619" s="52"/>
      <c r="C1619" s="35"/>
      <c r="D1619" s="36"/>
      <c r="E1619" s="67"/>
      <c r="F1619" s="256"/>
      <c r="G1619" s="257"/>
      <c r="H1619" s="169"/>
      <c r="I1619" s="36"/>
      <c r="J1619" s="37"/>
    </row>
    <row r="1620" spans="1:10" ht="20.45" customHeight="1" x14ac:dyDescent="0.6">
      <c r="A1620" s="252"/>
      <c r="B1620" s="67"/>
      <c r="C1620" s="35"/>
      <c r="D1620" s="36"/>
      <c r="E1620" s="67"/>
      <c r="F1620" s="256"/>
      <c r="G1620" s="257"/>
      <c r="H1620" s="169"/>
      <c r="I1620" s="36"/>
      <c r="J1620" s="37"/>
    </row>
    <row r="1621" spans="1:10" ht="20.45" customHeight="1" x14ac:dyDescent="0.6">
      <c r="A1621" s="252"/>
      <c r="B1621" s="67"/>
      <c r="C1621" s="35"/>
      <c r="D1621" s="36"/>
      <c r="E1621" s="36"/>
      <c r="F1621" s="258"/>
      <c r="G1621" s="259"/>
      <c r="H1621" s="169"/>
      <c r="I1621" s="36"/>
      <c r="J1621" s="37"/>
    </row>
    <row r="1622" spans="1:10" ht="20.45" customHeight="1" x14ac:dyDescent="0.6">
      <c r="A1622" s="252"/>
      <c r="B1622" s="67"/>
      <c r="C1622" s="102"/>
      <c r="D1622" s="36"/>
      <c r="E1622" s="36"/>
      <c r="F1622" s="258"/>
      <c r="G1622" s="259"/>
      <c r="H1622" s="169"/>
      <c r="I1622" s="36"/>
      <c r="J1622" s="37"/>
    </row>
    <row r="1623" spans="1:10" ht="20.45" customHeight="1" x14ac:dyDescent="0.6">
      <c r="A1623" s="252"/>
      <c r="B1623" s="67"/>
      <c r="C1623" s="35"/>
      <c r="D1623" s="36"/>
      <c r="E1623" s="36"/>
      <c r="F1623" s="258"/>
      <c r="G1623" s="259"/>
      <c r="H1623" s="169"/>
      <c r="I1623" s="36"/>
      <c r="J1623" s="37"/>
    </row>
    <row r="1624" spans="1:10" ht="20.45" customHeight="1" x14ac:dyDescent="0.6">
      <c r="A1624" s="252"/>
      <c r="B1624" s="67"/>
      <c r="C1624" s="35"/>
      <c r="D1624" s="36"/>
      <c r="E1624" s="36"/>
      <c r="F1624" s="258"/>
      <c r="G1624" s="259"/>
      <c r="H1624" s="169"/>
      <c r="I1624" s="36"/>
      <c r="J1624" s="37"/>
    </row>
    <row r="1625" spans="1:10" ht="20.45" customHeight="1" x14ac:dyDescent="0.6">
      <c r="A1625" s="253"/>
      <c r="B1625" s="68"/>
      <c r="C1625" s="39"/>
      <c r="D1625" s="40"/>
      <c r="E1625" s="40"/>
      <c r="F1625" s="260"/>
      <c r="G1625" s="261"/>
      <c r="H1625" s="170"/>
      <c r="I1625" s="68" t="s">
        <v>95</v>
      </c>
      <c r="J1625" s="41">
        <f>SUM(C1617:H1623)</f>
        <v>78000</v>
      </c>
    </row>
    <row r="1626" spans="1:10" ht="20.45" customHeight="1" x14ac:dyDescent="0.6">
      <c r="A1626" s="251" t="s">
        <v>96</v>
      </c>
      <c r="B1626" s="36" t="s">
        <v>97</v>
      </c>
      <c r="C1626" s="35">
        <f>VLOOKUP($K1613,임금대장!$A$6:$AH$86,25,0)</f>
        <v>2340</v>
      </c>
      <c r="D1626" s="33"/>
      <c r="E1626" s="42"/>
      <c r="F1626" s="262" t="s">
        <v>14</v>
      </c>
      <c r="G1626" s="263"/>
      <c r="H1626" s="169">
        <f>VLOOKUP($K1613,임금대장!$A$6:$AH$86,19,0)</f>
        <v>0</v>
      </c>
      <c r="I1626" s="33"/>
      <c r="J1626" s="34"/>
    </row>
    <row r="1627" spans="1:10" ht="20.45" customHeight="1" x14ac:dyDescent="0.6">
      <c r="A1627" s="252"/>
      <c r="B1627" s="36" t="s">
        <v>98</v>
      </c>
      <c r="C1627" s="35">
        <f>VLOOKUP($K1613,임금대장!$A$6:$AH$86,26,0)</f>
        <v>230</v>
      </c>
      <c r="D1627" s="36"/>
      <c r="E1627" s="43"/>
      <c r="F1627" s="258" t="s">
        <v>12</v>
      </c>
      <c r="G1627" s="259"/>
      <c r="H1627" s="169">
        <f>VLOOKUP($K1613,임금대장!$A$6:$AH$86,17,0)</f>
        <v>0</v>
      </c>
      <c r="I1627" s="36"/>
      <c r="J1627" s="37"/>
    </row>
    <row r="1628" spans="1:10" ht="20.45" customHeight="1" x14ac:dyDescent="0.6">
      <c r="A1628" s="252"/>
      <c r="B1628" s="36" t="s">
        <v>99</v>
      </c>
      <c r="C1628" s="35">
        <f>VLOOKUP($K1613,임금대장!$A$6:$AH$86,27,0)</f>
        <v>0</v>
      </c>
      <c r="D1628" s="36"/>
      <c r="E1628" s="44"/>
      <c r="F1628" s="258" t="s">
        <v>100</v>
      </c>
      <c r="G1628" s="259"/>
      <c r="H1628" s="169">
        <f>VLOOKUP($K1613,임금대장!$A$6:$AH$86,31,0)</f>
        <v>0</v>
      </c>
      <c r="I1628" s="36"/>
      <c r="J1628" s="37"/>
    </row>
    <row r="1629" spans="1:10" ht="20.45" customHeight="1" x14ac:dyDescent="0.6">
      <c r="A1629" s="252"/>
      <c r="B1629" s="36" t="s">
        <v>101</v>
      </c>
      <c r="C1629" s="35">
        <f>VLOOKUP($K1613,임금대장!$A$6:$AH$86,28,0)</f>
        <v>0</v>
      </c>
      <c r="D1629" s="36"/>
      <c r="E1629" s="43"/>
      <c r="F1629" s="258" t="s">
        <v>102</v>
      </c>
      <c r="G1629" s="259"/>
      <c r="H1629" s="169">
        <f>VLOOKUP($K1613,임금대장!$A$6:$AH$86,30,0)</f>
        <v>0</v>
      </c>
      <c r="I1629" s="36"/>
      <c r="J1629" s="37"/>
    </row>
    <row r="1630" spans="1:10" ht="20.45" customHeight="1" x14ac:dyDescent="0.6">
      <c r="A1630" s="252"/>
      <c r="B1630" s="36" t="s">
        <v>31</v>
      </c>
      <c r="C1630" s="35">
        <f>VLOOKUP($K1613,임금대장!$A$6:$AH$86,29,0)</f>
        <v>0</v>
      </c>
      <c r="D1630" s="36"/>
      <c r="E1630" s="43"/>
      <c r="F1630" s="45"/>
      <c r="G1630" s="46"/>
      <c r="H1630" s="169"/>
      <c r="I1630" s="67" t="s">
        <v>103</v>
      </c>
      <c r="J1630" s="47">
        <f>SUM(C1626:H1631)</f>
        <v>2570</v>
      </c>
    </row>
    <row r="1631" spans="1:10" ht="20.45" customHeight="1" x14ac:dyDescent="0.6">
      <c r="A1631" s="253"/>
      <c r="B1631" s="40"/>
      <c r="C1631" s="101"/>
      <c r="D1631" s="40"/>
      <c r="E1631" s="48"/>
      <c r="F1631" s="260"/>
      <c r="G1631" s="261"/>
      <c r="H1631" s="170"/>
      <c r="I1631" s="68" t="s">
        <v>104</v>
      </c>
      <c r="J1631" s="49">
        <f>J1625-J1630</f>
        <v>75430</v>
      </c>
    </row>
    <row r="1632" spans="1:10" ht="20.45" customHeight="1" x14ac:dyDescent="0.6">
      <c r="A1632" s="50" t="s">
        <v>105</v>
      </c>
      <c r="J1632" s="51" t="s">
        <v>0</v>
      </c>
    </row>
    <row r="1634" spans="1:11" ht="20.45" customHeight="1" x14ac:dyDescent="0.6">
      <c r="A1634" s="264" t="s">
        <v>399</v>
      </c>
      <c r="B1634" s="264"/>
      <c r="C1634" s="264"/>
      <c r="D1634" s="264"/>
      <c r="E1634" s="264"/>
      <c r="F1634" s="264"/>
      <c r="G1634" s="264"/>
      <c r="H1634" s="264"/>
      <c r="I1634" s="264"/>
      <c r="J1634" s="264"/>
    </row>
    <row r="1635" spans="1:11" ht="20.45" customHeight="1" x14ac:dyDescent="0.6">
      <c r="A1635" s="265" t="s">
        <v>83</v>
      </c>
      <c r="B1635" s="250"/>
      <c r="C1635" s="266"/>
      <c r="D1635" s="265" t="s">
        <v>84</v>
      </c>
      <c r="E1635" s="266"/>
      <c r="F1635" s="265" t="s">
        <v>85</v>
      </c>
      <c r="G1635" s="250"/>
      <c r="H1635" s="266"/>
      <c r="I1635" s="265" t="s">
        <v>86</v>
      </c>
      <c r="J1635" s="266"/>
    </row>
    <row r="1636" spans="1:11" ht="20.45" customHeight="1" x14ac:dyDescent="0.6">
      <c r="A1636" s="265" t="str">
        <f>VLOOKUP(K1636,임금대장!$A$6:$AH$86,3,0)</f>
        <v>파트</v>
      </c>
      <c r="B1636" s="250"/>
      <c r="C1636" s="266"/>
      <c r="D1636" s="267" t="str">
        <f>VLOOKUP(K1636,임금대장!$A$6:$AH$86,2,0)</f>
        <v>한재승</v>
      </c>
      <c r="E1636" s="268"/>
      <c r="F1636" s="267">
        <f>임금대장!$O$3</f>
        <v>31</v>
      </c>
      <c r="G1636" s="269"/>
      <c r="H1636" s="268"/>
      <c r="I1636" s="270">
        <f>VLOOKUP(K1636,임금대장!$A$6:$AH$86,16,0)</f>
        <v>0</v>
      </c>
      <c r="J1636" s="271"/>
      <c r="K1636" s="30">
        <f>K1613+1</f>
        <v>72</v>
      </c>
    </row>
    <row r="1637" spans="1:11" ht="20.45" customHeight="1" x14ac:dyDescent="0.6">
      <c r="A1637" s="265" t="s">
        <v>107</v>
      </c>
      <c r="B1637" s="266"/>
      <c r="C1637" s="272" t="s">
        <v>5</v>
      </c>
      <c r="D1637" s="274"/>
      <c r="E1637" s="275"/>
      <c r="F1637" s="114" t="s">
        <v>108</v>
      </c>
      <c r="G1637" s="278">
        <f>VLOOKUP(K1636,임금대장!$A$6:$AH$86,15,0)</f>
        <v>116.5</v>
      </c>
      <c r="H1637" s="279"/>
      <c r="I1637" s="272" t="s">
        <v>89</v>
      </c>
      <c r="J1637" s="280">
        <f>VLOOKUP(K1636,임금대장!$A$6:$AH$86,17,0)</f>
        <v>0</v>
      </c>
    </row>
    <row r="1638" spans="1:11" ht="20.45" customHeight="1" x14ac:dyDescent="0.6">
      <c r="A1638" s="282">
        <f>C1640/G1637</f>
        <v>13000</v>
      </c>
      <c r="B1638" s="283"/>
      <c r="C1638" s="273"/>
      <c r="D1638" s="276"/>
      <c r="E1638" s="277"/>
      <c r="F1638" s="115" t="s">
        <v>90</v>
      </c>
      <c r="G1638" s="284">
        <f>VLOOKUP(K1636,임금대장!$A$6:$AH$86,16,0)</f>
        <v>0</v>
      </c>
      <c r="H1638" s="285"/>
      <c r="I1638" s="273"/>
      <c r="J1638" s="281"/>
    </row>
    <row r="1639" spans="1:11" ht="20.45" customHeight="1" x14ac:dyDescent="0.6">
      <c r="F1639" s="250"/>
      <c r="G1639" s="250"/>
    </row>
    <row r="1640" spans="1:11" ht="20.45" customHeight="1" x14ac:dyDescent="0.6">
      <c r="A1640" s="251" t="s">
        <v>91</v>
      </c>
      <c r="B1640" s="69" t="s">
        <v>109</v>
      </c>
      <c r="C1640" s="25">
        <f>VLOOKUP($K1636,임금대장!$A$6:$AH$86,9,0)</f>
        <v>1514500</v>
      </c>
      <c r="D1640" s="33" t="s">
        <v>110</v>
      </c>
      <c r="E1640" s="69"/>
      <c r="F1640" s="254"/>
      <c r="G1640" s="255"/>
      <c r="H1640" s="168"/>
      <c r="I1640" s="33"/>
      <c r="J1640" s="34"/>
    </row>
    <row r="1641" spans="1:11" ht="20.45" customHeight="1" x14ac:dyDescent="0.6">
      <c r="A1641" s="252"/>
      <c r="B1641" s="67"/>
      <c r="C1641" s="35"/>
      <c r="D1641" s="36"/>
      <c r="E1641" s="67"/>
      <c r="F1641" s="256"/>
      <c r="G1641" s="257"/>
      <c r="H1641" s="169"/>
      <c r="I1641" s="36"/>
      <c r="J1641" s="37"/>
    </row>
    <row r="1642" spans="1:11" ht="20.45" customHeight="1" x14ac:dyDescent="0.6">
      <c r="A1642" s="252"/>
      <c r="B1642" s="52"/>
      <c r="C1642" s="35"/>
      <c r="D1642" s="36"/>
      <c r="E1642" s="67"/>
      <c r="F1642" s="256"/>
      <c r="G1642" s="257"/>
      <c r="H1642" s="169"/>
      <c r="I1642" s="36"/>
      <c r="J1642" s="37"/>
    </row>
    <row r="1643" spans="1:11" ht="20.45" customHeight="1" x14ac:dyDescent="0.6">
      <c r="A1643" s="252"/>
      <c r="B1643" s="67"/>
      <c r="C1643" s="35"/>
      <c r="D1643" s="36"/>
      <c r="E1643" s="67"/>
      <c r="F1643" s="256"/>
      <c r="G1643" s="257"/>
      <c r="H1643" s="169"/>
      <c r="I1643" s="36"/>
      <c r="J1643" s="37"/>
    </row>
    <row r="1644" spans="1:11" ht="20.45" customHeight="1" x14ac:dyDescent="0.6">
      <c r="A1644" s="252"/>
      <c r="B1644" s="67"/>
      <c r="C1644" s="35"/>
      <c r="D1644" s="36"/>
      <c r="E1644" s="36"/>
      <c r="F1644" s="258"/>
      <c r="G1644" s="259"/>
      <c r="H1644" s="169"/>
      <c r="I1644" s="36"/>
      <c r="J1644" s="37"/>
    </row>
    <row r="1645" spans="1:11" ht="20.45" customHeight="1" x14ac:dyDescent="0.6">
      <c r="A1645" s="252"/>
      <c r="B1645" s="67"/>
      <c r="C1645" s="102"/>
      <c r="D1645" s="36"/>
      <c r="E1645" s="36"/>
      <c r="F1645" s="258"/>
      <c r="G1645" s="259"/>
      <c r="H1645" s="169"/>
      <c r="I1645" s="36"/>
      <c r="J1645" s="37"/>
    </row>
    <row r="1646" spans="1:11" ht="20.45" customHeight="1" x14ac:dyDescent="0.6">
      <c r="A1646" s="252"/>
      <c r="B1646" s="67"/>
      <c r="C1646" s="35"/>
      <c r="D1646" s="36"/>
      <c r="E1646" s="36"/>
      <c r="F1646" s="258"/>
      <c r="G1646" s="259"/>
      <c r="H1646" s="169"/>
      <c r="I1646" s="36"/>
      <c r="J1646" s="37"/>
    </row>
    <row r="1647" spans="1:11" ht="20.45" customHeight="1" x14ac:dyDescent="0.6">
      <c r="A1647" s="252"/>
      <c r="B1647" s="67"/>
      <c r="C1647" s="35"/>
      <c r="D1647" s="36"/>
      <c r="E1647" s="36"/>
      <c r="F1647" s="258"/>
      <c r="G1647" s="259"/>
      <c r="H1647" s="169"/>
      <c r="I1647" s="36"/>
      <c r="J1647" s="37"/>
    </row>
    <row r="1648" spans="1:11" ht="20.45" customHeight="1" x14ac:dyDescent="0.6">
      <c r="A1648" s="253"/>
      <c r="B1648" s="68"/>
      <c r="C1648" s="39"/>
      <c r="D1648" s="40"/>
      <c r="E1648" s="40"/>
      <c r="F1648" s="260"/>
      <c r="G1648" s="261"/>
      <c r="H1648" s="170"/>
      <c r="I1648" s="68" t="s">
        <v>95</v>
      </c>
      <c r="J1648" s="41">
        <f>SUM(C1640:H1646)</f>
        <v>1514500</v>
      </c>
    </row>
    <row r="1649" spans="1:11" ht="20.45" customHeight="1" x14ac:dyDescent="0.6">
      <c r="A1649" s="251" t="s">
        <v>96</v>
      </c>
      <c r="B1649" s="36" t="s">
        <v>97</v>
      </c>
      <c r="C1649" s="35">
        <f>VLOOKUP($K1636,임금대장!$A$6:$AH$86,25,0)</f>
        <v>45430</v>
      </c>
      <c r="D1649" s="33"/>
      <c r="E1649" s="42"/>
      <c r="F1649" s="262" t="s">
        <v>14</v>
      </c>
      <c r="G1649" s="263"/>
      <c r="H1649" s="169">
        <f>VLOOKUP($K1636,임금대장!$A$6:$AH$86,19,0)</f>
        <v>0</v>
      </c>
      <c r="I1649" s="33"/>
      <c r="J1649" s="34"/>
    </row>
    <row r="1650" spans="1:11" ht="20.45" customHeight="1" x14ac:dyDescent="0.6">
      <c r="A1650" s="252"/>
      <c r="B1650" s="36" t="s">
        <v>98</v>
      </c>
      <c r="C1650" s="35">
        <f>VLOOKUP($K1636,임금대장!$A$6:$AH$86,26,0)</f>
        <v>4540</v>
      </c>
      <c r="D1650" s="36"/>
      <c r="E1650" s="43"/>
      <c r="F1650" s="258" t="s">
        <v>12</v>
      </c>
      <c r="G1650" s="259"/>
      <c r="H1650" s="169">
        <f>VLOOKUP($K1636,임금대장!$A$6:$AH$86,17,0)</f>
        <v>0</v>
      </c>
      <c r="I1650" s="36"/>
      <c r="J1650" s="37"/>
    </row>
    <row r="1651" spans="1:11" ht="20.45" customHeight="1" x14ac:dyDescent="0.6">
      <c r="A1651" s="252"/>
      <c r="B1651" s="36" t="s">
        <v>99</v>
      </c>
      <c r="C1651" s="35">
        <f>VLOOKUP($K1636,임금대장!$A$6:$AH$86,27,0)</f>
        <v>0</v>
      </c>
      <c r="D1651" s="36"/>
      <c r="E1651" s="44"/>
      <c r="F1651" s="258" t="s">
        <v>100</v>
      </c>
      <c r="G1651" s="259"/>
      <c r="H1651" s="169">
        <f>VLOOKUP($K1636,임금대장!$A$6:$AH$86,31,0)</f>
        <v>0</v>
      </c>
      <c r="I1651" s="36"/>
      <c r="J1651" s="37"/>
    </row>
    <row r="1652" spans="1:11" ht="20.45" customHeight="1" x14ac:dyDescent="0.6">
      <c r="A1652" s="252"/>
      <c r="B1652" s="36" t="s">
        <v>101</v>
      </c>
      <c r="C1652" s="35">
        <f>VLOOKUP($K1636,임금대장!$A$6:$AH$86,28,0)</f>
        <v>0</v>
      </c>
      <c r="D1652" s="36"/>
      <c r="E1652" s="43"/>
      <c r="F1652" s="258" t="s">
        <v>102</v>
      </c>
      <c r="G1652" s="259"/>
      <c r="H1652" s="169">
        <f>VLOOKUP($K1636,임금대장!$A$6:$AH$86,30,0)</f>
        <v>0</v>
      </c>
      <c r="I1652" s="36"/>
      <c r="J1652" s="37"/>
    </row>
    <row r="1653" spans="1:11" ht="20.45" customHeight="1" x14ac:dyDescent="0.6">
      <c r="A1653" s="252"/>
      <c r="B1653" s="36" t="s">
        <v>31</v>
      </c>
      <c r="C1653" s="35">
        <f>VLOOKUP($K1636,임금대장!$A$6:$AH$86,29,0)</f>
        <v>0</v>
      </c>
      <c r="D1653" s="36"/>
      <c r="E1653" s="43"/>
      <c r="F1653" s="45"/>
      <c r="G1653" s="46"/>
      <c r="H1653" s="169"/>
      <c r="I1653" s="67" t="s">
        <v>103</v>
      </c>
      <c r="J1653" s="47">
        <f>SUM(C1649:H1654)</f>
        <v>49970</v>
      </c>
    </row>
    <row r="1654" spans="1:11" ht="20.45" customHeight="1" x14ac:dyDescent="0.6">
      <c r="A1654" s="253"/>
      <c r="B1654" s="40"/>
      <c r="C1654" s="101"/>
      <c r="D1654" s="40"/>
      <c r="E1654" s="48"/>
      <c r="F1654" s="260"/>
      <c r="G1654" s="261"/>
      <c r="H1654" s="170"/>
      <c r="I1654" s="68" t="s">
        <v>104</v>
      </c>
      <c r="J1654" s="49">
        <f>J1648-J1653</f>
        <v>1464530</v>
      </c>
    </row>
    <row r="1655" spans="1:11" ht="20.45" customHeight="1" x14ac:dyDescent="0.6">
      <c r="A1655" s="50" t="s">
        <v>105</v>
      </c>
      <c r="J1655" s="51" t="s">
        <v>0</v>
      </c>
    </row>
    <row r="1657" spans="1:11" ht="20.45" customHeight="1" x14ac:dyDescent="0.6">
      <c r="A1657" s="264" t="s">
        <v>399</v>
      </c>
      <c r="B1657" s="264"/>
      <c r="C1657" s="264"/>
      <c r="D1657" s="264"/>
      <c r="E1657" s="264"/>
      <c r="F1657" s="264"/>
      <c r="G1657" s="264"/>
      <c r="H1657" s="264"/>
      <c r="I1657" s="264"/>
      <c r="J1657" s="264"/>
    </row>
    <row r="1658" spans="1:11" ht="20.45" customHeight="1" x14ac:dyDescent="0.6">
      <c r="A1658" s="265" t="s">
        <v>83</v>
      </c>
      <c r="B1658" s="250"/>
      <c r="C1658" s="266"/>
      <c r="D1658" s="265" t="s">
        <v>84</v>
      </c>
      <c r="E1658" s="266"/>
      <c r="F1658" s="265" t="s">
        <v>85</v>
      </c>
      <c r="G1658" s="250"/>
      <c r="H1658" s="266"/>
      <c r="I1658" s="265" t="s">
        <v>86</v>
      </c>
      <c r="J1658" s="266"/>
    </row>
    <row r="1659" spans="1:11" ht="20.45" customHeight="1" x14ac:dyDescent="0.6">
      <c r="A1659" s="265" t="str">
        <f>VLOOKUP(K1659,임금대장!$A$6:$AH$86,3,0)</f>
        <v>파트</v>
      </c>
      <c r="B1659" s="250"/>
      <c r="C1659" s="266"/>
      <c r="D1659" s="267" t="str">
        <f>VLOOKUP(K1659,임금대장!$A$6:$AH$86,2,0)</f>
        <v>김영신</v>
      </c>
      <c r="E1659" s="268"/>
      <c r="F1659" s="267">
        <f>임금대장!$O$3</f>
        <v>31</v>
      </c>
      <c r="G1659" s="269"/>
      <c r="H1659" s="268"/>
      <c r="I1659" s="270">
        <f>VLOOKUP(K1659,임금대장!$A$6:$AH$86,16,0)</f>
        <v>0</v>
      </c>
      <c r="J1659" s="271"/>
      <c r="K1659" s="30">
        <f>K1636+1</f>
        <v>73</v>
      </c>
    </row>
    <row r="1660" spans="1:11" ht="20.45" customHeight="1" x14ac:dyDescent="0.6">
      <c r="A1660" s="265" t="s">
        <v>107</v>
      </c>
      <c r="B1660" s="266"/>
      <c r="C1660" s="272" t="s">
        <v>5</v>
      </c>
      <c r="D1660" s="274"/>
      <c r="E1660" s="275"/>
      <c r="F1660" s="114" t="s">
        <v>108</v>
      </c>
      <c r="G1660" s="278">
        <f>VLOOKUP(K1659,임금대장!$A$6:$AH$86,15,0)</f>
        <v>58</v>
      </c>
      <c r="H1660" s="279"/>
      <c r="I1660" s="272" t="s">
        <v>89</v>
      </c>
      <c r="J1660" s="280">
        <f>VLOOKUP(K1659,임금대장!$A$6:$AH$86,17,0)</f>
        <v>0</v>
      </c>
    </row>
    <row r="1661" spans="1:11" ht="20.45" customHeight="1" x14ac:dyDescent="0.6">
      <c r="A1661" s="282">
        <f>C1663/G1660</f>
        <v>13000</v>
      </c>
      <c r="B1661" s="283"/>
      <c r="C1661" s="273"/>
      <c r="D1661" s="276"/>
      <c r="E1661" s="277"/>
      <c r="F1661" s="115" t="s">
        <v>90</v>
      </c>
      <c r="G1661" s="284">
        <f>VLOOKUP(K1659,임금대장!$A$6:$AH$86,16,0)</f>
        <v>0</v>
      </c>
      <c r="H1661" s="285"/>
      <c r="I1661" s="273"/>
      <c r="J1661" s="281"/>
    </row>
    <row r="1662" spans="1:11" ht="20.45" customHeight="1" x14ac:dyDescent="0.6">
      <c r="F1662" s="250"/>
      <c r="G1662" s="250"/>
    </row>
    <row r="1663" spans="1:11" ht="20.45" customHeight="1" x14ac:dyDescent="0.6">
      <c r="A1663" s="251" t="s">
        <v>91</v>
      </c>
      <c r="B1663" s="69" t="s">
        <v>109</v>
      </c>
      <c r="C1663" s="25">
        <f>VLOOKUP($K1659,임금대장!$A$6:$AH$86,9,0)</f>
        <v>754000</v>
      </c>
      <c r="D1663" s="33" t="s">
        <v>110</v>
      </c>
      <c r="E1663" s="69"/>
      <c r="F1663" s="254"/>
      <c r="G1663" s="255"/>
      <c r="H1663" s="168"/>
      <c r="I1663" s="33"/>
      <c r="J1663" s="34"/>
    </row>
    <row r="1664" spans="1:11" ht="20.45" customHeight="1" x14ac:dyDescent="0.6">
      <c r="A1664" s="252"/>
      <c r="B1664" s="67"/>
      <c r="C1664" s="35"/>
      <c r="D1664" s="36"/>
      <c r="E1664" s="67"/>
      <c r="F1664" s="256"/>
      <c r="G1664" s="257"/>
      <c r="H1664" s="169"/>
      <c r="I1664" s="36"/>
      <c r="J1664" s="37"/>
    </row>
    <row r="1665" spans="1:10" ht="20.45" customHeight="1" x14ac:dyDescent="0.6">
      <c r="A1665" s="252"/>
      <c r="B1665" s="52"/>
      <c r="C1665" s="35"/>
      <c r="D1665" s="36"/>
      <c r="E1665" s="67"/>
      <c r="F1665" s="256"/>
      <c r="G1665" s="257"/>
      <c r="H1665" s="169"/>
      <c r="I1665" s="36"/>
      <c r="J1665" s="37"/>
    </row>
    <row r="1666" spans="1:10" ht="20.45" customHeight="1" x14ac:dyDescent="0.6">
      <c r="A1666" s="252"/>
      <c r="B1666" s="67"/>
      <c r="C1666" s="35"/>
      <c r="D1666" s="36"/>
      <c r="E1666" s="67"/>
      <c r="F1666" s="256"/>
      <c r="G1666" s="257"/>
      <c r="H1666" s="169"/>
      <c r="I1666" s="36"/>
      <c r="J1666" s="37"/>
    </row>
    <row r="1667" spans="1:10" ht="20.45" customHeight="1" x14ac:dyDescent="0.6">
      <c r="A1667" s="252"/>
      <c r="B1667" s="67"/>
      <c r="C1667" s="35"/>
      <c r="D1667" s="36"/>
      <c r="E1667" s="36"/>
      <c r="F1667" s="258"/>
      <c r="G1667" s="259"/>
      <c r="H1667" s="169"/>
      <c r="I1667" s="36"/>
      <c r="J1667" s="37"/>
    </row>
    <row r="1668" spans="1:10" ht="20.45" customHeight="1" x14ac:dyDescent="0.6">
      <c r="A1668" s="252"/>
      <c r="B1668" s="67"/>
      <c r="C1668" s="102"/>
      <c r="D1668" s="36"/>
      <c r="E1668" s="36"/>
      <c r="F1668" s="258"/>
      <c r="G1668" s="259"/>
      <c r="H1668" s="169"/>
      <c r="I1668" s="36"/>
      <c r="J1668" s="37"/>
    </row>
    <row r="1669" spans="1:10" ht="20.45" customHeight="1" x14ac:dyDescent="0.6">
      <c r="A1669" s="252"/>
      <c r="B1669" s="67"/>
      <c r="C1669" s="35"/>
      <c r="D1669" s="36"/>
      <c r="E1669" s="36"/>
      <c r="F1669" s="258"/>
      <c r="G1669" s="259"/>
      <c r="H1669" s="169"/>
      <c r="I1669" s="36"/>
      <c r="J1669" s="37"/>
    </row>
    <row r="1670" spans="1:10" ht="20.45" customHeight="1" x14ac:dyDescent="0.6">
      <c r="A1670" s="252"/>
      <c r="B1670" s="67"/>
      <c r="C1670" s="35"/>
      <c r="D1670" s="36"/>
      <c r="E1670" s="36"/>
      <c r="F1670" s="258"/>
      <c r="G1670" s="259"/>
      <c r="H1670" s="169"/>
      <c r="I1670" s="36"/>
      <c r="J1670" s="37"/>
    </row>
    <row r="1671" spans="1:10" ht="20.45" customHeight="1" x14ac:dyDescent="0.6">
      <c r="A1671" s="253"/>
      <c r="B1671" s="68"/>
      <c r="C1671" s="39"/>
      <c r="D1671" s="40"/>
      <c r="E1671" s="40"/>
      <c r="F1671" s="260"/>
      <c r="G1671" s="261"/>
      <c r="H1671" s="170"/>
      <c r="I1671" s="68" t="s">
        <v>95</v>
      </c>
      <c r="J1671" s="41">
        <f>SUM(C1663:H1669)</f>
        <v>754000</v>
      </c>
    </row>
    <row r="1672" spans="1:10" ht="20.45" customHeight="1" x14ac:dyDescent="0.6">
      <c r="A1672" s="251" t="s">
        <v>96</v>
      </c>
      <c r="B1672" s="36" t="s">
        <v>97</v>
      </c>
      <c r="C1672" s="35">
        <f>VLOOKUP($K1659,임금대장!$A$6:$AH$86,25,0)</f>
        <v>22620</v>
      </c>
      <c r="D1672" s="33"/>
      <c r="E1672" s="42"/>
      <c r="F1672" s="262" t="s">
        <v>14</v>
      </c>
      <c r="G1672" s="263"/>
      <c r="H1672" s="169">
        <f>VLOOKUP($K1659,임금대장!$A$6:$AH$86,19,0)</f>
        <v>0</v>
      </c>
      <c r="I1672" s="33"/>
      <c r="J1672" s="34"/>
    </row>
    <row r="1673" spans="1:10" ht="20.45" customHeight="1" x14ac:dyDescent="0.6">
      <c r="A1673" s="252"/>
      <c r="B1673" s="36" t="s">
        <v>98</v>
      </c>
      <c r="C1673" s="35">
        <f>VLOOKUP($K1659,임금대장!$A$6:$AH$86,26,0)</f>
        <v>2260</v>
      </c>
      <c r="D1673" s="36"/>
      <c r="E1673" s="43"/>
      <c r="F1673" s="258" t="s">
        <v>12</v>
      </c>
      <c r="G1673" s="259"/>
      <c r="H1673" s="169">
        <f>VLOOKUP($K1659,임금대장!$A$6:$AH$86,17,0)</f>
        <v>0</v>
      </c>
      <c r="I1673" s="36"/>
      <c r="J1673" s="37"/>
    </row>
    <row r="1674" spans="1:10" ht="20.45" customHeight="1" x14ac:dyDescent="0.6">
      <c r="A1674" s="252"/>
      <c r="B1674" s="36" t="s">
        <v>99</v>
      </c>
      <c r="C1674" s="35">
        <f>VLOOKUP($K1659,임금대장!$A$6:$AH$86,27,0)</f>
        <v>0</v>
      </c>
      <c r="D1674" s="36"/>
      <c r="E1674" s="44"/>
      <c r="F1674" s="258" t="s">
        <v>100</v>
      </c>
      <c r="G1674" s="259"/>
      <c r="H1674" s="169">
        <f>VLOOKUP($K1659,임금대장!$A$6:$AH$86,31,0)</f>
        <v>0</v>
      </c>
      <c r="I1674" s="36"/>
      <c r="J1674" s="37"/>
    </row>
    <row r="1675" spans="1:10" ht="20.45" customHeight="1" x14ac:dyDescent="0.6">
      <c r="A1675" s="252"/>
      <c r="B1675" s="36" t="s">
        <v>101</v>
      </c>
      <c r="C1675" s="35">
        <f>VLOOKUP($K1659,임금대장!$A$6:$AH$86,28,0)</f>
        <v>0</v>
      </c>
      <c r="D1675" s="36"/>
      <c r="E1675" s="43"/>
      <c r="F1675" s="258" t="s">
        <v>102</v>
      </c>
      <c r="G1675" s="259"/>
      <c r="H1675" s="169">
        <f>VLOOKUP($K1659,임금대장!$A$6:$AH$86,30,0)</f>
        <v>0</v>
      </c>
      <c r="I1675" s="36"/>
      <c r="J1675" s="37"/>
    </row>
    <row r="1676" spans="1:10" ht="20.45" customHeight="1" x14ac:dyDescent="0.6">
      <c r="A1676" s="252"/>
      <c r="B1676" s="36" t="s">
        <v>31</v>
      </c>
      <c r="C1676" s="35">
        <f>VLOOKUP($K1659,임금대장!$A$6:$AH$86,29,0)</f>
        <v>0</v>
      </c>
      <c r="D1676" s="36"/>
      <c r="E1676" s="43"/>
      <c r="F1676" s="45"/>
      <c r="G1676" s="46"/>
      <c r="H1676" s="169"/>
      <c r="I1676" s="67" t="s">
        <v>103</v>
      </c>
      <c r="J1676" s="47">
        <f>SUM(C1672:H1677)</f>
        <v>24880</v>
      </c>
    </row>
    <row r="1677" spans="1:10" ht="20.45" customHeight="1" x14ac:dyDescent="0.6">
      <c r="A1677" s="253"/>
      <c r="B1677" s="40"/>
      <c r="C1677" s="101"/>
      <c r="D1677" s="40"/>
      <c r="E1677" s="48"/>
      <c r="F1677" s="260"/>
      <c r="G1677" s="261"/>
      <c r="H1677" s="170"/>
      <c r="I1677" s="68" t="s">
        <v>104</v>
      </c>
      <c r="J1677" s="49">
        <f>J1671-J1676</f>
        <v>729120</v>
      </c>
    </row>
    <row r="1678" spans="1:10" ht="20.45" customHeight="1" x14ac:dyDescent="0.6">
      <c r="A1678" s="50" t="s">
        <v>105</v>
      </c>
      <c r="J1678" s="51" t="s">
        <v>0</v>
      </c>
    </row>
    <row r="1680" spans="1:10" ht="20.45" customHeight="1" x14ac:dyDescent="0.6">
      <c r="A1680" s="264" t="s">
        <v>399</v>
      </c>
      <c r="B1680" s="264"/>
      <c r="C1680" s="264"/>
      <c r="D1680" s="264"/>
      <c r="E1680" s="264"/>
      <c r="F1680" s="264"/>
      <c r="G1680" s="264"/>
      <c r="H1680" s="264"/>
      <c r="I1680" s="264"/>
      <c r="J1680" s="264"/>
    </row>
    <row r="1681" spans="1:11" ht="20.45" customHeight="1" x14ac:dyDescent="0.6">
      <c r="A1681" s="265" t="s">
        <v>83</v>
      </c>
      <c r="B1681" s="250"/>
      <c r="C1681" s="266"/>
      <c r="D1681" s="265" t="s">
        <v>84</v>
      </c>
      <c r="E1681" s="266"/>
      <c r="F1681" s="265" t="s">
        <v>85</v>
      </c>
      <c r="G1681" s="250"/>
      <c r="H1681" s="266"/>
      <c r="I1681" s="265" t="s">
        <v>86</v>
      </c>
      <c r="J1681" s="266"/>
    </row>
    <row r="1682" spans="1:11" ht="20.45" customHeight="1" x14ac:dyDescent="0.6">
      <c r="A1682" s="265" t="str">
        <f>VLOOKUP(K1682,임금대장!$A$6:$AH$86,3,0)</f>
        <v>파트</v>
      </c>
      <c r="B1682" s="250"/>
      <c r="C1682" s="266"/>
      <c r="D1682" s="267" t="str">
        <f>VLOOKUP(K1682,임금대장!$A$6:$AH$86,2,0)</f>
        <v>김준하</v>
      </c>
      <c r="E1682" s="268"/>
      <c r="F1682" s="267">
        <f>임금대장!$O$3</f>
        <v>31</v>
      </c>
      <c r="G1682" s="269"/>
      <c r="H1682" s="268"/>
      <c r="I1682" s="270">
        <f>VLOOKUP(K1682,임금대장!$A$6:$AH$86,16,0)</f>
        <v>0</v>
      </c>
      <c r="J1682" s="271"/>
      <c r="K1682" s="30">
        <f>K1659+1</f>
        <v>74</v>
      </c>
    </row>
    <row r="1683" spans="1:11" ht="20.45" customHeight="1" x14ac:dyDescent="0.6">
      <c r="A1683" s="265" t="s">
        <v>107</v>
      </c>
      <c r="B1683" s="266"/>
      <c r="C1683" s="272" t="s">
        <v>5</v>
      </c>
      <c r="D1683" s="274"/>
      <c r="E1683" s="275"/>
      <c r="F1683" s="114" t="s">
        <v>108</v>
      </c>
      <c r="G1683" s="278">
        <f>VLOOKUP(K1682,임금대장!$A$6:$AH$86,15,0)</f>
        <v>62.5</v>
      </c>
      <c r="H1683" s="279"/>
      <c r="I1683" s="272" t="s">
        <v>89</v>
      </c>
      <c r="J1683" s="280">
        <f>VLOOKUP(K1682,임금대장!$A$6:$AH$86,17,0)</f>
        <v>0</v>
      </c>
    </row>
    <row r="1684" spans="1:11" ht="20.45" customHeight="1" x14ac:dyDescent="0.6">
      <c r="A1684" s="282">
        <f>C1686/G1683</f>
        <v>13000</v>
      </c>
      <c r="B1684" s="283"/>
      <c r="C1684" s="273"/>
      <c r="D1684" s="276"/>
      <c r="E1684" s="277"/>
      <c r="F1684" s="115" t="s">
        <v>90</v>
      </c>
      <c r="G1684" s="284">
        <f>VLOOKUP(K1682,임금대장!$A$6:$AH$86,16,0)</f>
        <v>0</v>
      </c>
      <c r="H1684" s="285"/>
      <c r="I1684" s="273"/>
      <c r="J1684" s="281"/>
    </row>
    <row r="1685" spans="1:11" ht="20.45" customHeight="1" x14ac:dyDescent="0.6">
      <c r="F1685" s="250"/>
      <c r="G1685" s="250"/>
    </row>
    <row r="1686" spans="1:11" ht="20.45" customHeight="1" x14ac:dyDescent="0.6">
      <c r="A1686" s="251" t="s">
        <v>91</v>
      </c>
      <c r="B1686" s="69" t="s">
        <v>109</v>
      </c>
      <c r="C1686" s="25">
        <f>VLOOKUP($K1682,임금대장!$A$6:$AH$86,9,0)</f>
        <v>812500</v>
      </c>
      <c r="D1686" s="33" t="s">
        <v>110</v>
      </c>
      <c r="E1686" s="69"/>
      <c r="F1686" s="254"/>
      <c r="G1686" s="255"/>
      <c r="H1686" s="168"/>
      <c r="I1686" s="33"/>
      <c r="J1686" s="34"/>
    </row>
    <row r="1687" spans="1:11" ht="20.45" customHeight="1" x14ac:dyDescent="0.6">
      <c r="A1687" s="252"/>
      <c r="B1687" s="67"/>
      <c r="C1687" s="35"/>
      <c r="D1687" s="36"/>
      <c r="E1687" s="67"/>
      <c r="F1687" s="256"/>
      <c r="G1687" s="257"/>
      <c r="H1687" s="169"/>
      <c r="I1687" s="36"/>
      <c r="J1687" s="37"/>
    </row>
    <row r="1688" spans="1:11" ht="20.45" customHeight="1" x14ac:dyDescent="0.6">
      <c r="A1688" s="252"/>
      <c r="B1688" s="52"/>
      <c r="C1688" s="35"/>
      <c r="D1688" s="36"/>
      <c r="E1688" s="67"/>
      <c r="F1688" s="256"/>
      <c r="G1688" s="257"/>
      <c r="H1688" s="169"/>
      <c r="I1688" s="36"/>
      <c r="J1688" s="37"/>
    </row>
    <row r="1689" spans="1:11" ht="20.45" customHeight="1" x14ac:dyDescent="0.6">
      <c r="A1689" s="252"/>
      <c r="B1689" s="67"/>
      <c r="C1689" s="35"/>
      <c r="D1689" s="36"/>
      <c r="E1689" s="67"/>
      <c r="F1689" s="256"/>
      <c r="G1689" s="257"/>
      <c r="H1689" s="169"/>
      <c r="I1689" s="36"/>
      <c r="J1689" s="37"/>
    </row>
    <row r="1690" spans="1:11" ht="20.45" customHeight="1" x14ac:dyDescent="0.6">
      <c r="A1690" s="252"/>
      <c r="B1690" s="67"/>
      <c r="C1690" s="35"/>
      <c r="D1690" s="36"/>
      <c r="E1690" s="36"/>
      <c r="F1690" s="258"/>
      <c r="G1690" s="259"/>
      <c r="H1690" s="169"/>
      <c r="I1690" s="36"/>
      <c r="J1690" s="37"/>
    </row>
    <row r="1691" spans="1:11" ht="20.45" customHeight="1" x14ac:dyDescent="0.6">
      <c r="A1691" s="252"/>
      <c r="B1691" s="67"/>
      <c r="C1691" s="102"/>
      <c r="D1691" s="36"/>
      <c r="E1691" s="36"/>
      <c r="F1691" s="258"/>
      <c r="G1691" s="259"/>
      <c r="H1691" s="169"/>
      <c r="I1691" s="36"/>
      <c r="J1691" s="37"/>
    </row>
    <row r="1692" spans="1:11" ht="20.45" customHeight="1" x14ac:dyDescent="0.6">
      <c r="A1692" s="252"/>
      <c r="B1692" s="67"/>
      <c r="C1692" s="35"/>
      <c r="D1692" s="36"/>
      <c r="E1692" s="36"/>
      <c r="F1692" s="258"/>
      <c r="G1692" s="259"/>
      <c r="H1692" s="169"/>
      <c r="I1692" s="36"/>
      <c r="J1692" s="37"/>
    </row>
    <row r="1693" spans="1:11" ht="20.45" customHeight="1" x14ac:dyDescent="0.6">
      <c r="A1693" s="252"/>
      <c r="B1693" s="67"/>
      <c r="C1693" s="35"/>
      <c r="D1693" s="36"/>
      <c r="E1693" s="36"/>
      <c r="F1693" s="258"/>
      <c r="G1693" s="259"/>
      <c r="H1693" s="169"/>
      <c r="I1693" s="36"/>
      <c r="J1693" s="37"/>
    </row>
    <row r="1694" spans="1:11" ht="20.45" customHeight="1" x14ac:dyDescent="0.6">
      <c r="A1694" s="253"/>
      <c r="B1694" s="68"/>
      <c r="C1694" s="39"/>
      <c r="D1694" s="40"/>
      <c r="E1694" s="40"/>
      <c r="F1694" s="260"/>
      <c r="G1694" s="261"/>
      <c r="H1694" s="170"/>
      <c r="I1694" s="68" t="s">
        <v>95</v>
      </c>
      <c r="J1694" s="41">
        <f>SUM(C1686:H1692)</f>
        <v>812500</v>
      </c>
    </row>
    <row r="1695" spans="1:11" ht="20.45" customHeight="1" x14ac:dyDescent="0.6">
      <c r="A1695" s="251" t="s">
        <v>96</v>
      </c>
      <c r="B1695" s="36" t="s">
        <v>97</v>
      </c>
      <c r="C1695" s="35">
        <f>VLOOKUP($K1682,임금대장!$A$6:$AH$86,25,0)</f>
        <v>24370</v>
      </c>
      <c r="D1695" s="33"/>
      <c r="E1695" s="42"/>
      <c r="F1695" s="262" t="s">
        <v>14</v>
      </c>
      <c r="G1695" s="263"/>
      <c r="H1695" s="169">
        <f>VLOOKUP($K1682,임금대장!$A$6:$AH$86,19,0)</f>
        <v>0</v>
      </c>
      <c r="I1695" s="33"/>
      <c r="J1695" s="34"/>
    </row>
    <row r="1696" spans="1:11" ht="20.45" customHeight="1" x14ac:dyDescent="0.6">
      <c r="A1696" s="252"/>
      <c r="B1696" s="36" t="s">
        <v>98</v>
      </c>
      <c r="C1696" s="35">
        <f>VLOOKUP($K1682,임금대장!$A$6:$AH$86,26,0)</f>
        <v>2430</v>
      </c>
      <c r="D1696" s="36"/>
      <c r="E1696" s="43"/>
      <c r="F1696" s="258" t="s">
        <v>12</v>
      </c>
      <c r="G1696" s="259"/>
      <c r="H1696" s="169">
        <f>VLOOKUP($K1682,임금대장!$A$6:$AH$86,17,0)</f>
        <v>0</v>
      </c>
      <c r="I1696" s="36"/>
      <c r="J1696" s="37"/>
    </row>
    <row r="1697" spans="1:11" ht="20.45" customHeight="1" x14ac:dyDescent="0.6">
      <c r="A1697" s="252"/>
      <c r="B1697" s="36" t="s">
        <v>99</v>
      </c>
      <c r="C1697" s="35">
        <f>VLOOKUP($K1682,임금대장!$A$6:$AH$86,27,0)</f>
        <v>0</v>
      </c>
      <c r="D1697" s="36"/>
      <c r="E1697" s="44"/>
      <c r="F1697" s="258" t="s">
        <v>100</v>
      </c>
      <c r="G1697" s="259"/>
      <c r="H1697" s="169">
        <f>VLOOKUP($K1682,임금대장!$A$6:$AH$86,31,0)</f>
        <v>0</v>
      </c>
      <c r="I1697" s="36"/>
      <c r="J1697" s="37"/>
    </row>
    <row r="1698" spans="1:11" ht="20.45" customHeight="1" x14ac:dyDescent="0.6">
      <c r="A1698" s="252"/>
      <c r="B1698" s="36" t="s">
        <v>101</v>
      </c>
      <c r="C1698" s="35">
        <f>VLOOKUP($K1682,임금대장!$A$6:$AH$86,28,0)</f>
        <v>0</v>
      </c>
      <c r="D1698" s="36"/>
      <c r="E1698" s="43"/>
      <c r="F1698" s="258" t="s">
        <v>102</v>
      </c>
      <c r="G1698" s="259"/>
      <c r="H1698" s="169">
        <f>VLOOKUP($K1682,임금대장!$A$6:$AH$86,30,0)</f>
        <v>0</v>
      </c>
      <c r="I1698" s="36"/>
      <c r="J1698" s="37"/>
    </row>
    <row r="1699" spans="1:11" ht="20.45" customHeight="1" x14ac:dyDescent="0.6">
      <c r="A1699" s="252"/>
      <c r="B1699" s="36" t="s">
        <v>31</v>
      </c>
      <c r="C1699" s="35">
        <f>VLOOKUP($K1682,임금대장!$A$6:$AH$86,29,0)</f>
        <v>0</v>
      </c>
      <c r="D1699" s="36"/>
      <c r="E1699" s="43"/>
      <c r="F1699" s="45"/>
      <c r="G1699" s="46"/>
      <c r="H1699" s="169"/>
      <c r="I1699" s="67" t="s">
        <v>103</v>
      </c>
      <c r="J1699" s="47">
        <f>SUM(C1695:H1700)</f>
        <v>26800</v>
      </c>
    </row>
    <row r="1700" spans="1:11" ht="20.45" customHeight="1" x14ac:dyDescent="0.6">
      <c r="A1700" s="253"/>
      <c r="B1700" s="40"/>
      <c r="C1700" s="101"/>
      <c r="D1700" s="40"/>
      <c r="E1700" s="48"/>
      <c r="F1700" s="260"/>
      <c r="G1700" s="261"/>
      <c r="H1700" s="170"/>
      <c r="I1700" s="68" t="s">
        <v>104</v>
      </c>
      <c r="J1700" s="49">
        <f>J1694-J1699</f>
        <v>785700</v>
      </c>
    </row>
    <row r="1701" spans="1:11" ht="20.45" customHeight="1" x14ac:dyDescent="0.6">
      <c r="A1701" s="50" t="s">
        <v>105</v>
      </c>
      <c r="J1701" s="51" t="s">
        <v>0</v>
      </c>
    </row>
    <row r="1703" spans="1:11" ht="20.45" customHeight="1" x14ac:dyDescent="0.6">
      <c r="A1703" s="264" t="s">
        <v>399</v>
      </c>
      <c r="B1703" s="264"/>
      <c r="C1703" s="264"/>
      <c r="D1703" s="264"/>
      <c r="E1703" s="264"/>
      <c r="F1703" s="264"/>
      <c r="G1703" s="264"/>
      <c r="H1703" s="264"/>
      <c r="I1703" s="264"/>
      <c r="J1703" s="264"/>
    </row>
    <row r="1704" spans="1:11" ht="20.45" customHeight="1" x14ac:dyDescent="0.6">
      <c r="A1704" s="265" t="s">
        <v>83</v>
      </c>
      <c r="B1704" s="250"/>
      <c r="C1704" s="266"/>
      <c r="D1704" s="265" t="s">
        <v>84</v>
      </c>
      <c r="E1704" s="266"/>
      <c r="F1704" s="265" t="s">
        <v>85</v>
      </c>
      <c r="G1704" s="250"/>
      <c r="H1704" s="266"/>
      <c r="I1704" s="265" t="s">
        <v>86</v>
      </c>
      <c r="J1704" s="266"/>
    </row>
    <row r="1705" spans="1:11" ht="20.45" customHeight="1" x14ac:dyDescent="0.6">
      <c r="A1705" s="265" t="str">
        <f>VLOOKUP(K1705,임금대장!$A$6:$AH$86,3,0)</f>
        <v>파트</v>
      </c>
      <c r="B1705" s="250"/>
      <c r="C1705" s="266"/>
      <c r="D1705" s="267" t="str">
        <f>VLOOKUP(K1705,임금대장!$A$6:$AH$86,2,0)</f>
        <v>김태민</v>
      </c>
      <c r="E1705" s="268"/>
      <c r="F1705" s="267">
        <f>임금대장!$O$3</f>
        <v>31</v>
      </c>
      <c r="G1705" s="269"/>
      <c r="H1705" s="268"/>
      <c r="I1705" s="270">
        <f>VLOOKUP(K1705,임금대장!$A$6:$AH$86,16,0)</f>
        <v>0</v>
      </c>
      <c r="J1705" s="271"/>
      <c r="K1705" s="30">
        <f>K1682+1</f>
        <v>75</v>
      </c>
    </row>
    <row r="1706" spans="1:11" ht="20.45" customHeight="1" x14ac:dyDescent="0.6">
      <c r="A1706" s="265" t="s">
        <v>107</v>
      </c>
      <c r="B1706" s="266"/>
      <c r="C1706" s="272" t="s">
        <v>5</v>
      </c>
      <c r="D1706" s="274"/>
      <c r="E1706" s="275"/>
      <c r="F1706" s="114" t="s">
        <v>108</v>
      </c>
      <c r="G1706" s="278">
        <f>VLOOKUP(K1705,임금대장!$A$6:$AH$86,15,0)</f>
        <v>57</v>
      </c>
      <c r="H1706" s="279"/>
      <c r="I1706" s="272" t="s">
        <v>89</v>
      </c>
      <c r="J1706" s="280">
        <f>VLOOKUP(K1705,임금대장!$A$6:$AH$86,17,0)</f>
        <v>0</v>
      </c>
    </row>
    <row r="1707" spans="1:11" ht="20.45" customHeight="1" x14ac:dyDescent="0.6">
      <c r="A1707" s="282">
        <f>C1709/G1706</f>
        <v>13000</v>
      </c>
      <c r="B1707" s="283"/>
      <c r="C1707" s="273"/>
      <c r="D1707" s="276"/>
      <c r="E1707" s="277"/>
      <c r="F1707" s="115" t="s">
        <v>90</v>
      </c>
      <c r="G1707" s="284">
        <f>VLOOKUP(K1705,임금대장!$A$6:$AH$86,16,0)</f>
        <v>0</v>
      </c>
      <c r="H1707" s="285"/>
      <c r="I1707" s="273"/>
      <c r="J1707" s="281"/>
    </row>
    <row r="1708" spans="1:11" ht="20.45" customHeight="1" x14ac:dyDescent="0.6">
      <c r="F1708" s="250"/>
      <c r="G1708" s="250"/>
    </row>
    <row r="1709" spans="1:11" ht="20.45" customHeight="1" x14ac:dyDescent="0.6">
      <c r="A1709" s="251" t="s">
        <v>91</v>
      </c>
      <c r="B1709" s="69" t="s">
        <v>109</v>
      </c>
      <c r="C1709" s="25">
        <f>VLOOKUP($K1705,임금대장!$A$6:$AH$86,9,0)</f>
        <v>741000</v>
      </c>
      <c r="D1709" s="33" t="s">
        <v>110</v>
      </c>
      <c r="E1709" s="69"/>
      <c r="F1709" s="254"/>
      <c r="G1709" s="255"/>
      <c r="H1709" s="168"/>
      <c r="I1709" s="33"/>
      <c r="J1709" s="34"/>
    </row>
    <row r="1710" spans="1:11" ht="20.45" customHeight="1" x14ac:dyDescent="0.6">
      <c r="A1710" s="252"/>
      <c r="B1710" s="67"/>
      <c r="C1710" s="35"/>
      <c r="D1710" s="36"/>
      <c r="E1710" s="67"/>
      <c r="F1710" s="256"/>
      <c r="G1710" s="257"/>
      <c r="H1710" s="169"/>
      <c r="I1710" s="36"/>
      <c r="J1710" s="37"/>
    </row>
    <row r="1711" spans="1:11" ht="20.45" customHeight="1" x14ac:dyDescent="0.6">
      <c r="A1711" s="252"/>
      <c r="B1711" s="52"/>
      <c r="C1711" s="35"/>
      <c r="D1711" s="36"/>
      <c r="E1711" s="67"/>
      <c r="F1711" s="256"/>
      <c r="G1711" s="257"/>
      <c r="H1711" s="169"/>
      <c r="I1711" s="36"/>
      <c r="J1711" s="37"/>
    </row>
    <row r="1712" spans="1:11" ht="20.45" customHeight="1" x14ac:dyDescent="0.6">
      <c r="A1712" s="252"/>
      <c r="B1712" s="67"/>
      <c r="C1712" s="35"/>
      <c r="D1712" s="36"/>
      <c r="E1712" s="67"/>
      <c r="F1712" s="256"/>
      <c r="G1712" s="257"/>
      <c r="H1712" s="169"/>
      <c r="I1712" s="36"/>
      <c r="J1712" s="37"/>
    </row>
    <row r="1713" spans="1:11" ht="20.45" customHeight="1" x14ac:dyDescent="0.6">
      <c r="A1713" s="252"/>
      <c r="B1713" s="67"/>
      <c r="C1713" s="35"/>
      <c r="D1713" s="36"/>
      <c r="E1713" s="36"/>
      <c r="F1713" s="258"/>
      <c r="G1713" s="259"/>
      <c r="H1713" s="169"/>
      <c r="I1713" s="36"/>
      <c r="J1713" s="37"/>
    </row>
    <row r="1714" spans="1:11" ht="20.45" customHeight="1" x14ac:dyDescent="0.6">
      <c r="A1714" s="252"/>
      <c r="B1714" s="67"/>
      <c r="C1714" s="102"/>
      <c r="D1714" s="36"/>
      <c r="E1714" s="36"/>
      <c r="F1714" s="258"/>
      <c r="G1714" s="259"/>
      <c r="H1714" s="169"/>
      <c r="I1714" s="36"/>
      <c r="J1714" s="37"/>
    </row>
    <row r="1715" spans="1:11" ht="20.45" customHeight="1" x14ac:dyDescent="0.6">
      <c r="A1715" s="252"/>
      <c r="B1715" s="67"/>
      <c r="C1715" s="35"/>
      <c r="D1715" s="36"/>
      <c r="E1715" s="36"/>
      <c r="F1715" s="258"/>
      <c r="G1715" s="259"/>
      <c r="H1715" s="169"/>
      <c r="I1715" s="36"/>
      <c r="J1715" s="37"/>
    </row>
    <row r="1716" spans="1:11" ht="20.45" customHeight="1" x14ac:dyDescent="0.6">
      <c r="A1716" s="252"/>
      <c r="B1716" s="67"/>
      <c r="C1716" s="35"/>
      <c r="D1716" s="36"/>
      <c r="E1716" s="36"/>
      <c r="F1716" s="258"/>
      <c r="G1716" s="259"/>
      <c r="H1716" s="169"/>
      <c r="I1716" s="36"/>
      <c r="J1716" s="37"/>
    </row>
    <row r="1717" spans="1:11" ht="20.45" customHeight="1" x14ac:dyDescent="0.6">
      <c r="A1717" s="253"/>
      <c r="B1717" s="68"/>
      <c r="C1717" s="39"/>
      <c r="D1717" s="40"/>
      <c r="E1717" s="40"/>
      <c r="F1717" s="260"/>
      <c r="G1717" s="261"/>
      <c r="H1717" s="170"/>
      <c r="I1717" s="68" t="s">
        <v>95</v>
      </c>
      <c r="J1717" s="41">
        <f>SUM(C1709:H1715)</f>
        <v>741000</v>
      </c>
    </row>
    <row r="1718" spans="1:11" ht="20.45" customHeight="1" x14ac:dyDescent="0.6">
      <c r="A1718" s="251" t="s">
        <v>96</v>
      </c>
      <c r="B1718" s="36" t="s">
        <v>97</v>
      </c>
      <c r="C1718" s="35">
        <f>VLOOKUP($K1705,임금대장!$A$6:$AH$86,25,0)</f>
        <v>22230</v>
      </c>
      <c r="D1718" s="33"/>
      <c r="E1718" s="42"/>
      <c r="F1718" s="262" t="s">
        <v>14</v>
      </c>
      <c r="G1718" s="263"/>
      <c r="H1718" s="169">
        <f>VLOOKUP($K1705,임금대장!$A$6:$AH$86,19,0)</f>
        <v>0</v>
      </c>
      <c r="I1718" s="33"/>
      <c r="J1718" s="34"/>
    </row>
    <row r="1719" spans="1:11" ht="20.45" customHeight="1" x14ac:dyDescent="0.6">
      <c r="A1719" s="252"/>
      <c r="B1719" s="36" t="s">
        <v>98</v>
      </c>
      <c r="C1719" s="35">
        <f>VLOOKUP($K1705,임금대장!$A$6:$AH$86,26,0)</f>
        <v>2220</v>
      </c>
      <c r="D1719" s="36"/>
      <c r="E1719" s="43"/>
      <c r="F1719" s="258" t="s">
        <v>12</v>
      </c>
      <c r="G1719" s="259"/>
      <c r="H1719" s="169">
        <f>VLOOKUP($K1705,임금대장!$A$6:$AH$86,17,0)</f>
        <v>0</v>
      </c>
      <c r="I1719" s="36"/>
      <c r="J1719" s="37"/>
    </row>
    <row r="1720" spans="1:11" ht="20.45" customHeight="1" x14ac:dyDescent="0.6">
      <c r="A1720" s="252"/>
      <c r="B1720" s="36" t="s">
        <v>99</v>
      </c>
      <c r="C1720" s="35">
        <f>VLOOKUP($K1705,임금대장!$A$6:$AH$86,27,0)</f>
        <v>0</v>
      </c>
      <c r="D1720" s="36"/>
      <c r="E1720" s="44"/>
      <c r="F1720" s="258" t="s">
        <v>100</v>
      </c>
      <c r="G1720" s="259"/>
      <c r="H1720" s="169">
        <f>VLOOKUP($K1705,임금대장!$A$6:$AH$86,31,0)</f>
        <v>0</v>
      </c>
      <c r="I1720" s="36"/>
      <c r="J1720" s="37"/>
    </row>
    <row r="1721" spans="1:11" ht="20.45" customHeight="1" x14ac:dyDescent="0.6">
      <c r="A1721" s="252"/>
      <c r="B1721" s="36" t="s">
        <v>101</v>
      </c>
      <c r="C1721" s="35">
        <f>VLOOKUP($K1705,임금대장!$A$6:$AH$86,28,0)</f>
        <v>0</v>
      </c>
      <c r="D1721" s="36"/>
      <c r="E1721" s="43"/>
      <c r="F1721" s="258" t="s">
        <v>102</v>
      </c>
      <c r="G1721" s="259"/>
      <c r="H1721" s="169">
        <f>VLOOKUP($K1705,임금대장!$A$6:$AH$86,30,0)</f>
        <v>0</v>
      </c>
      <c r="I1721" s="36"/>
      <c r="J1721" s="37"/>
    </row>
    <row r="1722" spans="1:11" ht="20.45" customHeight="1" x14ac:dyDescent="0.6">
      <c r="A1722" s="252"/>
      <c r="B1722" s="36" t="s">
        <v>31</v>
      </c>
      <c r="C1722" s="35">
        <f>VLOOKUP($K1705,임금대장!$A$6:$AH$86,29,0)</f>
        <v>0</v>
      </c>
      <c r="D1722" s="36"/>
      <c r="E1722" s="43"/>
      <c r="F1722" s="45"/>
      <c r="G1722" s="46"/>
      <c r="H1722" s="169"/>
      <c r="I1722" s="67" t="s">
        <v>103</v>
      </c>
      <c r="J1722" s="47">
        <f>SUM(C1718:H1723)</f>
        <v>24450</v>
      </c>
    </row>
    <row r="1723" spans="1:11" ht="20.45" customHeight="1" x14ac:dyDescent="0.6">
      <c r="A1723" s="253"/>
      <c r="B1723" s="40"/>
      <c r="C1723" s="101"/>
      <c r="D1723" s="40"/>
      <c r="E1723" s="48"/>
      <c r="F1723" s="260"/>
      <c r="G1723" s="261"/>
      <c r="H1723" s="170"/>
      <c r="I1723" s="68" t="s">
        <v>104</v>
      </c>
      <c r="J1723" s="49">
        <f>J1717-J1722</f>
        <v>716550</v>
      </c>
    </row>
    <row r="1724" spans="1:11" ht="20.45" customHeight="1" x14ac:dyDescent="0.6">
      <c r="A1724" s="50" t="s">
        <v>105</v>
      </c>
      <c r="J1724" s="51" t="s">
        <v>0</v>
      </c>
    </row>
    <row r="1726" spans="1:11" ht="20.45" customHeight="1" x14ac:dyDescent="0.6">
      <c r="A1726" s="264" t="s">
        <v>399</v>
      </c>
      <c r="B1726" s="264"/>
      <c r="C1726" s="264"/>
      <c r="D1726" s="264"/>
      <c r="E1726" s="264"/>
      <c r="F1726" s="264"/>
      <c r="G1726" s="264"/>
      <c r="H1726" s="264"/>
      <c r="I1726" s="264"/>
      <c r="J1726" s="264"/>
    </row>
    <row r="1727" spans="1:11" ht="20.45" customHeight="1" x14ac:dyDescent="0.6">
      <c r="A1727" s="265" t="s">
        <v>83</v>
      </c>
      <c r="B1727" s="250"/>
      <c r="C1727" s="266"/>
      <c r="D1727" s="265" t="s">
        <v>84</v>
      </c>
      <c r="E1727" s="266"/>
      <c r="F1727" s="265" t="s">
        <v>85</v>
      </c>
      <c r="G1727" s="250"/>
      <c r="H1727" s="266"/>
      <c r="I1727" s="265" t="s">
        <v>86</v>
      </c>
      <c r="J1727" s="266"/>
    </row>
    <row r="1728" spans="1:11" ht="20.45" customHeight="1" x14ac:dyDescent="0.6">
      <c r="A1728" s="265" t="str">
        <f>VLOOKUP(K1728,임금대장!$A$6:$AH$86,3,0)</f>
        <v>파트</v>
      </c>
      <c r="B1728" s="250"/>
      <c r="C1728" s="266"/>
      <c r="D1728" s="267" t="str">
        <f>VLOOKUP(K1728,임금대장!$A$6:$AH$86,2,0)</f>
        <v>장민호</v>
      </c>
      <c r="E1728" s="268"/>
      <c r="F1728" s="267">
        <f>임금대장!$O$3</f>
        <v>31</v>
      </c>
      <c r="G1728" s="269"/>
      <c r="H1728" s="268"/>
      <c r="I1728" s="270">
        <f>VLOOKUP(K1728,임금대장!$A$6:$AH$86,16,0)</f>
        <v>0</v>
      </c>
      <c r="J1728" s="271"/>
      <c r="K1728" s="30">
        <f>K1705+1</f>
        <v>76</v>
      </c>
    </row>
    <row r="1729" spans="1:10" ht="20.45" customHeight="1" x14ac:dyDescent="0.6">
      <c r="A1729" s="265" t="s">
        <v>107</v>
      </c>
      <c r="B1729" s="266"/>
      <c r="C1729" s="272" t="s">
        <v>5</v>
      </c>
      <c r="D1729" s="274"/>
      <c r="E1729" s="275"/>
      <c r="F1729" s="114" t="s">
        <v>108</v>
      </c>
      <c r="G1729" s="278">
        <f>VLOOKUP(K1728,임금대장!$A$6:$AH$86,15,0)</f>
        <v>23</v>
      </c>
      <c r="H1729" s="279"/>
      <c r="I1729" s="272" t="s">
        <v>89</v>
      </c>
      <c r="J1729" s="280">
        <f>VLOOKUP(K1728,임금대장!$A$6:$AH$86,17,0)</f>
        <v>0</v>
      </c>
    </row>
    <row r="1730" spans="1:10" ht="20.45" customHeight="1" x14ac:dyDescent="0.6">
      <c r="A1730" s="282">
        <f>C1732/G1729</f>
        <v>13000</v>
      </c>
      <c r="B1730" s="283"/>
      <c r="C1730" s="273"/>
      <c r="D1730" s="276"/>
      <c r="E1730" s="277"/>
      <c r="F1730" s="115" t="s">
        <v>90</v>
      </c>
      <c r="G1730" s="284">
        <f>VLOOKUP(K1728,임금대장!$A$6:$AH$86,16,0)</f>
        <v>0</v>
      </c>
      <c r="H1730" s="285"/>
      <c r="I1730" s="273"/>
      <c r="J1730" s="281"/>
    </row>
    <row r="1731" spans="1:10" ht="20.45" customHeight="1" x14ac:dyDescent="0.6">
      <c r="F1731" s="250"/>
      <c r="G1731" s="250"/>
    </row>
    <row r="1732" spans="1:10" ht="20.45" customHeight="1" x14ac:dyDescent="0.6">
      <c r="A1732" s="251" t="s">
        <v>91</v>
      </c>
      <c r="B1732" s="69" t="s">
        <v>109</v>
      </c>
      <c r="C1732" s="25">
        <f>VLOOKUP($K1728,임금대장!$A$6:$AH$86,9,0)</f>
        <v>299000</v>
      </c>
      <c r="D1732" s="33" t="s">
        <v>110</v>
      </c>
      <c r="E1732" s="69"/>
      <c r="F1732" s="254"/>
      <c r="G1732" s="255"/>
      <c r="H1732" s="168"/>
      <c r="I1732" s="33"/>
      <c r="J1732" s="34"/>
    </row>
    <row r="1733" spans="1:10" ht="20.45" customHeight="1" x14ac:dyDescent="0.6">
      <c r="A1733" s="252"/>
      <c r="B1733" s="67"/>
      <c r="C1733" s="35"/>
      <c r="D1733" s="36"/>
      <c r="E1733" s="67"/>
      <c r="F1733" s="256"/>
      <c r="G1733" s="257"/>
      <c r="H1733" s="169"/>
      <c r="I1733" s="36"/>
      <c r="J1733" s="37"/>
    </row>
    <row r="1734" spans="1:10" ht="20.45" customHeight="1" x14ac:dyDescent="0.6">
      <c r="A1734" s="252"/>
      <c r="B1734" s="52"/>
      <c r="C1734" s="35"/>
      <c r="D1734" s="36"/>
      <c r="E1734" s="67"/>
      <c r="F1734" s="256"/>
      <c r="G1734" s="257"/>
      <c r="H1734" s="169"/>
      <c r="I1734" s="36"/>
      <c r="J1734" s="37"/>
    </row>
    <row r="1735" spans="1:10" ht="20.45" customHeight="1" x14ac:dyDescent="0.6">
      <c r="A1735" s="252"/>
      <c r="B1735" s="67"/>
      <c r="C1735" s="35"/>
      <c r="D1735" s="36"/>
      <c r="E1735" s="67"/>
      <c r="F1735" s="256"/>
      <c r="G1735" s="257"/>
      <c r="H1735" s="169"/>
      <c r="I1735" s="36"/>
      <c r="J1735" s="37"/>
    </row>
    <row r="1736" spans="1:10" ht="20.45" customHeight="1" x14ac:dyDescent="0.6">
      <c r="A1736" s="252"/>
      <c r="B1736" s="67"/>
      <c r="C1736" s="35"/>
      <c r="D1736" s="36"/>
      <c r="E1736" s="36"/>
      <c r="F1736" s="258"/>
      <c r="G1736" s="259"/>
      <c r="H1736" s="169"/>
      <c r="I1736" s="36"/>
      <c r="J1736" s="37"/>
    </row>
    <row r="1737" spans="1:10" ht="20.45" customHeight="1" x14ac:dyDescent="0.6">
      <c r="A1737" s="252"/>
      <c r="B1737" s="67"/>
      <c r="C1737" s="102"/>
      <c r="D1737" s="36"/>
      <c r="E1737" s="36"/>
      <c r="F1737" s="258"/>
      <c r="G1737" s="259"/>
      <c r="H1737" s="169"/>
      <c r="I1737" s="36"/>
      <c r="J1737" s="37"/>
    </row>
    <row r="1738" spans="1:10" ht="20.45" customHeight="1" x14ac:dyDescent="0.6">
      <c r="A1738" s="252"/>
      <c r="B1738" s="67"/>
      <c r="C1738" s="35"/>
      <c r="D1738" s="36"/>
      <c r="E1738" s="36"/>
      <c r="F1738" s="258"/>
      <c r="G1738" s="259"/>
      <c r="H1738" s="169"/>
      <c r="I1738" s="36"/>
      <c r="J1738" s="37"/>
    </row>
    <row r="1739" spans="1:10" ht="20.45" customHeight="1" x14ac:dyDescent="0.6">
      <c r="A1739" s="252"/>
      <c r="B1739" s="67"/>
      <c r="C1739" s="35"/>
      <c r="D1739" s="36"/>
      <c r="E1739" s="36"/>
      <c r="F1739" s="258"/>
      <c r="G1739" s="259"/>
      <c r="H1739" s="169"/>
      <c r="I1739" s="36"/>
      <c r="J1739" s="37"/>
    </row>
    <row r="1740" spans="1:10" ht="20.45" customHeight="1" x14ac:dyDescent="0.6">
      <c r="A1740" s="253"/>
      <c r="B1740" s="68"/>
      <c r="C1740" s="39"/>
      <c r="D1740" s="40"/>
      <c r="E1740" s="40"/>
      <c r="F1740" s="260"/>
      <c r="G1740" s="261"/>
      <c r="H1740" s="170"/>
      <c r="I1740" s="68" t="s">
        <v>95</v>
      </c>
      <c r="J1740" s="41">
        <f>SUM(C1732:H1738)</f>
        <v>299000</v>
      </c>
    </row>
    <row r="1741" spans="1:10" ht="20.45" customHeight="1" x14ac:dyDescent="0.6">
      <c r="A1741" s="251" t="s">
        <v>96</v>
      </c>
      <c r="B1741" s="36" t="s">
        <v>97</v>
      </c>
      <c r="C1741" s="35">
        <f>VLOOKUP($K1728,임금대장!$A$6:$AH$86,25,0)</f>
        <v>8970</v>
      </c>
      <c r="D1741" s="33"/>
      <c r="E1741" s="42"/>
      <c r="F1741" s="262" t="s">
        <v>14</v>
      </c>
      <c r="G1741" s="263"/>
      <c r="H1741" s="169">
        <f>VLOOKUP($K1728,임금대장!$A$6:$AH$86,19,0)</f>
        <v>0</v>
      </c>
      <c r="I1741" s="33"/>
      <c r="J1741" s="34"/>
    </row>
    <row r="1742" spans="1:10" ht="20.45" customHeight="1" x14ac:dyDescent="0.6">
      <c r="A1742" s="252"/>
      <c r="B1742" s="36" t="s">
        <v>98</v>
      </c>
      <c r="C1742" s="35">
        <f>VLOOKUP($K1728,임금대장!$A$6:$AH$86,26,0)</f>
        <v>890</v>
      </c>
      <c r="D1742" s="36"/>
      <c r="E1742" s="43"/>
      <c r="F1742" s="258" t="s">
        <v>12</v>
      </c>
      <c r="G1742" s="259"/>
      <c r="H1742" s="169">
        <f>VLOOKUP($K1728,임금대장!$A$6:$AH$86,17,0)</f>
        <v>0</v>
      </c>
      <c r="I1742" s="36"/>
      <c r="J1742" s="37"/>
    </row>
    <row r="1743" spans="1:10" ht="20.45" customHeight="1" x14ac:dyDescent="0.6">
      <c r="A1743" s="252"/>
      <c r="B1743" s="36" t="s">
        <v>99</v>
      </c>
      <c r="C1743" s="35">
        <f>VLOOKUP($K1728,임금대장!$A$6:$AH$86,27,0)</f>
        <v>0</v>
      </c>
      <c r="D1743" s="36"/>
      <c r="E1743" s="44"/>
      <c r="F1743" s="258" t="s">
        <v>100</v>
      </c>
      <c r="G1743" s="259"/>
      <c r="H1743" s="169">
        <f>VLOOKUP($K1728,임금대장!$A$6:$AH$86,31,0)</f>
        <v>0</v>
      </c>
      <c r="I1743" s="36"/>
      <c r="J1743" s="37"/>
    </row>
    <row r="1744" spans="1:10" ht="20.45" customHeight="1" x14ac:dyDescent="0.6">
      <c r="A1744" s="252"/>
      <c r="B1744" s="36" t="s">
        <v>101</v>
      </c>
      <c r="C1744" s="35">
        <f>VLOOKUP($K1728,임금대장!$A$6:$AH$86,28,0)</f>
        <v>0</v>
      </c>
      <c r="D1744" s="36"/>
      <c r="E1744" s="43"/>
      <c r="F1744" s="258" t="s">
        <v>102</v>
      </c>
      <c r="G1744" s="259"/>
      <c r="H1744" s="169">
        <f>VLOOKUP($K1728,임금대장!$A$6:$AH$86,30,0)</f>
        <v>0</v>
      </c>
      <c r="I1744" s="36"/>
      <c r="J1744" s="37"/>
    </row>
    <row r="1745" spans="1:11" ht="20.45" customHeight="1" x14ac:dyDescent="0.6">
      <c r="A1745" s="252"/>
      <c r="B1745" s="36" t="s">
        <v>31</v>
      </c>
      <c r="C1745" s="35">
        <f>VLOOKUP($K1728,임금대장!$A$6:$AH$86,29,0)</f>
        <v>0</v>
      </c>
      <c r="D1745" s="36"/>
      <c r="E1745" s="43"/>
      <c r="F1745" s="45"/>
      <c r="G1745" s="46"/>
      <c r="H1745" s="169"/>
      <c r="I1745" s="67" t="s">
        <v>103</v>
      </c>
      <c r="J1745" s="47">
        <f>SUM(C1741:H1746)</f>
        <v>9860</v>
      </c>
    </row>
    <row r="1746" spans="1:11" ht="20.45" customHeight="1" x14ac:dyDescent="0.6">
      <c r="A1746" s="253"/>
      <c r="B1746" s="40"/>
      <c r="C1746" s="101"/>
      <c r="D1746" s="40"/>
      <c r="E1746" s="48"/>
      <c r="F1746" s="260"/>
      <c r="G1746" s="261"/>
      <c r="H1746" s="170"/>
      <c r="I1746" s="68" t="s">
        <v>104</v>
      </c>
      <c r="J1746" s="49">
        <f>J1740-J1745</f>
        <v>289140</v>
      </c>
    </row>
    <row r="1747" spans="1:11" ht="20.45" customHeight="1" x14ac:dyDescent="0.6">
      <c r="A1747" s="50" t="s">
        <v>105</v>
      </c>
      <c r="J1747" s="51" t="s">
        <v>0</v>
      </c>
    </row>
    <row r="1749" spans="1:11" ht="20.45" customHeight="1" x14ac:dyDescent="0.6">
      <c r="A1749" s="264" t="s">
        <v>399</v>
      </c>
      <c r="B1749" s="264"/>
      <c r="C1749" s="264"/>
      <c r="D1749" s="264"/>
      <c r="E1749" s="264"/>
      <c r="F1749" s="264"/>
      <c r="G1749" s="264"/>
      <c r="H1749" s="264"/>
      <c r="I1749" s="264"/>
      <c r="J1749" s="264"/>
    </row>
    <row r="1750" spans="1:11" ht="20.45" customHeight="1" x14ac:dyDescent="0.6">
      <c r="A1750" s="265" t="s">
        <v>83</v>
      </c>
      <c r="B1750" s="250"/>
      <c r="C1750" s="266"/>
      <c r="D1750" s="265" t="s">
        <v>84</v>
      </c>
      <c r="E1750" s="266"/>
      <c r="F1750" s="265" t="s">
        <v>85</v>
      </c>
      <c r="G1750" s="250"/>
      <c r="H1750" s="266"/>
      <c r="I1750" s="265" t="s">
        <v>86</v>
      </c>
      <c r="J1750" s="266"/>
    </row>
    <row r="1751" spans="1:11" ht="20.45" customHeight="1" x14ac:dyDescent="0.6">
      <c r="A1751" s="265" t="str">
        <f>VLOOKUP(K1751,임금대장!$A$6:$AH$86,3,0)</f>
        <v>파트</v>
      </c>
      <c r="B1751" s="250"/>
      <c r="C1751" s="266"/>
      <c r="D1751" s="267" t="str">
        <f>VLOOKUP(K1751,임금대장!$A$6:$AH$86,2,0)</f>
        <v>백준희</v>
      </c>
      <c r="E1751" s="268"/>
      <c r="F1751" s="267">
        <f>임금대장!$O$3</f>
        <v>31</v>
      </c>
      <c r="G1751" s="269"/>
      <c r="H1751" s="268"/>
      <c r="I1751" s="270">
        <f>VLOOKUP(K1751,임금대장!$A$6:$AH$86,16,0)</f>
        <v>0</v>
      </c>
      <c r="J1751" s="271"/>
      <c r="K1751" s="30">
        <f>K1728+1</f>
        <v>77</v>
      </c>
    </row>
    <row r="1752" spans="1:11" ht="20.45" customHeight="1" x14ac:dyDescent="0.6">
      <c r="A1752" s="265" t="s">
        <v>107</v>
      </c>
      <c r="B1752" s="266"/>
      <c r="C1752" s="272" t="s">
        <v>5</v>
      </c>
      <c r="D1752" s="274"/>
      <c r="E1752" s="275"/>
      <c r="F1752" s="114" t="s">
        <v>108</v>
      </c>
      <c r="G1752" s="278">
        <f>VLOOKUP(K1751,임금대장!$A$6:$AH$86,15,0)</f>
        <v>54</v>
      </c>
      <c r="H1752" s="279"/>
      <c r="I1752" s="272" t="s">
        <v>89</v>
      </c>
      <c r="J1752" s="280">
        <f>VLOOKUP(K1751,임금대장!$A$6:$AH$86,17,0)</f>
        <v>0</v>
      </c>
    </row>
    <row r="1753" spans="1:11" ht="20.45" customHeight="1" x14ac:dyDescent="0.6">
      <c r="A1753" s="282">
        <f>C1755/G1752</f>
        <v>13000</v>
      </c>
      <c r="B1753" s="283"/>
      <c r="C1753" s="273"/>
      <c r="D1753" s="276"/>
      <c r="E1753" s="277"/>
      <c r="F1753" s="115" t="s">
        <v>90</v>
      </c>
      <c r="G1753" s="284">
        <f>VLOOKUP(K1751,임금대장!$A$6:$AH$86,16,0)</f>
        <v>0</v>
      </c>
      <c r="H1753" s="285"/>
      <c r="I1753" s="273"/>
      <c r="J1753" s="281"/>
    </row>
    <row r="1754" spans="1:11" ht="20.45" customHeight="1" x14ac:dyDescent="0.6">
      <c r="F1754" s="250"/>
      <c r="G1754" s="250"/>
    </row>
    <row r="1755" spans="1:11" ht="20.45" customHeight="1" x14ac:dyDescent="0.6">
      <c r="A1755" s="251" t="s">
        <v>91</v>
      </c>
      <c r="B1755" s="69" t="s">
        <v>109</v>
      </c>
      <c r="C1755" s="25">
        <f>VLOOKUP($K1751,임금대장!$A$6:$AH$86,9,0)</f>
        <v>702000</v>
      </c>
      <c r="D1755" s="33" t="s">
        <v>110</v>
      </c>
      <c r="E1755" s="69"/>
      <c r="F1755" s="254"/>
      <c r="G1755" s="255"/>
      <c r="H1755" s="168"/>
      <c r="I1755" s="33"/>
      <c r="J1755" s="34"/>
    </row>
    <row r="1756" spans="1:11" ht="20.45" customHeight="1" x14ac:dyDescent="0.6">
      <c r="A1756" s="252"/>
      <c r="B1756" s="67"/>
      <c r="C1756" s="35"/>
      <c r="D1756" s="36"/>
      <c r="E1756" s="67"/>
      <c r="F1756" s="256"/>
      <c r="G1756" s="257"/>
      <c r="H1756" s="169"/>
      <c r="I1756" s="36"/>
      <c r="J1756" s="37"/>
    </row>
    <row r="1757" spans="1:11" ht="20.45" customHeight="1" x14ac:dyDescent="0.6">
      <c r="A1757" s="252"/>
      <c r="B1757" s="52"/>
      <c r="C1757" s="35"/>
      <c r="D1757" s="36"/>
      <c r="E1757" s="67"/>
      <c r="F1757" s="256"/>
      <c r="G1757" s="257"/>
      <c r="H1757" s="169"/>
      <c r="I1757" s="36"/>
      <c r="J1757" s="37"/>
    </row>
    <row r="1758" spans="1:11" ht="20.45" customHeight="1" x14ac:dyDescent="0.6">
      <c r="A1758" s="252"/>
      <c r="B1758" s="67"/>
      <c r="C1758" s="35"/>
      <c r="D1758" s="36"/>
      <c r="E1758" s="67"/>
      <c r="F1758" s="256"/>
      <c r="G1758" s="257"/>
      <c r="H1758" s="169"/>
      <c r="I1758" s="36"/>
      <c r="J1758" s="37"/>
    </row>
    <row r="1759" spans="1:11" ht="20.45" customHeight="1" x14ac:dyDescent="0.6">
      <c r="A1759" s="252"/>
      <c r="B1759" s="67"/>
      <c r="C1759" s="35"/>
      <c r="D1759" s="36"/>
      <c r="E1759" s="36"/>
      <c r="F1759" s="258"/>
      <c r="G1759" s="259"/>
      <c r="H1759" s="169"/>
      <c r="I1759" s="36"/>
      <c r="J1759" s="37"/>
    </row>
    <row r="1760" spans="1:11" ht="20.45" customHeight="1" x14ac:dyDescent="0.6">
      <c r="A1760" s="252"/>
      <c r="B1760" s="67"/>
      <c r="C1760" s="102"/>
      <c r="D1760" s="36"/>
      <c r="E1760" s="36"/>
      <c r="F1760" s="258"/>
      <c r="G1760" s="259"/>
      <c r="H1760" s="169"/>
      <c r="I1760" s="36"/>
      <c r="J1760" s="37"/>
    </row>
    <row r="1761" spans="1:11" ht="20.45" customHeight="1" x14ac:dyDescent="0.6">
      <c r="A1761" s="252"/>
      <c r="B1761" s="67"/>
      <c r="C1761" s="35"/>
      <c r="D1761" s="36"/>
      <c r="E1761" s="36"/>
      <c r="F1761" s="258"/>
      <c r="G1761" s="259"/>
      <c r="H1761" s="169"/>
      <c r="I1761" s="36"/>
      <c r="J1761" s="37"/>
    </row>
    <row r="1762" spans="1:11" ht="20.45" customHeight="1" x14ac:dyDescent="0.6">
      <c r="A1762" s="252"/>
      <c r="B1762" s="67"/>
      <c r="C1762" s="35"/>
      <c r="D1762" s="36"/>
      <c r="E1762" s="36"/>
      <c r="F1762" s="258"/>
      <c r="G1762" s="259"/>
      <c r="H1762" s="169"/>
      <c r="I1762" s="36"/>
      <c r="J1762" s="37"/>
    </row>
    <row r="1763" spans="1:11" ht="20.45" customHeight="1" x14ac:dyDescent="0.6">
      <c r="A1763" s="253"/>
      <c r="B1763" s="68"/>
      <c r="C1763" s="39"/>
      <c r="D1763" s="40"/>
      <c r="E1763" s="40"/>
      <c r="F1763" s="260"/>
      <c r="G1763" s="261"/>
      <c r="H1763" s="170"/>
      <c r="I1763" s="68" t="s">
        <v>95</v>
      </c>
      <c r="J1763" s="41">
        <f>SUM(C1755:H1761)</f>
        <v>702000</v>
      </c>
    </row>
    <row r="1764" spans="1:11" ht="20.45" customHeight="1" x14ac:dyDescent="0.6">
      <c r="A1764" s="251" t="s">
        <v>96</v>
      </c>
      <c r="B1764" s="36" t="s">
        <v>97</v>
      </c>
      <c r="C1764" s="35">
        <f>VLOOKUP($K1751,임금대장!$A$6:$AH$86,25,0)</f>
        <v>21060</v>
      </c>
      <c r="D1764" s="33"/>
      <c r="E1764" s="42"/>
      <c r="F1764" s="262" t="s">
        <v>14</v>
      </c>
      <c r="G1764" s="263"/>
      <c r="H1764" s="169">
        <f>VLOOKUP($K1751,임금대장!$A$6:$AH$86,19,0)</f>
        <v>0</v>
      </c>
      <c r="I1764" s="33"/>
      <c r="J1764" s="34"/>
    </row>
    <row r="1765" spans="1:11" ht="20.45" customHeight="1" x14ac:dyDescent="0.6">
      <c r="A1765" s="252"/>
      <c r="B1765" s="36" t="s">
        <v>98</v>
      </c>
      <c r="C1765" s="35">
        <f>VLOOKUP($K1751,임금대장!$A$6:$AH$86,26,0)</f>
        <v>2100</v>
      </c>
      <c r="D1765" s="36"/>
      <c r="E1765" s="43"/>
      <c r="F1765" s="258" t="s">
        <v>12</v>
      </c>
      <c r="G1765" s="259"/>
      <c r="H1765" s="169">
        <f>VLOOKUP($K1751,임금대장!$A$6:$AH$86,17,0)</f>
        <v>0</v>
      </c>
      <c r="I1765" s="36"/>
      <c r="J1765" s="37"/>
    </row>
    <row r="1766" spans="1:11" ht="20.45" customHeight="1" x14ac:dyDescent="0.6">
      <c r="A1766" s="252"/>
      <c r="B1766" s="36" t="s">
        <v>99</v>
      </c>
      <c r="C1766" s="35">
        <f>VLOOKUP($K1751,임금대장!$A$6:$AH$86,27,0)</f>
        <v>0</v>
      </c>
      <c r="D1766" s="36"/>
      <c r="E1766" s="44"/>
      <c r="F1766" s="258" t="s">
        <v>100</v>
      </c>
      <c r="G1766" s="259"/>
      <c r="H1766" s="169">
        <f>VLOOKUP($K1751,임금대장!$A$6:$AH$86,31,0)</f>
        <v>0</v>
      </c>
      <c r="I1766" s="36"/>
      <c r="J1766" s="37"/>
    </row>
    <row r="1767" spans="1:11" ht="20.45" customHeight="1" x14ac:dyDescent="0.6">
      <c r="A1767" s="252"/>
      <c r="B1767" s="36" t="s">
        <v>101</v>
      </c>
      <c r="C1767" s="35">
        <f>VLOOKUP($K1751,임금대장!$A$6:$AH$86,28,0)</f>
        <v>0</v>
      </c>
      <c r="D1767" s="36"/>
      <c r="E1767" s="43"/>
      <c r="F1767" s="258" t="s">
        <v>102</v>
      </c>
      <c r="G1767" s="259"/>
      <c r="H1767" s="169">
        <f>VLOOKUP($K1751,임금대장!$A$6:$AH$86,30,0)</f>
        <v>0</v>
      </c>
      <c r="I1767" s="36"/>
      <c r="J1767" s="37"/>
    </row>
    <row r="1768" spans="1:11" ht="20.45" customHeight="1" x14ac:dyDescent="0.6">
      <c r="A1768" s="252"/>
      <c r="B1768" s="36" t="s">
        <v>31</v>
      </c>
      <c r="C1768" s="35">
        <f>VLOOKUP($K1751,임금대장!$A$6:$AH$86,29,0)</f>
        <v>0</v>
      </c>
      <c r="D1768" s="36"/>
      <c r="E1768" s="43"/>
      <c r="F1768" s="45"/>
      <c r="G1768" s="46"/>
      <c r="H1768" s="169"/>
      <c r="I1768" s="67" t="s">
        <v>103</v>
      </c>
      <c r="J1768" s="47">
        <f>SUM(C1764:H1769)</f>
        <v>23160</v>
      </c>
    </row>
    <row r="1769" spans="1:11" ht="20.45" customHeight="1" x14ac:dyDescent="0.6">
      <c r="A1769" s="253"/>
      <c r="B1769" s="40"/>
      <c r="C1769" s="101"/>
      <c r="D1769" s="40"/>
      <c r="E1769" s="48"/>
      <c r="F1769" s="260"/>
      <c r="G1769" s="261"/>
      <c r="H1769" s="170"/>
      <c r="I1769" s="68" t="s">
        <v>104</v>
      </c>
      <c r="J1769" s="49">
        <f>J1763-J1768</f>
        <v>678840</v>
      </c>
    </row>
    <row r="1770" spans="1:11" ht="20.45" customHeight="1" x14ac:dyDescent="0.6">
      <c r="A1770" s="50" t="s">
        <v>105</v>
      </c>
      <c r="J1770" s="51" t="s">
        <v>0</v>
      </c>
    </row>
    <row r="1772" spans="1:11" ht="20.45" customHeight="1" x14ac:dyDescent="0.6">
      <c r="A1772" s="264" t="s">
        <v>399</v>
      </c>
      <c r="B1772" s="264"/>
      <c r="C1772" s="264"/>
      <c r="D1772" s="264"/>
      <c r="E1772" s="264"/>
      <c r="F1772" s="264"/>
      <c r="G1772" s="264"/>
      <c r="H1772" s="264"/>
      <c r="I1772" s="264"/>
      <c r="J1772" s="264"/>
    </row>
    <row r="1773" spans="1:11" ht="20.45" customHeight="1" x14ac:dyDescent="0.6">
      <c r="A1773" s="265" t="s">
        <v>83</v>
      </c>
      <c r="B1773" s="250"/>
      <c r="C1773" s="266"/>
      <c r="D1773" s="265" t="s">
        <v>84</v>
      </c>
      <c r="E1773" s="266"/>
      <c r="F1773" s="265" t="s">
        <v>85</v>
      </c>
      <c r="G1773" s="250"/>
      <c r="H1773" s="266"/>
      <c r="I1773" s="265" t="s">
        <v>86</v>
      </c>
      <c r="J1773" s="266"/>
    </row>
    <row r="1774" spans="1:11" ht="20.45" customHeight="1" x14ac:dyDescent="0.6">
      <c r="A1774" s="265" t="str">
        <f>VLOOKUP(K1774,임금대장!$A$6:$AH$86,3,0)</f>
        <v>파트</v>
      </c>
      <c r="B1774" s="250"/>
      <c r="C1774" s="266"/>
      <c r="D1774" s="267" t="str">
        <f>VLOOKUP(K1774,임금대장!$A$6:$AH$86,2,0)</f>
        <v>이현석</v>
      </c>
      <c r="E1774" s="268"/>
      <c r="F1774" s="267">
        <f>임금대장!$O$3</f>
        <v>31</v>
      </c>
      <c r="G1774" s="269"/>
      <c r="H1774" s="268"/>
      <c r="I1774" s="270">
        <f>VLOOKUP(K1774,임금대장!$A$6:$AH$86,16,0)</f>
        <v>0</v>
      </c>
      <c r="J1774" s="271"/>
      <c r="K1774" s="30">
        <f>K1751+1</f>
        <v>78</v>
      </c>
    </row>
    <row r="1775" spans="1:11" ht="20.45" customHeight="1" x14ac:dyDescent="0.6">
      <c r="A1775" s="265" t="s">
        <v>107</v>
      </c>
      <c r="B1775" s="266"/>
      <c r="C1775" s="272" t="s">
        <v>5</v>
      </c>
      <c r="D1775" s="274"/>
      <c r="E1775" s="275"/>
      <c r="F1775" s="114" t="s">
        <v>108</v>
      </c>
      <c r="G1775" s="278">
        <f>VLOOKUP(K1774,임금대장!$A$6:$AH$86,15,0)</f>
        <v>144</v>
      </c>
      <c r="H1775" s="279"/>
      <c r="I1775" s="272" t="s">
        <v>89</v>
      </c>
      <c r="J1775" s="280">
        <f>VLOOKUP(K1774,임금대장!$A$6:$AH$86,17,0)</f>
        <v>0</v>
      </c>
    </row>
    <row r="1776" spans="1:11" ht="20.45" customHeight="1" x14ac:dyDescent="0.6">
      <c r="A1776" s="282">
        <f>C1778/G1775</f>
        <v>13000</v>
      </c>
      <c r="B1776" s="283"/>
      <c r="C1776" s="273"/>
      <c r="D1776" s="276"/>
      <c r="E1776" s="277"/>
      <c r="F1776" s="115" t="s">
        <v>90</v>
      </c>
      <c r="G1776" s="284">
        <f>VLOOKUP(K1774,임금대장!$A$6:$AH$86,16,0)</f>
        <v>0</v>
      </c>
      <c r="H1776" s="285"/>
      <c r="I1776" s="273"/>
      <c r="J1776" s="281"/>
    </row>
    <row r="1777" spans="1:10" ht="20.45" customHeight="1" x14ac:dyDescent="0.6">
      <c r="F1777" s="250"/>
      <c r="G1777" s="250"/>
    </row>
    <row r="1778" spans="1:10" ht="20.45" customHeight="1" x14ac:dyDescent="0.6">
      <c r="A1778" s="251" t="s">
        <v>91</v>
      </c>
      <c r="B1778" s="69" t="s">
        <v>109</v>
      </c>
      <c r="C1778" s="25">
        <f>VLOOKUP($K1774,임금대장!$A$6:$AH$86,9,0)</f>
        <v>1872000</v>
      </c>
      <c r="D1778" s="33" t="s">
        <v>110</v>
      </c>
      <c r="E1778" s="69"/>
      <c r="F1778" s="254"/>
      <c r="G1778" s="255"/>
      <c r="H1778" s="168"/>
      <c r="I1778" s="33"/>
      <c r="J1778" s="34"/>
    </row>
    <row r="1779" spans="1:10" ht="20.45" customHeight="1" x14ac:dyDescent="0.6">
      <c r="A1779" s="252"/>
      <c r="B1779" s="67"/>
      <c r="C1779" s="35"/>
      <c r="D1779" s="36"/>
      <c r="E1779" s="67"/>
      <c r="F1779" s="256"/>
      <c r="G1779" s="257"/>
      <c r="H1779" s="169"/>
      <c r="I1779" s="36"/>
      <c r="J1779" s="37"/>
    </row>
    <row r="1780" spans="1:10" ht="20.45" customHeight="1" x14ac:dyDescent="0.6">
      <c r="A1780" s="252"/>
      <c r="B1780" s="52"/>
      <c r="C1780" s="35"/>
      <c r="D1780" s="36"/>
      <c r="E1780" s="67"/>
      <c r="F1780" s="256"/>
      <c r="G1780" s="257"/>
      <c r="H1780" s="169"/>
      <c r="I1780" s="36"/>
      <c r="J1780" s="37"/>
    </row>
    <row r="1781" spans="1:10" ht="20.45" customHeight="1" x14ac:dyDescent="0.6">
      <c r="A1781" s="252"/>
      <c r="B1781" s="67"/>
      <c r="C1781" s="35"/>
      <c r="D1781" s="36"/>
      <c r="E1781" s="67"/>
      <c r="F1781" s="256"/>
      <c r="G1781" s="257"/>
      <c r="H1781" s="169"/>
      <c r="I1781" s="36"/>
      <c r="J1781" s="37"/>
    </row>
    <row r="1782" spans="1:10" ht="20.45" customHeight="1" x14ac:dyDescent="0.6">
      <c r="A1782" s="252"/>
      <c r="B1782" s="67"/>
      <c r="C1782" s="35"/>
      <c r="D1782" s="36"/>
      <c r="E1782" s="36"/>
      <c r="F1782" s="258"/>
      <c r="G1782" s="259"/>
      <c r="H1782" s="169"/>
      <c r="I1782" s="36"/>
      <c r="J1782" s="37"/>
    </row>
    <row r="1783" spans="1:10" ht="20.45" customHeight="1" x14ac:dyDescent="0.6">
      <c r="A1783" s="252"/>
      <c r="B1783" s="67"/>
      <c r="C1783" s="102"/>
      <c r="D1783" s="36"/>
      <c r="E1783" s="36"/>
      <c r="F1783" s="258"/>
      <c r="G1783" s="259"/>
      <c r="H1783" s="169"/>
      <c r="I1783" s="36"/>
      <c r="J1783" s="37"/>
    </row>
    <row r="1784" spans="1:10" ht="20.45" customHeight="1" x14ac:dyDescent="0.6">
      <c r="A1784" s="252"/>
      <c r="B1784" s="67"/>
      <c r="C1784" s="35"/>
      <c r="D1784" s="36"/>
      <c r="E1784" s="36"/>
      <c r="F1784" s="258"/>
      <c r="G1784" s="259"/>
      <c r="H1784" s="169"/>
      <c r="I1784" s="36"/>
      <c r="J1784" s="37"/>
    </row>
    <row r="1785" spans="1:10" ht="20.45" customHeight="1" x14ac:dyDescent="0.6">
      <c r="A1785" s="252"/>
      <c r="B1785" s="67"/>
      <c r="C1785" s="35"/>
      <c r="D1785" s="36"/>
      <c r="E1785" s="36"/>
      <c r="F1785" s="258"/>
      <c r="G1785" s="259"/>
      <c r="H1785" s="169"/>
      <c r="I1785" s="36"/>
      <c r="J1785" s="37"/>
    </row>
    <row r="1786" spans="1:10" ht="20.45" customHeight="1" x14ac:dyDescent="0.6">
      <c r="A1786" s="253"/>
      <c r="B1786" s="68"/>
      <c r="C1786" s="39"/>
      <c r="D1786" s="40"/>
      <c r="E1786" s="40"/>
      <c r="F1786" s="260"/>
      <c r="G1786" s="261"/>
      <c r="H1786" s="170"/>
      <c r="I1786" s="68" t="s">
        <v>95</v>
      </c>
      <c r="J1786" s="41">
        <f>SUM(C1778:H1784)</f>
        <v>1872000</v>
      </c>
    </row>
    <row r="1787" spans="1:10" ht="20.45" customHeight="1" x14ac:dyDescent="0.6">
      <c r="A1787" s="251" t="s">
        <v>96</v>
      </c>
      <c r="B1787" s="36" t="s">
        <v>97</v>
      </c>
      <c r="C1787" s="35">
        <f>VLOOKUP($K1774,임금대장!$A$6:$AH$86,25,0)</f>
        <v>56160</v>
      </c>
      <c r="D1787" s="33"/>
      <c r="E1787" s="42"/>
      <c r="F1787" s="262" t="s">
        <v>14</v>
      </c>
      <c r="G1787" s="263"/>
      <c r="H1787" s="169">
        <f>VLOOKUP($K1774,임금대장!$A$6:$AH$86,19,0)</f>
        <v>0</v>
      </c>
      <c r="I1787" s="33"/>
      <c r="J1787" s="34"/>
    </row>
    <row r="1788" spans="1:10" ht="20.45" customHeight="1" x14ac:dyDescent="0.6">
      <c r="A1788" s="252"/>
      <c r="B1788" s="36" t="s">
        <v>98</v>
      </c>
      <c r="C1788" s="35">
        <f>VLOOKUP($K1774,임금대장!$A$6:$AH$86,26,0)</f>
        <v>5610</v>
      </c>
      <c r="D1788" s="36"/>
      <c r="E1788" s="43"/>
      <c r="F1788" s="258" t="s">
        <v>12</v>
      </c>
      <c r="G1788" s="259"/>
      <c r="H1788" s="169">
        <f>VLOOKUP($K1774,임금대장!$A$6:$AH$86,17,0)</f>
        <v>0</v>
      </c>
      <c r="I1788" s="36"/>
      <c r="J1788" s="37"/>
    </row>
    <row r="1789" spans="1:10" ht="20.45" customHeight="1" x14ac:dyDescent="0.6">
      <c r="A1789" s="252"/>
      <c r="B1789" s="36" t="s">
        <v>99</v>
      </c>
      <c r="C1789" s="35">
        <f>VLOOKUP($K1774,임금대장!$A$6:$AH$86,27,0)</f>
        <v>0</v>
      </c>
      <c r="D1789" s="36"/>
      <c r="E1789" s="44"/>
      <c r="F1789" s="258" t="s">
        <v>100</v>
      </c>
      <c r="G1789" s="259"/>
      <c r="H1789" s="169">
        <f>VLOOKUP($K1774,임금대장!$A$6:$AH$86,31,0)</f>
        <v>0</v>
      </c>
      <c r="I1789" s="36"/>
      <c r="J1789" s="37"/>
    </row>
    <row r="1790" spans="1:10" ht="20.45" customHeight="1" x14ac:dyDescent="0.6">
      <c r="A1790" s="252"/>
      <c r="B1790" s="36" t="s">
        <v>101</v>
      </c>
      <c r="C1790" s="35">
        <f>VLOOKUP($K1774,임금대장!$A$6:$AH$86,28,0)</f>
        <v>0</v>
      </c>
      <c r="D1790" s="36"/>
      <c r="E1790" s="43"/>
      <c r="F1790" s="258" t="s">
        <v>102</v>
      </c>
      <c r="G1790" s="259"/>
      <c r="H1790" s="169">
        <f>VLOOKUP($K1774,임금대장!$A$6:$AH$86,30,0)</f>
        <v>0</v>
      </c>
      <c r="I1790" s="36"/>
      <c r="J1790" s="37"/>
    </row>
    <row r="1791" spans="1:10" ht="20.45" customHeight="1" x14ac:dyDescent="0.6">
      <c r="A1791" s="252"/>
      <c r="B1791" s="36" t="s">
        <v>31</v>
      </c>
      <c r="C1791" s="35">
        <f>VLOOKUP($K1774,임금대장!$A$6:$AH$86,29,0)</f>
        <v>0</v>
      </c>
      <c r="D1791" s="36"/>
      <c r="E1791" s="43"/>
      <c r="F1791" s="45"/>
      <c r="G1791" s="46"/>
      <c r="H1791" s="169"/>
      <c r="I1791" s="67" t="s">
        <v>103</v>
      </c>
      <c r="J1791" s="47">
        <f>SUM(C1787:H1792)</f>
        <v>61770</v>
      </c>
    </row>
    <row r="1792" spans="1:10" ht="20.45" customHeight="1" x14ac:dyDescent="0.6">
      <c r="A1792" s="253"/>
      <c r="B1792" s="40"/>
      <c r="C1792" s="101"/>
      <c r="D1792" s="40"/>
      <c r="E1792" s="48"/>
      <c r="F1792" s="260"/>
      <c r="G1792" s="261"/>
      <c r="H1792" s="170"/>
      <c r="I1792" s="68" t="s">
        <v>104</v>
      </c>
      <c r="J1792" s="49">
        <f>J1786-J1791</f>
        <v>1810230</v>
      </c>
    </row>
    <row r="1793" spans="1:11" ht="20.45" customHeight="1" x14ac:dyDescent="0.6">
      <c r="A1793" s="50" t="s">
        <v>105</v>
      </c>
      <c r="J1793" s="51" t="s">
        <v>0</v>
      </c>
    </row>
    <row r="1795" spans="1:11" ht="20.45" hidden="1" customHeight="1" x14ac:dyDescent="0.6">
      <c r="A1795" s="264" t="s">
        <v>399</v>
      </c>
      <c r="B1795" s="264"/>
      <c r="C1795" s="264"/>
      <c r="D1795" s="264"/>
      <c r="E1795" s="264"/>
      <c r="F1795" s="264"/>
      <c r="G1795" s="264"/>
      <c r="H1795" s="264"/>
      <c r="I1795" s="264"/>
      <c r="J1795" s="264"/>
    </row>
    <row r="1796" spans="1:11" ht="20.45" hidden="1" customHeight="1" x14ac:dyDescent="0.6">
      <c r="A1796" s="265" t="s">
        <v>83</v>
      </c>
      <c r="B1796" s="250"/>
      <c r="C1796" s="266"/>
      <c r="D1796" s="265" t="s">
        <v>84</v>
      </c>
      <c r="E1796" s="266"/>
      <c r="F1796" s="265" t="s">
        <v>85</v>
      </c>
      <c r="G1796" s="250"/>
      <c r="H1796" s="266"/>
      <c r="I1796" s="265" t="s">
        <v>86</v>
      </c>
      <c r="J1796" s="266"/>
    </row>
    <row r="1797" spans="1:11" ht="20.45" hidden="1" customHeight="1" x14ac:dyDescent="0.6">
      <c r="A1797" s="265" t="e">
        <f>VLOOKUP(K1797,임금대장!$A$6:$AH$86,3,0)</f>
        <v>#N/A</v>
      </c>
      <c r="B1797" s="250"/>
      <c r="C1797" s="266"/>
      <c r="D1797" s="267" t="e">
        <f>VLOOKUP(K1797,임금대장!$A$6:$AH$86,2,0)</f>
        <v>#N/A</v>
      </c>
      <c r="E1797" s="268"/>
      <c r="F1797" s="267">
        <f>임금대장!$O$3</f>
        <v>31</v>
      </c>
      <c r="G1797" s="269"/>
      <c r="H1797" s="268"/>
      <c r="I1797" s="270" t="e">
        <f>VLOOKUP(K1797,임금대장!$A$6:$AH$86,16,0)</f>
        <v>#N/A</v>
      </c>
      <c r="J1797" s="271"/>
      <c r="K1797" s="30">
        <f>K1774+1</f>
        <v>79</v>
      </c>
    </row>
    <row r="1798" spans="1:11" ht="20.45" hidden="1" customHeight="1" x14ac:dyDescent="0.6">
      <c r="A1798" s="265" t="s">
        <v>107</v>
      </c>
      <c r="B1798" s="266"/>
      <c r="C1798" s="272" t="s">
        <v>5</v>
      </c>
      <c r="D1798" s="274"/>
      <c r="E1798" s="275"/>
      <c r="F1798" s="114" t="s">
        <v>108</v>
      </c>
      <c r="G1798" s="278" t="e">
        <f>VLOOKUP(K1797,임금대장!$A$6:$AH$86,15,0)</f>
        <v>#N/A</v>
      </c>
      <c r="H1798" s="279"/>
      <c r="I1798" s="272" t="s">
        <v>89</v>
      </c>
      <c r="J1798" s="280" t="e">
        <f>VLOOKUP(K1797,임금대장!$A$6:$AH$86,17,0)</f>
        <v>#N/A</v>
      </c>
    </row>
    <row r="1799" spans="1:11" ht="20.45" hidden="1" customHeight="1" x14ac:dyDescent="0.6">
      <c r="A1799" s="282" t="e">
        <f>C1801/G1798</f>
        <v>#N/A</v>
      </c>
      <c r="B1799" s="283"/>
      <c r="C1799" s="273"/>
      <c r="D1799" s="276"/>
      <c r="E1799" s="277"/>
      <c r="F1799" s="115" t="s">
        <v>90</v>
      </c>
      <c r="G1799" s="284" t="e">
        <f>VLOOKUP(K1797,임금대장!$A$6:$AH$86,16,0)</f>
        <v>#N/A</v>
      </c>
      <c r="H1799" s="285"/>
      <c r="I1799" s="273"/>
      <c r="J1799" s="281"/>
    </row>
    <row r="1800" spans="1:11" ht="20.45" hidden="1" customHeight="1" x14ac:dyDescent="0.6">
      <c r="F1800" s="250"/>
      <c r="G1800" s="250"/>
    </row>
    <row r="1801" spans="1:11" ht="20.45" hidden="1" customHeight="1" x14ac:dyDescent="0.6">
      <c r="A1801" s="251" t="s">
        <v>91</v>
      </c>
      <c r="B1801" s="69" t="s">
        <v>109</v>
      </c>
      <c r="C1801" s="25" t="e">
        <f>VLOOKUP($K1797,임금대장!$A$6:$AH$86,9,0)</f>
        <v>#N/A</v>
      </c>
      <c r="D1801" s="33" t="s">
        <v>110</v>
      </c>
      <c r="E1801" s="69"/>
      <c r="F1801" s="254"/>
      <c r="G1801" s="255"/>
      <c r="H1801" s="168"/>
      <c r="I1801" s="33"/>
      <c r="J1801" s="34"/>
    </row>
    <row r="1802" spans="1:11" ht="20.45" hidden="1" customHeight="1" x14ac:dyDescent="0.6">
      <c r="A1802" s="252"/>
      <c r="B1802" s="67"/>
      <c r="C1802" s="35"/>
      <c r="D1802" s="36"/>
      <c r="E1802" s="67"/>
      <c r="F1802" s="256"/>
      <c r="G1802" s="257"/>
      <c r="H1802" s="169"/>
      <c r="I1802" s="36"/>
      <c r="J1802" s="37"/>
    </row>
    <row r="1803" spans="1:11" ht="20.45" hidden="1" customHeight="1" x14ac:dyDescent="0.6">
      <c r="A1803" s="252"/>
      <c r="B1803" s="52"/>
      <c r="C1803" s="35"/>
      <c r="D1803" s="36"/>
      <c r="E1803" s="67"/>
      <c r="F1803" s="256"/>
      <c r="G1803" s="257"/>
      <c r="H1803" s="169"/>
      <c r="I1803" s="36"/>
      <c r="J1803" s="37"/>
    </row>
    <row r="1804" spans="1:11" ht="20.45" hidden="1" customHeight="1" x14ac:dyDescent="0.6">
      <c r="A1804" s="252"/>
      <c r="B1804" s="67"/>
      <c r="C1804" s="35"/>
      <c r="D1804" s="36"/>
      <c r="E1804" s="67"/>
      <c r="F1804" s="256"/>
      <c r="G1804" s="257"/>
      <c r="H1804" s="169"/>
      <c r="I1804" s="36"/>
      <c r="J1804" s="37"/>
    </row>
    <row r="1805" spans="1:11" ht="20.45" hidden="1" customHeight="1" x14ac:dyDescent="0.6">
      <c r="A1805" s="252"/>
      <c r="B1805" s="67"/>
      <c r="C1805" s="35"/>
      <c r="D1805" s="36"/>
      <c r="E1805" s="36"/>
      <c r="F1805" s="258"/>
      <c r="G1805" s="259"/>
      <c r="H1805" s="169"/>
      <c r="I1805" s="36"/>
      <c r="J1805" s="37"/>
    </row>
    <row r="1806" spans="1:11" ht="20.45" hidden="1" customHeight="1" x14ac:dyDescent="0.6">
      <c r="A1806" s="252"/>
      <c r="B1806" s="67"/>
      <c r="C1806" s="102"/>
      <c r="D1806" s="36"/>
      <c r="E1806" s="36"/>
      <c r="F1806" s="258"/>
      <c r="G1806" s="259"/>
      <c r="H1806" s="169"/>
      <c r="I1806" s="36"/>
      <c r="J1806" s="37"/>
    </row>
    <row r="1807" spans="1:11" ht="20.45" hidden="1" customHeight="1" x14ac:dyDescent="0.6">
      <c r="A1807" s="252"/>
      <c r="B1807" s="67"/>
      <c r="C1807" s="35"/>
      <c r="D1807" s="36"/>
      <c r="E1807" s="36"/>
      <c r="F1807" s="258"/>
      <c r="G1807" s="259"/>
      <c r="H1807" s="169"/>
      <c r="I1807" s="36"/>
      <c r="J1807" s="37"/>
    </row>
    <row r="1808" spans="1:11" ht="20.45" hidden="1" customHeight="1" x14ac:dyDescent="0.6">
      <c r="A1808" s="252"/>
      <c r="B1808" s="67"/>
      <c r="C1808" s="35"/>
      <c r="D1808" s="36"/>
      <c r="E1808" s="36"/>
      <c r="F1808" s="258"/>
      <c r="G1808" s="259"/>
      <c r="H1808" s="169"/>
      <c r="I1808" s="36"/>
      <c r="J1808" s="37"/>
    </row>
    <row r="1809" spans="1:11" ht="20.45" hidden="1" customHeight="1" x14ac:dyDescent="0.6">
      <c r="A1809" s="253"/>
      <c r="B1809" s="68"/>
      <c r="C1809" s="39"/>
      <c r="D1809" s="40"/>
      <c r="E1809" s="40"/>
      <c r="F1809" s="260"/>
      <c r="G1809" s="261"/>
      <c r="H1809" s="170"/>
      <c r="I1809" s="68" t="s">
        <v>95</v>
      </c>
      <c r="J1809" s="41" t="e">
        <f>SUM(C1801:H1807)</f>
        <v>#N/A</v>
      </c>
    </row>
    <row r="1810" spans="1:11" ht="20.45" hidden="1" customHeight="1" x14ac:dyDescent="0.6">
      <c r="A1810" s="251" t="s">
        <v>96</v>
      </c>
      <c r="B1810" s="36" t="s">
        <v>97</v>
      </c>
      <c r="C1810" s="35" t="e">
        <f>VLOOKUP($K1797,임금대장!$A$6:$AH$86,25,0)</f>
        <v>#N/A</v>
      </c>
      <c r="D1810" s="33"/>
      <c r="E1810" s="42"/>
      <c r="F1810" s="262" t="s">
        <v>14</v>
      </c>
      <c r="G1810" s="263"/>
      <c r="H1810" s="169" t="e">
        <f>VLOOKUP($K1797,임금대장!$A$6:$AH$86,19,0)</f>
        <v>#N/A</v>
      </c>
      <c r="I1810" s="33"/>
      <c r="J1810" s="34"/>
    </row>
    <row r="1811" spans="1:11" ht="20.45" hidden="1" customHeight="1" x14ac:dyDescent="0.6">
      <c r="A1811" s="252"/>
      <c r="B1811" s="36" t="s">
        <v>98</v>
      </c>
      <c r="C1811" s="35" t="e">
        <f>VLOOKUP($K1797,임금대장!$A$6:$AH$86,26,0)</f>
        <v>#N/A</v>
      </c>
      <c r="D1811" s="36"/>
      <c r="E1811" s="43"/>
      <c r="F1811" s="258" t="s">
        <v>12</v>
      </c>
      <c r="G1811" s="259"/>
      <c r="H1811" s="169" t="e">
        <f>VLOOKUP($K1797,임금대장!$A$6:$AH$86,17,0)</f>
        <v>#N/A</v>
      </c>
      <c r="I1811" s="36"/>
      <c r="J1811" s="37"/>
    </row>
    <row r="1812" spans="1:11" ht="20.45" hidden="1" customHeight="1" x14ac:dyDescent="0.6">
      <c r="A1812" s="252"/>
      <c r="B1812" s="36" t="s">
        <v>99</v>
      </c>
      <c r="C1812" s="35" t="e">
        <f>VLOOKUP($K1797,임금대장!$A$6:$AH$86,27,0)</f>
        <v>#N/A</v>
      </c>
      <c r="D1812" s="36"/>
      <c r="E1812" s="44"/>
      <c r="F1812" s="258" t="s">
        <v>100</v>
      </c>
      <c r="G1812" s="259"/>
      <c r="H1812" s="169" t="e">
        <f>VLOOKUP($K1797,임금대장!$A$6:$AH$86,31,0)</f>
        <v>#N/A</v>
      </c>
      <c r="I1812" s="36"/>
      <c r="J1812" s="37"/>
    </row>
    <row r="1813" spans="1:11" ht="20.45" hidden="1" customHeight="1" x14ac:dyDescent="0.6">
      <c r="A1813" s="252"/>
      <c r="B1813" s="36" t="s">
        <v>101</v>
      </c>
      <c r="C1813" s="35" t="e">
        <f>VLOOKUP($K1797,임금대장!$A$6:$AH$86,28,0)</f>
        <v>#N/A</v>
      </c>
      <c r="D1813" s="36"/>
      <c r="E1813" s="43"/>
      <c r="F1813" s="258" t="s">
        <v>102</v>
      </c>
      <c r="G1813" s="259"/>
      <c r="H1813" s="169" t="e">
        <f>VLOOKUP($K1797,임금대장!$A$6:$AH$86,30,0)</f>
        <v>#N/A</v>
      </c>
      <c r="I1813" s="36"/>
      <c r="J1813" s="37"/>
    </row>
    <row r="1814" spans="1:11" ht="20.45" hidden="1" customHeight="1" x14ac:dyDescent="0.6">
      <c r="A1814" s="252"/>
      <c r="B1814" s="36" t="s">
        <v>31</v>
      </c>
      <c r="C1814" s="35" t="e">
        <f>VLOOKUP($K1797,임금대장!$A$6:$AH$86,29,0)</f>
        <v>#N/A</v>
      </c>
      <c r="D1814" s="36"/>
      <c r="E1814" s="43"/>
      <c r="F1814" s="45"/>
      <c r="G1814" s="46"/>
      <c r="H1814" s="169"/>
      <c r="I1814" s="67" t="s">
        <v>103</v>
      </c>
      <c r="J1814" s="47" t="e">
        <f>SUM(C1810:H1815)</f>
        <v>#N/A</v>
      </c>
    </row>
    <row r="1815" spans="1:11" ht="20.45" hidden="1" customHeight="1" x14ac:dyDescent="0.6">
      <c r="A1815" s="253"/>
      <c r="B1815" s="40"/>
      <c r="C1815" s="101"/>
      <c r="D1815" s="40"/>
      <c r="E1815" s="48"/>
      <c r="F1815" s="260"/>
      <c r="G1815" s="261"/>
      <c r="H1815" s="170"/>
      <c r="I1815" s="68" t="s">
        <v>104</v>
      </c>
      <c r="J1815" s="49" t="e">
        <f>J1809-J1814</f>
        <v>#N/A</v>
      </c>
    </row>
    <row r="1816" spans="1:11" ht="20.45" hidden="1" customHeight="1" x14ac:dyDescent="0.6">
      <c r="A1816" s="50" t="s">
        <v>105</v>
      </c>
      <c r="J1816" s="51" t="s">
        <v>0</v>
      </c>
    </row>
    <row r="1817" spans="1:11" ht="20.45" hidden="1" customHeight="1" x14ac:dyDescent="0.6"/>
    <row r="1818" spans="1:11" ht="20.45" hidden="1" customHeight="1" x14ac:dyDescent="0.6">
      <c r="A1818" s="264" t="s">
        <v>399</v>
      </c>
      <c r="B1818" s="264"/>
      <c r="C1818" s="264"/>
      <c r="D1818" s="264"/>
      <c r="E1818" s="264"/>
      <c r="F1818" s="264"/>
      <c r="G1818" s="264"/>
      <c r="H1818" s="264"/>
      <c r="I1818" s="264"/>
      <c r="J1818" s="264"/>
    </row>
    <row r="1819" spans="1:11" ht="20.45" hidden="1" customHeight="1" x14ac:dyDescent="0.6">
      <c r="A1819" s="265" t="s">
        <v>83</v>
      </c>
      <c r="B1819" s="250"/>
      <c r="C1819" s="266"/>
      <c r="D1819" s="265" t="s">
        <v>84</v>
      </c>
      <c r="E1819" s="266"/>
      <c r="F1819" s="265" t="s">
        <v>85</v>
      </c>
      <c r="G1819" s="250"/>
      <c r="H1819" s="266"/>
      <c r="I1819" s="265" t="s">
        <v>86</v>
      </c>
      <c r="J1819" s="266"/>
    </row>
    <row r="1820" spans="1:11" ht="20.45" hidden="1" customHeight="1" x14ac:dyDescent="0.6">
      <c r="A1820" s="265" t="e">
        <f>VLOOKUP(K1820,임금대장!$A$6:$AH$86,3,0)</f>
        <v>#N/A</v>
      </c>
      <c r="B1820" s="250"/>
      <c r="C1820" s="266"/>
      <c r="D1820" s="267" t="e">
        <f>VLOOKUP(K1820,임금대장!$A$6:$AH$86,2,0)</f>
        <v>#N/A</v>
      </c>
      <c r="E1820" s="268"/>
      <c r="F1820" s="267">
        <f>임금대장!$O$3</f>
        <v>31</v>
      </c>
      <c r="G1820" s="269"/>
      <c r="H1820" s="268"/>
      <c r="I1820" s="270" t="e">
        <f>VLOOKUP(K1820,임금대장!$A$6:$AH$86,16,0)</f>
        <v>#N/A</v>
      </c>
      <c r="J1820" s="271"/>
      <c r="K1820" s="30">
        <f>K1797+1</f>
        <v>80</v>
      </c>
    </row>
    <row r="1821" spans="1:11" ht="20.45" hidden="1" customHeight="1" x14ac:dyDescent="0.6">
      <c r="A1821" s="265" t="s">
        <v>107</v>
      </c>
      <c r="B1821" s="266"/>
      <c r="C1821" s="272" t="s">
        <v>5</v>
      </c>
      <c r="D1821" s="274" t="e">
        <f>VLOOKUP($K1820,임금대장!$A$6:$AH$86,5,0)</f>
        <v>#N/A</v>
      </c>
      <c r="E1821" s="275"/>
      <c r="F1821" s="114" t="s">
        <v>108</v>
      </c>
      <c r="G1821" s="278" t="e">
        <f>VLOOKUP(K1820,임금대장!$A$6:$AH$86,15,0)</f>
        <v>#N/A</v>
      </c>
      <c r="H1821" s="279"/>
      <c r="I1821" s="272" t="s">
        <v>89</v>
      </c>
      <c r="J1821" s="280" t="e">
        <f>VLOOKUP(K1820,임금대장!$A$6:$AH$86,17,0)</f>
        <v>#N/A</v>
      </c>
    </row>
    <row r="1822" spans="1:11" ht="20.45" hidden="1" customHeight="1" x14ac:dyDescent="0.6">
      <c r="A1822" s="282" t="e">
        <f>C1824/G1821</f>
        <v>#N/A</v>
      </c>
      <c r="B1822" s="283"/>
      <c r="C1822" s="273"/>
      <c r="D1822" s="276"/>
      <c r="E1822" s="277"/>
      <c r="F1822" s="115" t="s">
        <v>90</v>
      </c>
      <c r="G1822" s="284" t="e">
        <f>VLOOKUP(K1820,임금대장!$A$6:$AH$86,16,0)</f>
        <v>#N/A</v>
      </c>
      <c r="H1822" s="285"/>
      <c r="I1822" s="273"/>
      <c r="J1822" s="281"/>
    </row>
    <row r="1823" spans="1:11" ht="20.45" hidden="1" customHeight="1" x14ac:dyDescent="0.6">
      <c r="F1823" s="250"/>
      <c r="G1823" s="250"/>
    </row>
    <row r="1824" spans="1:11" ht="20.45" hidden="1" customHeight="1" x14ac:dyDescent="0.6">
      <c r="A1824" s="251" t="s">
        <v>91</v>
      </c>
      <c r="B1824" s="69" t="s">
        <v>109</v>
      </c>
      <c r="C1824" s="25" t="e">
        <f>VLOOKUP($K1820,임금대장!$A$6:$AH$86,9,0)</f>
        <v>#N/A</v>
      </c>
      <c r="D1824" s="33" t="s">
        <v>110</v>
      </c>
      <c r="E1824" s="69"/>
      <c r="F1824" s="254"/>
      <c r="G1824" s="255"/>
      <c r="H1824" s="168"/>
      <c r="I1824" s="33"/>
      <c r="J1824" s="34"/>
    </row>
    <row r="1825" spans="1:10" ht="20.45" hidden="1" customHeight="1" x14ac:dyDescent="0.6">
      <c r="A1825" s="252"/>
      <c r="B1825" s="67"/>
      <c r="C1825" s="35"/>
      <c r="D1825" s="36"/>
      <c r="E1825" s="67"/>
      <c r="F1825" s="256"/>
      <c r="G1825" s="257"/>
      <c r="H1825" s="169"/>
      <c r="I1825" s="36"/>
      <c r="J1825" s="37"/>
    </row>
    <row r="1826" spans="1:10" ht="20.45" hidden="1" customHeight="1" x14ac:dyDescent="0.6">
      <c r="A1826" s="252"/>
      <c r="B1826" s="52"/>
      <c r="C1826" s="35"/>
      <c r="D1826" s="36"/>
      <c r="E1826" s="67"/>
      <c r="F1826" s="256"/>
      <c r="G1826" s="257"/>
      <c r="H1826" s="169"/>
      <c r="I1826" s="36"/>
      <c r="J1826" s="37"/>
    </row>
    <row r="1827" spans="1:10" ht="20.45" hidden="1" customHeight="1" x14ac:dyDescent="0.6">
      <c r="A1827" s="252"/>
      <c r="B1827" s="67"/>
      <c r="C1827" s="35"/>
      <c r="D1827" s="36"/>
      <c r="E1827" s="67"/>
      <c r="F1827" s="256"/>
      <c r="G1827" s="257"/>
      <c r="H1827" s="169"/>
      <c r="I1827" s="36"/>
      <c r="J1827" s="37"/>
    </row>
    <row r="1828" spans="1:10" ht="20.45" hidden="1" customHeight="1" x14ac:dyDescent="0.6">
      <c r="A1828" s="252"/>
      <c r="B1828" s="67"/>
      <c r="C1828" s="35"/>
      <c r="D1828" s="36"/>
      <c r="E1828" s="36"/>
      <c r="F1828" s="258"/>
      <c r="G1828" s="259"/>
      <c r="H1828" s="169"/>
      <c r="I1828" s="36"/>
      <c r="J1828" s="37"/>
    </row>
    <row r="1829" spans="1:10" ht="20.45" hidden="1" customHeight="1" x14ac:dyDescent="0.6">
      <c r="A1829" s="252"/>
      <c r="B1829" s="67"/>
      <c r="C1829" s="102"/>
      <c r="D1829" s="36"/>
      <c r="E1829" s="36"/>
      <c r="F1829" s="258"/>
      <c r="G1829" s="259"/>
      <c r="H1829" s="169"/>
      <c r="I1829" s="36"/>
      <c r="J1829" s="37"/>
    </row>
    <row r="1830" spans="1:10" ht="20.45" hidden="1" customHeight="1" x14ac:dyDescent="0.6">
      <c r="A1830" s="252"/>
      <c r="B1830" s="67"/>
      <c r="C1830" s="35"/>
      <c r="D1830" s="36"/>
      <c r="E1830" s="36"/>
      <c r="F1830" s="258"/>
      <c r="G1830" s="259"/>
      <c r="H1830" s="169"/>
      <c r="I1830" s="36"/>
      <c r="J1830" s="37"/>
    </row>
    <row r="1831" spans="1:10" ht="20.45" hidden="1" customHeight="1" x14ac:dyDescent="0.6">
      <c r="A1831" s="252"/>
      <c r="B1831" s="67"/>
      <c r="C1831" s="35"/>
      <c r="D1831" s="36"/>
      <c r="E1831" s="36"/>
      <c r="F1831" s="258"/>
      <c r="G1831" s="259"/>
      <c r="H1831" s="169"/>
      <c r="I1831" s="36"/>
      <c r="J1831" s="37"/>
    </row>
    <row r="1832" spans="1:10" ht="20.45" hidden="1" customHeight="1" x14ac:dyDescent="0.6">
      <c r="A1832" s="253"/>
      <c r="B1832" s="68"/>
      <c r="C1832" s="39"/>
      <c r="D1832" s="40"/>
      <c r="E1832" s="40"/>
      <c r="F1832" s="260"/>
      <c r="G1832" s="261"/>
      <c r="H1832" s="170"/>
      <c r="I1832" s="68" t="s">
        <v>95</v>
      </c>
      <c r="J1832" s="41" t="e">
        <f>SUM(C1824:H1830)</f>
        <v>#N/A</v>
      </c>
    </row>
    <row r="1833" spans="1:10" ht="20.45" hidden="1" customHeight="1" x14ac:dyDescent="0.6">
      <c r="A1833" s="251" t="s">
        <v>96</v>
      </c>
      <c r="B1833" s="36" t="s">
        <v>97</v>
      </c>
      <c r="C1833" s="35" t="e">
        <f>VLOOKUP($K1820,임금대장!$A$6:$AH$86,25,0)</f>
        <v>#N/A</v>
      </c>
      <c r="D1833" s="33"/>
      <c r="E1833" s="42"/>
      <c r="F1833" s="262" t="s">
        <v>14</v>
      </c>
      <c r="G1833" s="263"/>
      <c r="H1833" s="169" t="e">
        <f>VLOOKUP($K1820,임금대장!$A$6:$AH$86,19,0)</f>
        <v>#N/A</v>
      </c>
      <c r="I1833" s="33"/>
      <c r="J1833" s="34"/>
    </row>
    <row r="1834" spans="1:10" ht="20.45" hidden="1" customHeight="1" x14ac:dyDescent="0.6">
      <c r="A1834" s="252"/>
      <c r="B1834" s="36" t="s">
        <v>98</v>
      </c>
      <c r="C1834" s="35" t="e">
        <f>VLOOKUP($K1820,임금대장!$A$6:$AH$86,26,0)</f>
        <v>#N/A</v>
      </c>
      <c r="D1834" s="36"/>
      <c r="E1834" s="43"/>
      <c r="F1834" s="258" t="s">
        <v>12</v>
      </c>
      <c r="G1834" s="259"/>
      <c r="H1834" s="169" t="e">
        <f>VLOOKUP($K1820,임금대장!$A$6:$AH$86,17,0)</f>
        <v>#N/A</v>
      </c>
      <c r="I1834" s="36"/>
      <c r="J1834" s="37"/>
    </row>
    <row r="1835" spans="1:10" ht="20.45" hidden="1" customHeight="1" x14ac:dyDescent="0.6">
      <c r="A1835" s="252"/>
      <c r="B1835" s="36" t="s">
        <v>99</v>
      </c>
      <c r="C1835" s="35" t="e">
        <f>VLOOKUP($K1820,임금대장!$A$6:$AH$86,27,0)</f>
        <v>#N/A</v>
      </c>
      <c r="D1835" s="36"/>
      <c r="E1835" s="44"/>
      <c r="F1835" s="258" t="s">
        <v>100</v>
      </c>
      <c r="G1835" s="259"/>
      <c r="H1835" s="169" t="e">
        <f>VLOOKUP($K1820,임금대장!$A$6:$AH$86,31,0)</f>
        <v>#N/A</v>
      </c>
      <c r="I1835" s="36"/>
      <c r="J1835" s="37"/>
    </row>
    <row r="1836" spans="1:10" ht="20.45" hidden="1" customHeight="1" x14ac:dyDescent="0.6">
      <c r="A1836" s="252"/>
      <c r="B1836" s="36" t="s">
        <v>101</v>
      </c>
      <c r="C1836" s="35" t="e">
        <f>VLOOKUP($K1820,임금대장!$A$6:$AH$86,28,0)</f>
        <v>#N/A</v>
      </c>
      <c r="D1836" s="36"/>
      <c r="E1836" s="43"/>
      <c r="F1836" s="258" t="s">
        <v>102</v>
      </c>
      <c r="G1836" s="259"/>
      <c r="H1836" s="169" t="e">
        <f>VLOOKUP($K1820,임금대장!$A$6:$AH$86,30,0)</f>
        <v>#N/A</v>
      </c>
      <c r="I1836" s="36"/>
      <c r="J1836" s="37"/>
    </row>
    <row r="1837" spans="1:10" ht="20.45" hidden="1" customHeight="1" x14ac:dyDescent="0.6">
      <c r="A1837" s="252"/>
      <c r="B1837" s="36" t="s">
        <v>31</v>
      </c>
      <c r="C1837" s="35" t="e">
        <f>VLOOKUP($K1820,임금대장!$A$6:$AH$86,29,0)</f>
        <v>#N/A</v>
      </c>
      <c r="D1837" s="36"/>
      <c r="E1837" s="43"/>
      <c r="F1837" s="45"/>
      <c r="G1837" s="46"/>
      <c r="H1837" s="169"/>
      <c r="I1837" s="67" t="s">
        <v>103</v>
      </c>
      <c r="J1837" s="47" t="e">
        <f>SUM(C1833:H1838)</f>
        <v>#N/A</v>
      </c>
    </row>
    <row r="1838" spans="1:10" ht="20.45" hidden="1" customHeight="1" x14ac:dyDescent="0.6">
      <c r="A1838" s="253"/>
      <c r="B1838" s="40"/>
      <c r="C1838" s="101"/>
      <c r="D1838" s="40"/>
      <c r="E1838" s="48"/>
      <c r="F1838" s="260"/>
      <c r="G1838" s="261"/>
      <c r="H1838" s="170"/>
      <c r="I1838" s="68" t="s">
        <v>104</v>
      </c>
      <c r="J1838" s="49" t="e">
        <f>J1832-J1837</f>
        <v>#N/A</v>
      </c>
    </row>
    <row r="1839" spans="1:10" ht="20.45" hidden="1" customHeight="1" x14ac:dyDescent="0.6">
      <c r="A1839" s="50" t="s">
        <v>105</v>
      </c>
      <c r="J1839" s="51" t="s">
        <v>0</v>
      </c>
    </row>
    <row r="1840" spans="1:10" ht="20.45" hidden="1" customHeight="1" x14ac:dyDescent="0.6"/>
    <row r="1841" ht="20.45" hidden="1" customHeight="1" x14ac:dyDescent="0.6"/>
    <row r="1842" ht="20.45" hidden="1" customHeight="1" x14ac:dyDescent="0.6"/>
    <row r="1843" ht="20.45" hidden="1" customHeight="1" x14ac:dyDescent="0.6"/>
    <row r="1844" ht="20.45" hidden="1" customHeight="1" x14ac:dyDescent="0.6"/>
    <row r="1845" ht="20.45" hidden="1" customHeight="1" x14ac:dyDescent="0.6"/>
    <row r="1846" ht="20.45" hidden="1" customHeight="1" x14ac:dyDescent="0.6"/>
  </sheetData>
  <mergeCells count="2770">
    <mergeCell ref="F1823:G1823"/>
    <mergeCell ref="A1824:A1832"/>
    <mergeCell ref="F1824:G1824"/>
    <mergeCell ref="F1825:G1825"/>
    <mergeCell ref="F1826:G1826"/>
    <mergeCell ref="F1827:G1827"/>
    <mergeCell ref="F1828:G1828"/>
    <mergeCell ref="F1829:G1829"/>
    <mergeCell ref="F1830:G1830"/>
    <mergeCell ref="F1831:G1831"/>
    <mergeCell ref="F1832:G1832"/>
    <mergeCell ref="A1833:A1838"/>
    <mergeCell ref="F1833:G1833"/>
    <mergeCell ref="F1834:G1834"/>
    <mergeCell ref="F1835:G1835"/>
    <mergeCell ref="F1836:G1836"/>
    <mergeCell ref="F1838:G1838"/>
    <mergeCell ref="A1818:J1818"/>
    <mergeCell ref="A1819:C1819"/>
    <mergeCell ref="D1819:E1819"/>
    <mergeCell ref="F1819:H1819"/>
    <mergeCell ref="I1819:J1819"/>
    <mergeCell ref="A1820:C1820"/>
    <mergeCell ref="D1820:E1820"/>
    <mergeCell ref="F1820:H1820"/>
    <mergeCell ref="I1820:J1820"/>
    <mergeCell ref="A1821:B1821"/>
    <mergeCell ref="C1821:C1822"/>
    <mergeCell ref="D1821:E1822"/>
    <mergeCell ref="G1821:H1821"/>
    <mergeCell ref="I1821:I1822"/>
    <mergeCell ref="J1821:J1822"/>
    <mergeCell ref="A1822:B1822"/>
    <mergeCell ref="G1822:H1822"/>
    <mergeCell ref="F1800:G1800"/>
    <mergeCell ref="A1801:A1809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9:G1809"/>
    <mergeCell ref="A1810:A1815"/>
    <mergeCell ref="F1810:G1810"/>
    <mergeCell ref="F1811:G1811"/>
    <mergeCell ref="F1812:G1812"/>
    <mergeCell ref="F1813:G1813"/>
    <mergeCell ref="F1815:G1815"/>
    <mergeCell ref="A1795:J1795"/>
    <mergeCell ref="A1796:C1796"/>
    <mergeCell ref="D1796:E1796"/>
    <mergeCell ref="F1796:H1796"/>
    <mergeCell ref="I1796:J1796"/>
    <mergeCell ref="A1797:C1797"/>
    <mergeCell ref="D1797:E1797"/>
    <mergeCell ref="F1797:H1797"/>
    <mergeCell ref="I1797:J1797"/>
    <mergeCell ref="A1798:B1798"/>
    <mergeCell ref="C1798:C1799"/>
    <mergeCell ref="D1798:E1799"/>
    <mergeCell ref="G1798:H1798"/>
    <mergeCell ref="I1798:I1799"/>
    <mergeCell ref="J1798:J1799"/>
    <mergeCell ref="A1799:B1799"/>
    <mergeCell ref="G1799:H1799"/>
    <mergeCell ref="F1777:G1777"/>
    <mergeCell ref="A1778:A1786"/>
    <mergeCell ref="F1778:G1778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A1787:A1792"/>
    <mergeCell ref="F1787:G1787"/>
    <mergeCell ref="F1788:G1788"/>
    <mergeCell ref="F1789:G1789"/>
    <mergeCell ref="F1790:G1790"/>
    <mergeCell ref="F1792:G1792"/>
    <mergeCell ref="A1772:J1772"/>
    <mergeCell ref="A1773:C1773"/>
    <mergeCell ref="D1773:E1773"/>
    <mergeCell ref="F1773:H1773"/>
    <mergeCell ref="I1773:J1773"/>
    <mergeCell ref="A1774:C1774"/>
    <mergeCell ref="D1774:E1774"/>
    <mergeCell ref="F1774:H1774"/>
    <mergeCell ref="I1774:J1774"/>
    <mergeCell ref="A1775:B1775"/>
    <mergeCell ref="C1775:C1776"/>
    <mergeCell ref="D1775:E1776"/>
    <mergeCell ref="G1775:H1775"/>
    <mergeCell ref="I1775:I1776"/>
    <mergeCell ref="J1775:J1776"/>
    <mergeCell ref="A1776:B1776"/>
    <mergeCell ref="G1776:H1776"/>
    <mergeCell ref="F1754:G1754"/>
    <mergeCell ref="A1755:A1763"/>
    <mergeCell ref="F1755:G1755"/>
    <mergeCell ref="F1756:G1756"/>
    <mergeCell ref="F1757:G1757"/>
    <mergeCell ref="F1758:G1758"/>
    <mergeCell ref="F1759:G1759"/>
    <mergeCell ref="F1760:G1760"/>
    <mergeCell ref="F1761:G1761"/>
    <mergeCell ref="F1762:G1762"/>
    <mergeCell ref="F1763:G1763"/>
    <mergeCell ref="A1764:A1769"/>
    <mergeCell ref="F1764:G1764"/>
    <mergeCell ref="F1765:G1765"/>
    <mergeCell ref="F1766:G1766"/>
    <mergeCell ref="F1767:G1767"/>
    <mergeCell ref="F1769:G1769"/>
    <mergeCell ref="A1749:J1749"/>
    <mergeCell ref="A1750:C1750"/>
    <mergeCell ref="D1750:E1750"/>
    <mergeCell ref="F1750:H1750"/>
    <mergeCell ref="I1750:J1750"/>
    <mergeCell ref="A1751:C1751"/>
    <mergeCell ref="D1751:E1751"/>
    <mergeCell ref="F1751:H1751"/>
    <mergeCell ref="I1751:J1751"/>
    <mergeCell ref="A1752:B1752"/>
    <mergeCell ref="C1752:C1753"/>
    <mergeCell ref="D1752:E1753"/>
    <mergeCell ref="G1752:H1752"/>
    <mergeCell ref="I1752:I1753"/>
    <mergeCell ref="J1752:J1753"/>
    <mergeCell ref="A1753:B1753"/>
    <mergeCell ref="G1753:H1753"/>
    <mergeCell ref="F1731:G1731"/>
    <mergeCell ref="A1732:A1740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A1741:A1746"/>
    <mergeCell ref="F1741:G1741"/>
    <mergeCell ref="F1742:G1742"/>
    <mergeCell ref="F1743:G1743"/>
    <mergeCell ref="F1744:G1744"/>
    <mergeCell ref="F1746:G1746"/>
    <mergeCell ref="A1726:J1726"/>
    <mergeCell ref="A1727:C1727"/>
    <mergeCell ref="D1727:E1727"/>
    <mergeCell ref="F1727:H1727"/>
    <mergeCell ref="I1727:J1727"/>
    <mergeCell ref="A1728:C1728"/>
    <mergeCell ref="D1728:E1728"/>
    <mergeCell ref="F1728:H1728"/>
    <mergeCell ref="I1728:J1728"/>
    <mergeCell ref="A1729:B1729"/>
    <mergeCell ref="C1729:C1730"/>
    <mergeCell ref="D1729:E1730"/>
    <mergeCell ref="G1729:H1729"/>
    <mergeCell ref="I1729:I1730"/>
    <mergeCell ref="J1729:J1730"/>
    <mergeCell ref="A1730:B1730"/>
    <mergeCell ref="G1730:H1730"/>
    <mergeCell ref="F1708:G1708"/>
    <mergeCell ref="A1709:A1717"/>
    <mergeCell ref="F1709:G1709"/>
    <mergeCell ref="F1710:G1710"/>
    <mergeCell ref="F1711:G1711"/>
    <mergeCell ref="F1712:G1712"/>
    <mergeCell ref="F1713:G1713"/>
    <mergeCell ref="F1714:G1714"/>
    <mergeCell ref="F1715:G1715"/>
    <mergeCell ref="F1716:G1716"/>
    <mergeCell ref="F1717:G1717"/>
    <mergeCell ref="A1718:A1723"/>
    <mergeCell ref="F1718:G1718"/>
    <mergeCell ref="F1719:G1719"/>
    <mergeCell ref="F1720:G1720"/>
    <mergeCell ref="F1721:G1721"/>
    <mergeCell ref="F1723:G1723"/>
    <mergeCell ref="A1703:J1703"/>
    <mergeCell ref="A1704:C1704"/>
    <mergeCell ref="D1704:E1704"/>
    <mergeCell ref="F1704:H1704"/>
    <mergeCell ref="I1704:J1704"/>
    <mergeCell ref="A1705:C1705"/>
    <mergeCell ref="D1705:E1705"/>
    <mergeCell ref="F1705:H1705"/>
    <mergeCell ref="I1705:J1705"/>
    <mergeCell ref="A1706:B1706"/>
    <mergeCell ref="C1706:C1707"/>
    <mergeCell ref="D1706:E1707"/>
    <mergeCell ref="G1706:H1706"/>
    <mergeCell ref="I1706:I1707"/>
    <mergeCell ref="J1706:J1707"/>
    <mergeCell ref="A1707:B1707"/>
    <mergeCell ref="G1707:H1707"/>
    <mergeCell ref="F1685:G1685"/>
    <mergeCell ref="A1686:A1694"/>
    <mergeCell ref="F1686:G1686"/>
    <mergeCell ref="F1687:G1687"/>
    <mergeCell ref="F1688:G1688"/>
    <mergeCell ref="F1689:G1689"/>
    <mergeCell ref="F1690:G1690"/>
    <mergeCell ref="F1691:G1691"/>
    <mergeCell ref="F1692:G1692"/>
    <mergeCell ref="F1693:G1693"/>
    <mergeCell ref="F1694:G1694"/>
    <mergeCell ref="A1695:A1700"/>
    <mergeCell ref="F1695:G1695"/>
    <mergeCell ref="F1696:G1696"/>
    <mergeCell ref="F1697:G1697"/>
    <mergeCell ref="F1698:G1698"/>
    <mergeCell ref="F1700:G1700"/>
    <mergeCell ref="A1680:J1680"/>
    <mergeCell ref="A1681:C1681"/>
    <mergeCell ref="D1681:E1681"/>
    <mergeCell ref="F1681:H1681"/>
    <mergeCell ref="I1681:J1681"/>
    <mergeCell ref="A1682:C1682"/>
    <mergeCell ref="D1682:E1682"/>
    <mergeCell ref="F1682:H1682"/>
    <mergeCell ref="I1682:J1682"/>
    <mergeCell ref="A1683:B1683"/>
    <mergeCell ref="C1683:C1684"/>
    <mergeCell ref="D1683:E1684"/>
    <mergeCell ref="G1683:H1683"/>
    <mergeCell ref="I1683:I1684"/>
    <mergeCell ref="J1683:J1684"/>
    <mergeCell ref="A1684:B1684"/>
    <mergeCell ref="G1684:H1684"/>
    <mergeCell ref="F1662:G1662"/>
    <mergeCell ref="A1663:A1671"/>
    <mergeCell ref="F1663:G1663"/>
    <mergeCell ref="F1664:G1664"/>
    <mergeCell ref="F1665:G1665"/>
    <mergeCell ref="F1666:G1666"/>
    <mergeCell ref="F1667:G1667"/>
    <mergeCell ref="F1668:G1668"/>
    <mergeCell ref="F1669:G1669"/>
    <mergeCell ref="F1670:G1670"/>
    <mergeCell ref="F1671:G1671"/>
    <mergeCell ref="A1672:A1677"/>
    <mergeCell ref="F1672:G1672"/>
    <mergeCell ref="F1673:G1673"/>
    <mergeCell ref="F1674:G1674"/>
    <mergeCell ref="F1675:G1675"/>
    <mergeCell ref="F1677:G1677"/>
    <mergeCell ref="A1657:J1657"/>
    <mergeCell ref="A1658:C1658"/>
    <mergeCell ref="D1658:E1658"/>
    <mergeCell ref="F1658:H1658"/>
    <mergeCell ref="I1658:J1658"/>
    <mergeCell ref="A1659:C1659"/>
    <mergeCell ref="D1659:E1659"/>
    <mergeCell ref="F1659:H1659"/>
    <mergeCell ref="I1659:J1659"/>
    <mergeCell ref="A1660:B1660"/>
    <mergeCell ref="C1660:C1661"/>
    <mergeCell ref="D1660:E1661"/>
    <mergeCell ref="G1660:H1660"/>
    <mergeCell ref="I1660:I1661"/>
    <mergeCell ref="J1660:J1661"/>
    <mergeCell ref="A1661:B1661"/>
    <mergeCell ref="G1661:H1661"/>
    <mergeCell ref="F1639:G1639"/>
    <mergeCell ref="A1640:A1648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A1649:A1654"/>
    <mergeCell ref="F1649:G1649"/>
    <mergeCell ref="F1650:G1650"/>
    <mergeCell ref="F1651:G1651"/>
    <mergeCell ref="F1652:G1652"/>
    <mergeCell ref="F1654:G1654"/>
    <mergeCell ref="A1634:J1634"/>
    <mergeCell ref="A1635:C1635"/>
    <mergeCell ref="D1635:E1635"/>
    <mergeCell ref="F1635:H1635"/>
    <mergeCell ref="I1635:J1635"/>
    <mergeCell ref="A1636:C1636"/>
    <mergeCell ref="D1636:E1636"/>
    <mergeCell ref="F1636:H1636"/>
    <mergeCell ref="I1636:J1636"/>
    <mergeCell ref="A1637:B1637"/>
    <mergeCell ref="C1637:C1638"/>
    <mergeCell ref="D1637:E1638"/>
    <mergeCell ref="G1637:H1637"/>
    <mergeCell ref="I1637:I1638"/>
    <mergeCell ref="J1637:J1638"/>
    <mergeCell ref="A1638:B1638"/>
    <mergeCell ref="G1638:H1638"/>
    <mergeCell ref="F1616:G1616"/>
    <mergeCell ref="A1617:A1625"/>
    <mergeCell ref="F1617:G1617"/>
    <mergeCell ref="F1618:G1618"/>
    <mergeCell ref="F1619:G1619"/>
    <mergeCell ref="F1620:G1620"/>
    <mergeCell ref="F1621:G1621"/>
    <mergeCell ref="F1622:G1622"/>
    <mergeCell ref="F1623:G1623"/>
    <mergeCell ref="F1624:G1624"/>
    <mergeCell ref="F1625:G1625"/>
    <mergeCell ref="A1626:A1631"/>
    <mergeCell ref="F1626:G1626"/>
    <mergeCell ref="F1627:G1627"/>
    <mergeCell ref="F1628:G1628"/>
    <mergeCell ref="F1629:G1629"/>
    <mergeCell ref="F1631:G1631"/>
    <mergeCell ref="A1611:J1611"/>
    <mergeCell ref="A1612:C1612"/>
    <mergeCell ref="D1612:E1612"/>
    <mergeCell ref="F1612:H1612"/>
    <mergeCell ref="I1612:J1612"/>
    <mergeCell ref="A1613:C1613"/>
    <mergeCell ref="D1613:E1613"/>
    <mergeCell ref="F1613:H1613"/>
    <mergeCell ref="I1613:J1613"/>
    <mergeCell ref="A1614:B1614"/>
    <mergeCell ref="C1614:C1615"/>
    <mergeCell ref="D1614:E1615"/>
    <mergeCell ref="G1614:H1614"/>
    <mergeCell ref="I1614:I1615"/>
    <mergeCell ref="J1614:J1615"/>
    <mergeCell ref="A1615:B1615"/>
    <mergeCell ref="G1615:H1615"/>
    <mergeCell ref="F1593:G1593"/>
    <mergeCell ref="A1594:A1602"/>
    <mergeCell ref="F1594:G1594"/>
    <mergeCell ref="F1595:G1595"/>
    <mergeCell ref="F1596:G1596"/>
    <mergeCell ref="F1597:G1597"/>
    <mergeCell ref="F1598:G1598"/>
    <mergeCell ref="F1599:G1599"/>
    <mergeCell ref="F1600:G1600"/>
    <mergeCell ref="F1601:G1601"/>
    <mergeCell ref="F1602:G1602"/>
    <mergeCell ref="A1603:A1608"/>
    <mergeCell ref="F1603:G1603"/>
    <mergeCell ref="F1604:G1604"/>
    <mergeCell ref="F1605:G1605"/>
    <mergeCell ref="F1606:G1606"/>
    <mergeCell ref="F1608:G1608"/>
    <mergeCell ref="A1588:J1588"/>
    <mergeCell ref="A1589:C1589"/>
    <mergeCell ref="D1589:E1589"/>
    <mergeCell ref="F1589:H1589"/>
    <mergeCell ref="I1589:J1589"/>
    <mergeCell ref="A1590:C1590"/>
    <mergeCell ref="D1590:E1590"/>
    <mergeCell ref="F1590:H1590"/>
    <mergeCell ref="I1590:J1590"/>
    <mergeCell ref="A1591:B1591"/>
    <mergeCell ref="C1591:C1592"/>
    <mergeCell ref="D1591:E1592"/>
    <mergeCell ref="G1591:H1591"/>
    <mergeCell ref="I1591:I1592"/>
    <mergeCell ref="J1591:J1592"/>
    <mergeCell ref="A1592:B1592"/>
    <mergeCell ref="G1592:H1592"/>
    <mergeCell ref="F1570:G1570"/>
    <mergeCell ref="A1571:A1579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9:G1579"/>
    <mergeCell ref="A1580:A1585"/>
    <mergeCell ref="F1580:G1580"/>
    <mergeCell ref="F1581:G1581"/>
    <mergeCell ref="F1582:G1582"/>
    <mergeCell ref="F1583:G1583"/>
    <mergeCell ref="F1585:G1585"/>
    <mergeCell ref="A1565:J1565"/>
    <mergeCell ref="A1566:C1566"/>
    <mergeCell ref="D1566:E1566"/>
    <mergeCell ref="F1566:H1566"/>
    <mergeCell ref="I1566:J1566"/>
    <mergeCell ref="A1567:C1567"/>
    <mergeCell ref="D1567:E1567"/>
    <mergeCell ref="F1567:H1567"/>
    <mergeCell ref="I1567:J1567"/>
    <mergeCell ref="A1568:B1568"/>
    <mergeCell ref="C1568:C1569"/>
    <mergeCell ref="D1568:E1569"/>
    <mergeCell ref="G1568:H1568"/>
    <mergeCell ref="I1568:I1569"/>
    <mergeCell ref="J1568:J1569"/>
    <mergeCell ref="A1569:B1569"/>
    <mergeCell ref="G1569:H1569"/>
    <mergeCell ref="F1547:G1547"/>
    <mergeCell ref="A1548:A1556"/>
    <mergeCell ref="F1548:G1548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A1557:A1562"/>
    <mergeCell ref="F1557:G1557"/>
    <mergeCell ref="F1558:G1558"/>
    <mergeCell ref="F1559:G1559"/>
    <mergeCell ref="F1560:G1560"/>
    <mergeCell ref="F1562:G1562"/>
    <mergeCell ref="A1542:J1542"/>
    <mergeCell ref="A1543:C1543"/>
    <mergeCell ref="D1543:E1543"/>
    <mergeCell ref="F1543:H1543"/>
    <mergeCell ref="I1543:J1543"/>
    <mergeCell ref="A1544:C1544"/>
    <mergeCell ref="D1544:E1544"/>
    <mergeCell ref="F1544:H1544"/>
    <mergeCell ref="I1544:J1544"/>
    <mergeCell ref="A1545:B1545"/>
    <mergeCell ref="C1545:C1546"/>
    <mergeCell ref="D1545:E1546"/>
    <mergeCell ref="G1545:H1545"/>
    <mergeCell ref="I1545:I1546"/>
    <mergeCell ref="J1545:J1546"/>
    <mergeCell ref="A1546:B1546"/>
    <mergeCell ref="G1546:H1546"/>
    <mergeCell ref="F1524:G1524"/>
    <mergeCell ref="A1525:A1533"/>
    <mergeCell ref="F1525:G1525"/>
    <mergeCell ref="F1526:G1526"/>
    <mergeCell ref="F1527:G1527"/>
    <mergeCell ref="F1528:G1528"/>
    <mergeCell ref="F1529:G1529"/>
    <mergeCell ref="F1530:G1530"/>
    <mergeCell ref="F1531:G1531"/>
    <mergeCell ref="F1532:G1532"/>
    <mergeCell ref="F1533:G1533"/>
    <mergeCell ref="A1534:A1539"/>
    <mergeCell ref="F1534:G1534"/>
    <mergeCell ref="F1535:G1535"/>
    <mergeCell ref="F1536:G1536"/>
    <mergeCell ref="F1537:G1537"/>
    <mergeCell ref="F1539:G1539"/>
    <mergeCell ref="A1519:J1519"/>
    <mergeCell ref="A1520:C1520"/>
    <mergeCell ref="D1520:E1520"/>
    <mergeCell ref="F1520:H1520"/>
    <mergeCell ref="I1520:J1520"/>
    <mergeCell ref="A1521:C1521"/>
    <mergeCell ref="D1521:E1521"/>
    <mergeCell ref="F1521:H1521"/>
    <mergeCell ref="I1521:J1521"/>
    <mergeCell ref="A1522:B1522"/>
    <mergeCell ref="C1522:C1523"/>
    <mergeCell ref="D1522:E1523"/>
    <mergeCell ref="G1522:H1522"/>
    <mergeCell ref="I1522:I1523"/>
    <mergeCell ref="J1522:J1523"/>
    <mergeCell ref="A1523:B1523"/>
    <mergeCell ref="G1523:H1523"/>
    <mergeCell ref="F1501:G1501"/>
    <mergeCell ref="A1502:A1510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A1511:A1516"/>
    <mergeCell ref="F1511:G1511"/>
    <mergeCell ref="F1512:G1512"/>
    <mergeCell ref="F1513:G1513"/>
    <mergeCell ref="F1514:G1514"/>
    <mergeCell ref="F1516:G1516"/>
    <mergeCell ref="A1496:J1496"/>
    <mergeCell ref="A1497:C1497"/>
    <mergeCell ref="D1497:E1497"/>
    <mergeCell ref="F1497:H1497"/>
    <mergeCell ref="I1497:J1497"/>
    <mergeCell ref="A1498:C1498"/>
    <mergeCell ref="D1498:E1498"/>
    <mergeCell ref="F1498:H1498"/>
    <mergeCell ref="I1498:J1498"/>
    <mergeCell ref="A1499:B1499"/>
    <mergeCell ref="C1499:C1500"/>
    <mergeCell ref="D1499:E1500"/>
    <mergeCell ref="G1499:H1499"/>
    <mergeCell ref="I1499:I1500"/>
    <mergeCell ref="J1499:J1500"/>
    <mergeCell ref="A1500:B1500"/>
    <mergeCell ref="G1500:H1500"/>
    <mergeCell ref="F1478:G1478"/>
    <mergeCell ref="A1479:A1487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A1488:A1493"/>
    <mergeCell ref="F1488:G1488"/>
    <mergeCell ref="F1489:G1489"/>
    <mergeCell ref="F1490:G1490"/>
    <mergeCell ref="F1491:G1491"/>
    <mergeCell ref="F1493:G1493"/>
    <mergeCell ref="A1473:J1473"/>
    <mergeCell ref="A1474:C1474"/>
    <mergeCell ref="D1474:E1474"/>
    <mergeCell ref="F1474:H1474"/>
    <mergeCell ref="I1474:J1474"/>
    <mergeCell ref="A1475:C1475"/>
    <mergeCell ref="D1475:E1475"/>
    <mergeCell ref="F1475:H1475"/>
    <mergeCell ref="I1475:J1475"/>
    <mergeCell ref="A1476:B1476"/>
    <mergeCell ref="C1476:C1477"/>
    <mergeCell ref="D1476:E1477"/>
    <mergeCell ref="G1476:H1476"/>
    <mergeCell ref="I1476:I1477"/>
    <mergeCell ref="J1476:J1477"/>
    <mergeCell ref="A1477:B1477"/>
    <mergeCell ref="G1477:H1477"/>
    <mergeCell ref="F1455:G1455"/>
    <mergeCell ref="A1456:A1464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A1465:A1470"/>
    <mergeCell ref="F1465:G1465"/>
    <mergeCell ref="F1466:G1466"/>
    <mergeCell ref="F1467:G1467"/>
    <mergeCell ref="F1468:G1468"/>
    <mergeCell ref="F1470:G1470"/>
    <mergeCell ref="A1450:J1450"/>
    <mergeCell ref="A1451:C1451"/>
    <mergeCell ref="D1451:E1451"/>
    <mergeCell ref="F1451:H1451"/>
    <mergeCell ref="I1451:J1451"/>
    <mergeCell ref="A1452:C1452"/>
    <mergeCell ref="D1452:E1452"/>
    <mergeCell ref="F1452:H1452"/>
    <mergeCell ref="I1452:J1452"/>
    <mergeCell ref="A1453:B1453"/>
    <mergeCell ref="C1453:C1454"/>
    <mergeCell ref="D1453:E1454"/>
    <mergeCell ref="G1453:H1453"/>
    <mergeCell ref="I1453:I1454"/>
    <mergeCell ref="J1453:J1454"/>
    <mergeCell ref="A1454:B1454"/>
    <mergeCell ref="G1454:H1454"/>
    <mergeCell ref="F1432:G1432"/>
    <mergeCell ref="A1433:A1441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A1442:A1447"/>
    <mergeCell ref="F1442:G1442"/>
    <mergeCell ref="F1443:G1443"/>
    <mergeCell ref="F1444:G1444"/>
    <mergeCell ref="F1445:G1445"/>
    <mergeCell ref="F1447:G1447"/>
    <mergeCell ref="A1427:J1427"/>
    <mergeCell ref="A1428:C1428"/>
    <mergeCell ref="D1428:E1428"/>
    <mergeCell ref="F1428:H1428"/>
    <mergeCell ref="I1428:J1428"/>
    <mergeCell ref="A1429:C1429"/>
    <mergeCell ref="D1429:E1429"/>
    <mergeCell ref="F1429:H1429"/>
    <mergeCell ref="I1429:J1429"/>
    <mergeCell ref="A1430:B1430"/>
    <mergeCell ref="C1430:C1431"/>
    <mergeCell ref="D1430:E1431"/>
    <mergeCell ref="G1430:H1430"/>
    <mergeCell ref="I1430:I1431"/>
    <mergeCell ref="J1430:J1431"/>
    <mergeCell ref="A1431:B1431"/>
    <mergeCell ref="G1431:H1431"/>
    <mergeCell ref="F604:G604"/>
    <mergeCell ref="F558:G558"/>
    <mergeCell ref="G557:H557"/>
    <mergeCell ref="F512:G512"/>
    <mergeCell ref="F466:G466"/>
    <mergeCell ref="F351:G351"/>
    <mergeCell ref="F167:G167"/>
    <mergeCell ref="F130:G130"/>
    <mergeCell ref="F129:G129"/>
    <mergeCell ref="F834:G834"/>
    <mergeCell ref="F811:G811"/>
    <mergeCell ref="F788:G788"/>
    <mergeCell ref="F765:G765"/>
    <mergeCell ref="F733:G733"/>
    <mergeCell ref="F728:G728"/>
    <mergeCell ref="F727:G727"/>
    <mergeCell ref="F726:G726"/>
    <mergeCell ref="F725:G725"/>
    <mergeCell ref="F724:G724"/>
    <mergeCell ref="F723:G723"/>
    <mergeCell ref="F722:G722"/>
    <mergeCell ref="F721:G721"/>
    <mergeCell ref="F720:G720"/>
    <mergeCell ref="F719:G719"/>
    <mergeCell ref="F734:G734"/>
    <mergeCell ref="F732:G732"/>
    <mergeCell ref="F731:G731"/>
    <mergeCell ref="F730:G730"/>
    <mergeCell ref="F729:G729"/>
    <mergeCell ref="F687:G687"/>
    <mergeCell ref="A691:J691"/>
    <mergeCell ref="A692:C692"/>
    <mergeCell ref="F871:G871"/>
    <mergeCell ref="F872:G872"/>
    <mergeCell ref="F870:G870"/>
    <mergeCell ref="F869:G869"/>
    <mergeCell ref="F868:G868"/>
    <mergeCell ref="F867:G867"/>
    <mergeCell ref="F866:G866"/>
    <mergeCell ref="F865:G865"/>
    <mergeCell ref="F864:G864"/>
    <mergeCell ref="F863:G863"/>
    <mergeCell ref="F862:G862"/>
    <mergeCell ref="F861:G861"/>
    <mergeCell ref="F860:G860"/>
    <mergeCell ref="F859:G859"/>
    <mergeCell ref="F858:G858"/>
    <mergeCell ref="F857:G857"/>
    <mergeCell ref="F853:H853"/>
    <mergeCell ref="F1271:G1271"/>
    <mergeCell ref="A1272:A1280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A1281:A1286"/>
    <mergeCell ref="F1281:G1281"/>
    <mergeCell ref="F1282:G1282"/>
    <mergeCell ref="F1283:G1283"/>
    <mergeCell ref="F1284:G1284"/>
    <mergeCell ref="F1286:G1286"/>
    <mergeCell ref="A1266:J1266"/>
    <mergeCell ref="A1267:C1267"/>
    <mergeCell ref="D1267:E1267"/>
    <mergeCell ref="F1267:H1267"/>
    <mergeCell ref="I1267:J1267"/>
    <mergeCell ref="A1268:C1268"/>
    <mergeCell ref="D1268:E1268"/>
    <mergeCell ref="F1268:H1268"/>
    <mergeCell ref="I1268:J1268"/>
    <mergeCell ref="A1269:B1269"/>
    <mergeCell ref="C1269:C1270"/>
    <mergeCell ref="D1269:E1270"/>
    <mergeCell ref="G1269:H1269"/>
    <mergeCell ref="I1269:I1270"/>
    <mergeCell ref="J1269:J1270"/>
    <mergeCell ref="A1270:B1270"/>
    <mergeCell ref="G1270:H1270"/>
    <mergeCell ref="F1248:G1248"/>
    <mergeCell ref="A1249:A1257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A1258:A1263"/>
    <mergeCell ref="F1258:G1258"/>
    <mergeCell ref="F1259:G1259"/>
    <mergeCell ref="F1260:G1260"/>
    <mergeCell ref="F1261:G1261"/>
    <mergeCell ref="F1263:G1263"/>
    <mergeCell ref="A1235:A1240"/>
    <mergeCell ref="F1235:G1235"/>
    <mergeCell ref="F1236:G1236"/>
    <mergeCell ref="F1237:G1237"/>
    <mergeCell ref="F1238:G1238"/>
    <mergeCell ref="F1240:G1240"/>
    <mergeCell ref="A1243:J1243"/>
    <mergeCell ref="A1244:C1244"/>
    <mergeCell ref="D1244:E1244"/>
    <mergeCell ref="F1244:H1244"/>
    <mergeCell ref="I1244:J1244"/>
    <mergeCell ref="A1245:C1245"/>
    <mergeCell ref="D1245:E1245"/>
    <mergeCell ref="F1245:H1245"/>
    <mergeCell ref="I1245:J1245"/>
    <mergeCell ref="A1246:B1246"/>
    <mergeCell ref="C1246:C1247"/>
    <mergeCell ref="D1246:E1247"/>
    <mergeCell ref="G1246:H1246"/>
    <mergeCell ref="I1246:I1247"/>
    <mergeCell ref="J1246:J1247"/>
    <mergeCell ref="A1247:B1247"/>
    <mergeCell ref="G1247:H1247"/>
    <mergeCell ref="A1222:C1222"/>
    <mergeCell ref="D1222:E1222"/>
    <mergeCell ref="F1222:H1222"/>
    <mergeCell ref="I1222:J1222"/>
    <mergeCell ref="A1223:B1223"/>
    <mergeCell ref="C1223:C1224"/>
    <mergeCell ref="D1223:E1224"/>
    <mergeCell ref="G1223:H1223"/>
    <mergeCell ref="I1223:I1224"/>
    <mergeCell ref="J1223:J1224"/>
    <mergeCell ref="A1224:B1224"/>
    <mergeCell ref="G1224:H1224"/>
    <mergeCell ref="F1225:G1225"/>
    <mergeCell ref="A1226:A1234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A1197:J1197"/>
    <mergeCell ref="A1198:C1198"/>
    <mergeCell ref="D1198:E1198"/>
    <mergeCell ref="F1198:H1198"/>
    <mergeCell ref="I1198:J1198"/>
    <mergeCell ref="A1199:C1199"/>
    <mergeCell ref="D1199:E1199"/>
    <mergeCell ref="F1199:H1199"/>
    <mergeCell ref="I1199:J1199"/>
    <mergeCell ref="A1200:B1200"/>
    <mergeCell ref="C1200:C1201"/>
    <mergeCell ref="D1200:E1201"/>
    <mergeCell ref="G1200:H1200"/>
    <mergeCell ref="A1220:J1220"/>
    <mergeCell ref="A1221:C1221"/>
    <mergeCell ref="D1221:E1221"/>
    <mergeCell ref="F1221:H1221"/>
    <mergeCell ref="I1221:J1221"/>
    <mergeCell ref="F1202:G1202"/>
    <mergeCell ref="A1203:A1211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A1212:A1217"/>
    <mergeCell ref="F1212:G1212"/>
    <mergeCell ref="F1213:G1213"/>
    <mergeCell ref="F1214:G1214"/>
    <mergeCell ref="F1215:G1215"/>
    <mergeCell ref="F1217:G1217"/>
    <mergeCell ref="I1200:I1201"/>
    <mergeCell ref="J1200:J1201"/>
    <mergeCell ref="A1201:B1201"/>
    <mergeCell ref="G1201:H1201"/>
    <mergeCell ref="F1122:G1122"/>
    <mergeCell ref="F1123:G1123"/>
    <mergeCell ref="F1125:G1125"/>
    <mergeCell ref="A1105:J1105"/>
    <mergeCell ref="A1106:C1106"/>
    <mergeCell ref="D1106:E1106"/>
    <mergeCell ref="F1106:H1106"/>
    <mergeCell ref="I1106:J1106"/>
    <mergeCell ref="A1107:C1107"/>
    <mergeCell ref="D1107:E1107"/>
    <mergeCell ref="F1107:H1107"/>
    <mergeCell ref="I1107:J1107"/>
    <mergeCell ref="A1108:B1108"/>
    <mergeCell ref="C1108:C1109"/>
    <mergeCell ref="D1108:E1109"/>
    <mergeCell ref="G1108:H1108"/>
    <mergeCell ref="I1108:I1109"/>
    <mergeCell ref="J1108:J1109"/>
    <mergeCell ref="A1109:B1109"/>
    <mergeCell ref="G1109:H1109"/>
    <mergeCell ref="F1110:G1110"/>
    <mergeCell ref="A1111:A1119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A1120:A1125"/>
    <mergeCell ref="F1087:G1087"/>
    <mergeCell ref="A1088:A1096"/>
    <mergeCell ref="F1088:G108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A1097:A1102"/>
    <mergeCell ref="F1097:G1097"/>
    <mergeCell ref="F1098:G1098"/>
    <mergeCell ref="F1099:G1099"/>
    <mergeCell ref="F1100:G1100"/>
    <mergeCell ref="F1102:G1102"/>
    <mergeCell ref="F1120:G1120"/>
    <mergeCell ref="F1121:G1121"/>
    <mergeCell ref="F1101:G1101"/>
    <mergeCell ref="F1124:G1124"/>
    <mergeCell ref="A1082:J1082"/>
    <mergeCell ref="A1083:C1083"/>
    <mergeCell ref="D1083:E1083"/>
    <mergeCell ref="F1083:H1083"/>
    <mergeCell ref="I1083:J1083"/>
    <mergeCell ref="A1084:C1084"/>
    <mergeCell ref="D1084:E1084"/>
    <mergeCell ref="F1084:H1084"/>
    <mergeCell ref="I1084:J1084"/>
    <mergeCell ref="A1085:B1085"/>
    <mergeCell ref="C1085:C1086"/>
    <mergeCell ref="D1085:E1086"/>
    <mergeCell ref="G1085:H1085"/>
    <mergeCell ref="I1085:I1086"/>
    <mergeCell ref="J1085:J1086"/>
    <mergeCell ref="A1086:B1086"/>
    <mergeCell ref="G1086:H1086"/>
    <mergeCell ref="F1064:G1064"/>
    <mergeCell ref="A1065:A1073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A1074:A1079"/>
    <mergeCell ref="F1074:G1074"/>
    <mergeCell ref="F1075:G1075"/>
    <mergeCell ref="F1076:G1076"/>
    <mergeCell ref="F1077:G1077"/>
    <mergeCell ref="F1079:G1079"/>
    <mergeCell ref="F1078:G1078"/>
    <mergeCell ref="A1059:J1059"/>
    <mergeCell ref="A1060:C1060"/>
    <mergeCell ref="D1060:E1060"/>
    <mergeCell ref="F1060:H1060"/>
    <mergeCell ref="I1060:J1060"/>
    <mergeCell ref="A1061:C1061"/>
    <mergeCell ref="D1061:E1061"/>
    <mergeCell ref="F1061:H1061"/>
    <mergeCell ref="I1061:J1061"/>
    <mergeCell ref="A1062:B1062"/>
    <mergeCell ref="C1062:C1063"/>
    <mergeCell ref="D1062:E1063"/>
    <mergeCell ref="G1062:H1062"/>
    <mergeCell ref="I1062:I1063"/>
    <mergeCell ref="J1062:J1063"/>
    <mergeCell ref="A1063:B1063"/>
    <mergeCell ref="G1063:H1063"/>
    <mergeCell ref="F1041:G1041"/>
    <mergeCell ref="A1042:A1050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A1051:A1056"/>
    <mergeCell ref="F1051:G1051"/>
    <mergeCell ref="F1052:G1052"/>
    <mergeCell ref="F1053:G1053"/>
    <mergeCell ref="F1054:G1054"/>
    <mergeCell ref="F1056:G1056"/>
    <mergeCell ref="F1055:G1055"/>
    <mergeCell ref="A1036:J1036"/>
    <mergeCell ref="A1037:C1037"/>
    <mergeCell ref="D1037:E1037"/>
    <mergeCell ref="F1037:H1037"/>
    <mergeCell ref="I1037:J1037"/>
    <mergeCell ref="A1038:C1038"/>
    <mergeCell ref="D1038:E1038"/>
    <mergeCell ref="F1038:H1038"/>
    <mergeCell ref="I1038:J1038"/>
    <mergeCell ref="A1039:B1039"/>
    <mergeCell ref="C1039:C1040"/>
    <mergeCell ref="D1039:E1040"/>
    <mergeCell ref="G1039:H1039"/>
    <mergeCell ref="I1039:I1040"/>
    <mergeCell ref="J1039:J1040"/>
    <mergeCell ref="A1040:B1040"/>
    <mergeCell ref="G1040:H1040"/>
    <mergeCell ref="A729:A734"/>
    <mergeCell ref="A720:A728"/>
    <mergeCell ref="A716:C716"/>
    <mergeCell ref="D716:E716"/>
    <mergeCell ref="F716:H716"/>
    <mergeCell ref="I716:J716"/>
    <mergeCell ref="A717:B717"/>
    <mergeCell ref="C717:C718"/>
    <mergeCell ref="D717:E718"/>
    <mergeCell ref="G717:H717"/>
    <mergeCell ref="I717:I718"/>
    <mergeCell ref="J717:J718"/>
    <mergeCell ref="A718:B718"/>
    <mergeCell ref="G718:H718"/>
    <mergeCell ref="A706:A711"/>
    <mergeCell ref="F706:G706"/>
    <mergeCell ref="F707:G707"/>
    <mergeCell ref="F708:G708"/>
    <mergeCell ref="F709:G709"/>
    <mergeCell ref="F711:G711"/>
    <mergeCell ref="A714:J714"/>
    <mergeCell ref="A715:C715"/>
    <mergeCell ref="D715:E715"/>
    <mergeCell ref="F715:H715"/>
    <mergeCell ref="I715:J715"/>
    <mergeCell ref="F710:G710"/>
    <mergeCell ref="A697:A705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A694:B694"/>
    <mergeCell ref="C694:C695"/>
    <mergeCell ref="D694:E695"/>
    <mergeCell ref="G694:H694"/>
    <mergeCell ref="I694:I695"/>
    <mergeCell ref="J694:J695"/>
    <mergeCell ref="A695:B695"/>
    <mergeCell ref="G695:H695"/>
    <mergeCell ref="F696:G696"/>
    <mergeCell ref="D692:E692"/>
    <mergeCell ref="F692:H692"/>
    <mergeCell ref="I692:J692"/>
    <mergeCell ref="A693:C693"/>
    <mergeCell ref="D693:E693"/>
    <mergeCell ref="F693:H693"/>
    <mergeCell ref="I693:J693"/>
    <mergeCell ref="C579:C580"/>
    <mergeCell ref="D579:E580"/>
    <mergeCell ref="G579:H579"/>
    <mergeCell ref="I579:I580"/>
    <mergeCell ref="J579:J580"/>
    <mergeCell ref="G580:H580"/>
    <mergeCell ref="C602:C603"/>
    <mergeCell ref="D602:E603"/>
    <mergeCell ref="G602:H602"/>
    <mergeCell ref="I602:I603"/>
    <mergeCell ref="J602:J603"/>
    <mergeCell ref="G603:H603"/>
    <mergeCell ref="A674:A682"/>
    <mergeCell ref="F674:G674"/>
    <mergeCell ref="F675:G675"/>
    <mergeCell ref="F676:G676"/>
    <mergeCell ref="F677:G677"/>
    <mergeCell ref="F688:G688"/>
    <mergeCell ref="F680:G680"/>
    <mergeCell ref="F681:G681"/>
    <mergeCell ref="F682:G682"/>
    <mergeCell ref="A683:A688"/>
    <mergeCell ref="F683:G683"/>
    <mergeCell ref="F684:G684"/>
    <mergeCell ref="F685:G685"/>
    <mergeCell ref="I140:J140"/>
    <mergeCell ref="A141:C141"/>
    <mergeCell ref="D141:E141"/>
    <mergeCell ref="F141:H141"/>
    <mergeCell ref="I141:J141"/>
    <mergeCell ref="A303:B303"/>
    <mergeCell ref="F297:G297"/>
    <mergeCell ref="A300:J300"/>
    <mergeCell ref="A301:C301"/>
    <mergeCell ref="D301:E301"/>
    <mergeCell ref="G465:H465"/>
    <mergeCell ref="C487:C488"/>
    <mergeCell ref="D487:E488"/>
    <mergeCell ref="G487:H487"/>
    <mergeCell ref="I487:I488"/>
    <mergeCell ref="J487:J488"/>
    <mergeCell ref="G488:H488"/>
    <mergeCell ref="J395:J396"/>
    <mergeCell ref="G396:H396"/>
    <mergeCell ref="C418:C419"/>
    <mergeCell ref="D418:E419"/>
    <mergeCell ref="G418:H418"/>
    <mergeCell ref="I418:I419"/>
    <mergeCell ref="J418:J419"/>
    <mergeCell ref="G419:H419"/>
    <mergeCell ref="C441:C442"/>
    <mergeCell ref="D441:E442"/>
    <mergeCell ref="G441:H441"/>
    <mergeCell ref="I441:I442"/>
    <mergeCell ref="J441:J442"/>
    <mergeCell ref="A476:A481"/>
    <mergeCell ref="F476:G476"/>
    <mergeCell ref="F108:G108"/>
    <mergeCell ref="F109:G109"/>
    <mergeCell ref="F110:G110"/>
    <mergeCell ref="F111:G111"/>
    <mergeCell ref="F113:G113"/>
    <mergeCell ref="A118:C118"/>
    <mergeCell ref="D118:E118"/>
    <mergeCell ref="F118:H118"/>
    <mergeCell ref="A85:A90"/>
    <mergeCell ref="F85:G85"/>
    <mergeCell ref="F86:G86"/>
    <mergeCell ref="F87:G87"/>
    <mergeCell ref="F305:G305"/>
    <mergeCell ref="F259:G259"/>
    <mergeCell ref="F213:G213"/>
    <mergeCell ref="J119:J120"/>
    <mergeCell ref="G120:H120"/>
    <mergeCell ref="D142:E143"/>
    <mergeCell ref="G142:H142"/>
    <mergeCell ref="I142:I143"/>
    <mergeCell ref="J142:J143"/>
    <mergeCell ref="G143:H143"/>
    <mergeCell ref="D165:E166"/>
    <mergeCell ref="G165:H165"/>
    <mergeCell ref="I165:I166"/>
    <mergeCell ref="J165:J166"/>
    <mergeCell ref="G166:H166"/>
    <mergeCell ref="F128:G128"/>
    <mergeCell ref="A139:J139"/>
    <mergeCell ref="A140:C140"/>
    <mergeCell ref="D140:E140"/>
    <mergeCell ref="F140:H140"/>
    <mergeCell ref="F686:G686"/>
    <mergeCell ref="I670:J670"/>
    <mergeCell ref="A671:B671"/>
    <mergeCell ref="A672:B672"/>
    <mergeCell ref="F673:G673"/>
    <mergeCell ref="A660:A665"/>
    <mergeCell ref="F660:G660"/>
    <mergeCell ref="F661:G661"/>
    <mergeCell ref="F662:G662"/>
    <mergeCell ref="F663:G663"/>
    <mergeCell ref="F665:G665"/>
    <mergeCell ref="A668:J668"/>
    <mergeCell ref="A669:C669"/>
    <mergeCell ref="D669:E669"/>
    <mergeCell ref="F669:H669"/>
    <mergeCell ref="I669:J669"/>
    <mergeCell ref="A670:C670"/>
    <mergeCell ref="D670:E670"/>
    <mergeCell ref="F670:H670"/>
    <mergeCell ref="C671:C672"/>
    <mergeCell ref="D671:E672"/>
    <mergeCell ref="G671:H671"/>
    <mergeCell ref="I671:I672"/>
    <mergeCell ref="F678:G678"/>
    <mergeCell ref="F679:G679"/>
    <mergeCell ref="J671:J672"/>
    <mergeCell ref="G672:H672"/>
    <mergeCell ref="F664:G664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A648:B648"/>
    <mergeCell ref="F650:G650"/>
    <mergeCell ref="A651:A659"/>
    <mergeCell ref="F651:G651"/>
    <mergeCell ref="C648:C649"/>
    <mergeCell ref="D648:E649"/>
    <mergeCell ref="G648:H648"/>
    <mergeCell ref="G649:H649"/>
    <mergeCell ref="F642:G642"/>
    <mergeCell ref="A645:J645"/>
    <mergeCell ref="A646:C646"/>
    <mergeCell ref="D646:E646"/>
    <mergeCell ref="F646:H646"/>
    <mergeCell ref="I646:J646"/>
    <mergeCell ref="A649:B649"/>
    <mergeCell ref="A637:A642"/>
    <mergeCell ref="F637:G637"/>
    <mergeCell ref="F638:G638"/>
    <mergeCell ref="F639:G639"/>
    <mergeCell ref="F640:G640"/>
    <mergeCell ref="A647:C647"/>
    <mergeCell ref="D647:E647"/>
    <mergeCell ref="F647:H647"/>
    <mergeCell ref="I647:J647"/>
    <mergeCell ref="I648:I649"/>
    <mergeCell ref="J648:J649"/>
    <mergeCell ref="A628:A636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A624:C624"/>
    <mergeCell ref="D624:E624"/>
    <mergeCell ref="F624:H624"/>
    <mergeCell ref="I624:J624"/>
    <mergeCell ref="A625:B625"/>
    <mergeCell ref="A626:B626"/>
    <mergeCell ref="F627:G627"/>
    <mergeCell ref="C625:C626"/>
    <mergeCell ref="D625:E626"/>
    <mergeCell ref="G625:H625"/>
    <mergeCell ref="I625:I626"/>
    <mergeCell ref="J625:J626"/>
    <mergeCell ref="G626:H626"/>
    <mergeCell ref="F641:G641"/>
    <mergeCell ref="A614:A619"/>
    <mergeCell ref="F614:G614"/>
    <mergeCell ref="F615:G615"/>
    <mergeCell ref="F616:G616"/>
    <mergeCell ref="F617:G617"/>
    <mergeCell ref="F619:G619"/>
    <mergeCell ref="A622:J622"/>
    <mergeCell ref="A623:C623"/>
    <mergeCell ref="D623:E623"/>
    <mergeCell ref="F623:H623"/>
    <mergeCell ref="I623:J623"/>
    <mergeCell ref="A605:A613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8:G618"/>
    <mergeCell ref="A602:B602"/>
    <mergeCell ref="F596:G596"/>
    <mergeCell ref="A599:J599"/>
    <mergeCell ref="A600:C600"/>
    <mergeCell ref="D600:E600"/>
    <mergeCell ref="F600:H600"/>
    <mergeCell ref="I600:J600"/>
    <mergeCell ref="A603:B603"/>
    <mergeCell ref="A591:A596"/>
    <mergeCell ref="F591:G591"/>
    <mergeCell ref="F592:G592"/>
    <mergeCell ref="F593:G593"/>
    <mergeCell ref="F594:G594"/>
    <mergeCell ref="A601:C601"/>
    <mergeCell ref="D601:E601"/>
    <mergeCell ref="F601:H601"/>
    <mergeCell ref="I601:J601"/>
    <mergeCell ref="F595:G595"/>
    <mergeCell ref="A582:A590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A578:C578"/>
    <mergeCell ref="D578:E578"/>
    <mergeCell ref="F578:H578"/>
    <mergeCell ref="I578:J578"/>
    <mergeCell ref="A579:B579"/>
    <mergeCell ref="A580:B580"/>
    <mergeCell ref="F581:G581"/>
    <mergeCell ref="A568:A573"/>
    <mergeCell ref="F568:G568"/>
    <mergeCell ref="F569:G569"/>
    <mergeCell ref="F570:G570"/>
    <mergeCell ref="F571:G571"/>
    <mergeCell ref="F573:G573"/>
    <mergeCell ref="A576:J576"/>
    <mergeCell ref="A577:C577"/>
    <mergeCell ref="D577:E577"/>
    <mergeCell ref="F577:H577"/>
    <mergeCell ref="I577:J577"/>
    <mergeCell ref="A559:A567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72:G572"/>
    <mergeCell ref="A556:B556"/>
    <mergeCell ref="F550:G550"/>
    <mergeCell ref="A553:J553"/>
    <mergeCell ref="A554:C554"/>
    <mergeCell ref="D554:E554"/>
    <mergeCell ref="F554:H554"/>
    <mergeCell ref="I554:J554"/>
    <mergeCell ref="A557:B557"/>
    <mergeCell ref="A545:A550"/>
    <mergeCell ref="F545:G545"/>
    <mergeCell ref="F546:G546"/>
    <mergeCell ref="F547:G547"/>
    <mergeCell ref="F548:G548"/>
    <mergeCell ref="A555:C555"/>
    <mergeCell ref="D555:E555"/>
    <mergeCell ref="F555:H555"/>
    <mergeCell ref="I555:J555"/>
    <mergeCell ref="C556:C557"/>
    <mergeCell ref="D556:E557"/>
    <mergeCell ref="G556:H556"/>
    <mergeCell ref="I556:I557"/>
    <mergeCell ref="J556:J557"/>
    <mergeCell ref="F549:G549"/>
    <mergeCell ref="A536:A544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A532:C532"/>
    <mergeCell ref="D532:E532"/>
    <mergeCell ref="F532:H532"/>
    <mergeCell ref="I532:J532"/>
    <mergeCell ref="A533:B533"/>
    <mergeCell ref="A534:B534"/>
    <mergeCell ref="F535:G535"/>
    <mergeCell ref="C533:C534"/>
    <mergeCell ref="D533:E534"/>
    <mergeCell ref="G533:H533"/>
    <mergeCell ref="I533:I534"/>
    <mergeCell ref="J533:J534"/>
    <mergeCell ref="G534:H534"/>
    <mergeCell ref="A522:A527"/>
    <mergeCell ref="F522:G522"/>
    <mergeCell ref="F523:G523"/>
    <mergeCell ref="F524:G524"/>
    <mergeCell ref="F525:G525"/>
    <mergeCell ref="F527:G527"/>
    <mergeCell ref="A530:J530"/>
    <mergeCell ref="A531:C531"/>
    <mergeCell ref="D531:E531"/>
    <mergeCell ref="F531:H531"/>
    <mergeCell ref="I531:J531"/>
    <mergeCell ref="A513:A521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6:G526"/>
    <mergeCell ref="F489:G489"/>
    <mergeCell ref="A510:B510"/>
    <mergeCell ref="F504:G504"/>
    <mergeCell ref="A507:J507"/>
    <mergeCell ref="A508:C508"/>
    <mergeCell ref="D508:E508"/>
    <mergeCell ref="F508:H508"/>
    <mergeCell ref="I508:J508"/>
    <mergeCell ref="A511:B511"/>
    <mergeCell ref="A499:A504"/>
    <mergeCell ref="F499:G499"/>
    <mergeCell ref="F500:G500"/>
    <mergeCell ref="F501:G501"/>
    <mergeCell ref="F502:G502"/>
    <mergeCell ref="A509:C509"/>
    <mergeCell ref="D509:E509"/>
    <mergeCell ref="F509:H509"/>
    <mergeCell ref="I509:J509"/>
    <mergeCell ref="C510:C511"/>
    <mergeCell ref="D510:E511"/>
    <mergeCell ref="G510:H510"/>
    <mergeCell ref="I510:I511"/>
    <mergeCell ref="J510:J511"/>
    <mergeCell ref="G511:H511"/>
    <mergeCell ref="F503:G503"/>
    <mergeCell ref="F481:G481"/>
    <mergeCell ref="A484:J484"/>
    <mergeCell ref="A485:C485"/>
    <mergeCell ref="D485:E485"/>
    <mergeCell ref="F485:H485"/>
    <mergeCell ref="I485:J485"/>
    <mergeCell ref="A467:A475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A490:A498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A486:C486"/>
    <mergeCell ref="D486:E486"/>
    <mergeCell ref="F486:H486"/>
    <mergeCell ref="I486:J486"/>
    <mergeCell ref="A487:B487"/>
    <mergeCell ref="A488:B488"/>
    <mergeCell ref="A464:B464"/>
    <mergeCell ref="F458:G458"/>
    <mergeCell ref="A461:J461"/>
    <mergeCell ref="A462:C462"/>
    <mergeCell ref="D462:E462"/>
    <mergeCell ref="F462:H462"/>
    <mergeCell ref="I462:J462"/>
    <mergeCell ref="A465:B465"/>
    <mergeCell ref="A453:A458"/>
    <mergeCell ref="F453:G453"/>
    <mergeCell ref="F454:G454"/>
    <mergeCell ref="F455:G455"/>
    <mergeCell ref="F456:G456"/>
    <mergeCell ref="A463:C463"/>
    <mergeCell ref="D463:E463"/>
    <mergeCell ref="F463:H463"/>
    <mergeCell ref="I463:J463"/>
    <mergeCell ref="C464:C465"/>
    <mergeCell ref="D464:E465"/>
    <mergeCell ref="G464:H464"/>
    <mergeCell ref="I464:I465"/>
    <mergeCell ref="J464:J465"/>
    <mergeCell ref="A441:B441"/>
    <mergeCell ref="A442:B442"/>
    <mergeCell ref="F443:G443"/>
    <mergeCell ref="A444:A452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A438:J438"/>
    <mergeCell ref="A439:C439"/>
    <mergeCell ref="D439:E439"/>
    <mergeCell ref="F439:H439"/>
    <mergeCell ref="I439:J439"/>
    <mergeCell ref="A440:C440"/>
    <mergeCell ref="D440:E440"/>
    <mergeCell ref="F440:H440"/>
    <mergeCell ref="I440:J440"/>
    <mergeCell ref="G442:H442"/>
    <mergeCell ref="A430:A435"/>
    <mergeCell ref="F430:G430"/>
    <mergeCell ref="F431:G431"/>
    <mergeCell ref="F432:G432"/>
    <mergeCell ref="F433:G433"/>
    <mergeCell ref="A421:A429"/>
    <mergeCell ref="F421:G421"/>
    <mergeCell ref="A407:A412"/>
    <mergeCell ref="F407:G407"/>
    <mergeCell ref="F408:G408"/>
    <mergeCell ref="F409:G409"/>
    <mergeCell ref="F410:G410"/>
    <mergeCell ref="F412:G412"/>
    <mergeCell ref="F422:G422"/>
    <mergeCell ref="F423:G423"/>
    <mergeCell ref="F424:G424"/>
    <mergeCell ref="A415:J415"/>
    <mergeCell ref="A416:C416"/>
    <mergeCell ref="D416:E416"/>
    <mergeCell ref="F416:H416"/>
    <mergeCell ref="I416:J416"/>
    <mergeCell ref="A417:C417"/>
    <mergeCell ref="D417:E417"/>
    <mergeCell ref="F417:H417"/>
    <mergeCell ref="I417:J417"/>
    <mergeCell ref="A418:B418"/>
    <mergeCell ref="A419:B419"/>
    <mergeCell ref="F420:G420"/>
    <mergeCell ref="F435:G435"/>
    <mergeCell ref="F425:G425"/>
    <mergeCell ref="F426:G426"/>
    <mergeCell ref="F427:G427"/>
    <mergeCell ref="A398:A406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A395:B395"/>
    <mergeCell ref="F389:G389"/>
    <mergeCell ref="A392:J392"/>
    <mergeCell ref="A393:C393"/>
    <mergeCell ref="D393:E393"/>
    <mergeCell ref="F393:H393"/>
    <mergeCell ref="I393:J393"/>
    <mergeCell ref="A396:B396"/>
    <mergeCell ref="A384:A389"/>
    <mergeCell ref="F384:G384"/>
    <mergeCell ref="F385:G385"/>
    <mergeCell ref="F386:G386"/>
    <mergeCell ref="F387:G387"/>
    <mergeCell ref="A394:C394"/>
    <mergeCell ref="D394:E394"/>
    <mergeCell ref="F394:H394"/>
    <mergeCell ref="I394:J394"/>
    <mergeCell ref="C395:C396"/>
    <mergeCell ref="D395:E396"/>
    <mergeCell ref="G395:H395"/>
    <mergeCell ref="I395:I396"/>
    <mergeCell ref="A375:A383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A371:C371"/>
    <mergeCell ref="D371:E371"/>
    <mergeCell ref="F371:H371"/>
    <mergeCell ref="I371:J371"/>
    <mergeCell ref="A372:B372"/>
    <mergeCell ref="A373:B373"/>
    <mergeCell ref="F374:G374"/>
    <mergeCell ref="C372:C373"/>
    <mergeCell ref="D372:E373"/>
    <mergeCell ref="G372:H372"/>
    <mergeCell ref="I372:I373"/>
    <mergeCell ref="J372:J373"/>
    <mergeCell ref="G373:H373"/>
    <mergeCell ref="A361:A366"/>
    <mergeCell ref="F361:G361"/>
    <mergeCell ref="F362:G362"/>
    <mergeCell ref="F363:G363"/>
    <mergeCell ref="F364:G364"/>
    <mergeCell ref="F366:G366"/>
    <mergeCell ref="A369:J369"/>
    <mergeCell ref="A370:C370"/>
    <mergeCell ref="D370:E370"/>
    <mergeCell ref="F370:H370"/>
    <mergeCell ref="I370:J370"/>
    <mergeCell ref="A352:A360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A349:B349"/>
    <mergeCell ref="F343:G343"/>
    <mergeCell ref="A346:J346"/>
    <mergeCell ref="A347:C347"/>
    <mergeCell ref="D347:E347"/>
    <mergeCell ref="F347:H347"/>
    <mergeCell ref="I347:J347"/>
    <mergeCell ref="A350:B350"/>
    <mergeCell ref="A338:A343"/>
    <mergeCell ref="F338:G338"/>
    <mergeCell ref="F339:G339"/>
    <mergeCell ref="F340:G340"/>
    <mergeCell ref="F341:G341"/>
    <mergeCell ref="A348:C348"/>
    <mergeCell ref="D348:E348"/>
    <mergeCell ref="F348:H348"/>
    <mergeCell ref="I348:J348"/>
    <mergeCell ref="C349:C350"/>
    <mergeCell ref="D349:E350"/>
    <mergeCell ref="G349:H349"/>
    <mergeCell ref="I349:I350"/>
    <mergeCell ref="J349:J350"/>
    <mergeCell ref="G350:H350"/>
    <mergeCell ref="A329:A337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A325:C325"/>
    <mergeCell ref="D325:E325"/>
    <mergeCell ref="F325:H325"/>
    <mergeCell ref="I325:J325"/>
    <mergeCell ref="A326:B326"/>
    <mergeCell ref="A327:B327"/>
    <mergeCell ref="F328:G328"/>
    <mergeCell ref="C326:C327"/>
    <mergeCell ref="A315:A320"/>
    <mergeCell ref="F315:G315"/>
    <mergeCell ref="F316:G316"/>
    <mergeCell ref="F317:G317"/>
    <mergeCell ref="F318:G318"/>
    <mergeCell ref="F320:G320"/>
    <mergeCell ref="A323:J323"/>
    <mergeCell ref="A324:C324"/>
    <mergeCell ref="D324:E324"/>
    <mergeCell ref="F324:H324"/>
    <mergeCell ref="I324:J324"/>
    <mergeCell ref="D326:E327"/>
    <mergeCell ref="G326:H326"/>
    <mergeCell ref="I326:I327"/>
    <mergeCell ref="J326:J327"/>
    <mergeCell ref="G327:H327"/>
    <mergeCell ref="A306:A314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I301:J301"/>
    <mergeCell ref="A304:B304"/>
    <mergeCell ref="A292:A297"/>
    <mergeCell ref="F292:G292"/>
    <mergeCell ref="F293:G293"/>
    <mergeCell ref="F294:G294"/>
    <mergeCell ref="F295:G295"/>
    <mergeCell ref="A302:C302"/>
    <mergeCell ref="D302:E302"/>
    <mergeCell ref="F302:H302"/>
    <mergeCell ref="I302:J302"/>
    <mergeCell ref="C303:C304"/>
    <mergeCell ref="D303:E304"/>
    <mergeCell ref="G303:H303"/>
    <mergeCell ref="I303:I304"/>
    <mergeCell ref="J303:J304"/>
    <mergeCell ref="G304:H304"/>
    <mergeCell ref="A283:A291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A279:C279"/>
    <mergeCell ref="D279:E279"/>
    <mergeCell ref="F279:H279"/>
    <mergeCell ref="I279:J279"/>
    <mergeCell ref="A280:B280"/>
    <mergeCell ref="A281:B281"/>
    <mergeCell ref="F282:G282"/>
    <mergeCell ref="C280:C281"/>
    <mergeCell ref="D280:E281"/>
    <mergeCell ref="G280:H280"/>
    <mergeCell ref="I280:I281"/>
    <mergeCell ref="J280:J281"/>
    <mergeCell ref="G281:H281"/>
    <mergeCell ref="A269:A274"/>
    <mergeCell ref="F269:G269"/>
    <mergeCell ref="F270:G270"/>
    <mergeCell ref="F271:G271"/>
    <mergeCell ref="F272:G272"/>
    <mergeCell ref="F274:G274"/>
    <mergeCell ref="A277:J277"/>
    <mergeCell ref="A278:C278"/>
    <mergeCell ref="D278:E278"/>
    <mergeCell ref="F278:H278"/>
    <mergeCell ref="I278:J278"/>
    <mergeCell ref="A260:A268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A257:B257"/>
    <mergeCell ref="F251:G251"/>
    <mergeCell ref="A254:J254"/>
    <mergeCell ref="A255:C255"/>
    <mergeCell ref="D255:E255"/>
    <mergeCell ref="F255:H255"/>
    <mergeCell ref="I255:J255"/>
    <mergeCell ref="A258:B258"/>
    <mergeCell ref="A246:A251"/>
    <mergeCell ref="F246:G246"/>
    <mergeCell ref="F247:G247"/>
    <mergeCell ref="F248:G248"/>
    <mergeCell ref="F249:G249"/>
    <mergeCell ref="A256:C256"/>
    <mergeCell ref="D256:E256"/>
    <mergeCell ref="F256:H256"/>
    <mergeCell ref="I256:J256"/>
    <mergeCell ref="C257:C258"/>
    <mergeCell ref="D257:E258"/>
    <mergeCell ref="G257:H257"/>
    <mergeCell ref="I257:I258"/>
    <mergeCell ref="J257:J258"/>
    <mergeCell ref="G258:H258"/>
    <mergeCell ref="A237:A245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A233:C233"/>
    <mergeCell ref="D233:E233"/>
    <mergeCell ref="F233:H233"/>
    <mergeCell ref="I233:J233"/>
    <mergeCell ref="A234:B234"/>
    <mergeCell ref="A235:B235"/>
    <mergeCell ref="F236:G236"/>
    <mergeCell ref="C234:C235"/>
    <mergeCell ref="A223:A228"/>
    <mergeCell ref="F223:G223"/>
    <mergeCell ref="F224:G224"/>
    <mergeCell ref="F225:G225"/>
    <mergeCell ref="F226:G226"/>
    <mergeCell ref="F228:G228"/>
    <mergeCell ref="A231:J231"/>
    <mergeCell ref="A232:C232"/>
    <mergeCell ref="D232:E232"/>
    <mergeCell ref="F232:H232"/>
    <mergeCell ref="I232:J232"/>
    <mergeCell ref="D234:E235"/>
    <mergeCell ref="G234:H234"/>
    <mergeCell ref="I234:I235"/>
    <mergeCell ref="J234:J235"/>
    <mergeCell ref="G235:H235"/>
    <mergeCell ref="A214:A222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A211:B211"/>
    <mergeCell ref="F205:G205"/>
    <mergeCell ref="A208:J208"/>
    <mergeCell ref="A209:C209"/>
    <mergeCell ref="D209:E209"/>
    <mergeCell ref="F209:H209"/>
    <mergeCell ref="I209:J209"/>
    <mergeCell ref="A212:B212"/>
    <mergeCell ref="A200:A205"/>
    <mergeCell ref="F200:G200"/>
    <mergeCell ref="F201:G201"/>
    <mergeCell ref="F202:G202"/>
    <mergeCell ref="F203:G203"/>
    <mergeCell ref="A210:C210"/>
    <mergeCell ref="D210:E210"/>
    <mergeCell ref="F210:H210"/>
    <mergeCell ref="I210:J210"/>
    <mergeCell ref="C211:C212"/>
    <mergeCell ref="D211:E212"/>
    <mergeCell ref="G211:H211"/>
    <mergeCell ref="I211:I212"/>
    <mergeCell ref="J211:J212"/>
    <mergeCell ref="G212:H212"/>
    <mergeCell ref="A191:A199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A187:C187"/>
    <mergeCell ref="D187:E187"/>
    <mergeCell ref="F187:H187"/>
    <mergeCell ref="I187:J187"/>
    <mergeCell ref="A188:B188"/>
    <mergeCell ref="A189:B189"/>
    <mergeCell ref="F190:G190"/>
    <mergeCell ref="C188:C189"/>
    <mergeCell ref="D188:E189"/>
    <mergeCell ref="G188:H188"/>
    <mergeCell ref="I188:I189"/>
    <mergeCell ref="J188:J189"/>
    <mergeCell ref="G189:H189"/>
    <mergeCell ref="A177:A182"/>
    <mergeCell ref="F177:G177"/>
    <mergeCell ref="F178:G178"/>
    <mergeCell ref="F179:G179"/>
    <mergeCell ref="F180:G180"/>
    <mergeCell ref="F182:G182"/>
    <mergeCell ref="A185:J185"/>
    <mergeCell ref="A186:C186"/>
    <mergeCell ref="D186:E186"/>
    <mergeCell ref="F186:H186"/>
    <mergeCell ref="I186:J186"/>
    <mergeCell ref="A168:A176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A165:B165"/>
    <mergeCell ref="F159:G159"/>
    <mergeCell ref="A162:J162"/>
    <mergeCell ref="A163:C163"/>
    <mergeCell ref="D163:E163"/>
    <mergeCell ref="F163:H163"/>
    <mergeCell ref="I163:J163"/>
    <mergeCell ref="A166:B166"/>
    <mergeCell ref="A154:A159"/>
    <mergeCell ref="F154:G154"/>
    <mergeCell ref="F155:G155"/>
    <mergeCell ref="F156:G156"/>
    <mergeCell ref="F157:G157"/>
    <mergeCell ref="A164:C164"/>
    <mergeCell ref="D164:E164"/>
    <mergeCell ref="F164:H164"/>
    <mergeCell ref="I164:J164"/>
    <mergeCell ref="C165:C166"/>
    <mergeCell ref="A142:B142"/>
    <mergeCell ref="A143:B143"/>
    <mergeCell ref="F144:G144"/>
    <mergeCell ref="A145:A153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C142:C143"/>
    <mergeCell ref="I117:J117"/>
    <mergeCell ref="A119:B119"/>
    <mergeCell ref="A122:A130"/>
    <mergeCell ref="A131:A136"/>
    <mergeCell ref="F136:G136"/>
    <mergeCell ref="F133:G133"/>
    <mergeCell ref="F134:G134"/>
    <mergeCell ref="F121:G121"/>
    <mergeCell ref="F122:G122"/>
    <mergeCell ref="F123:G123"/>
    <mergeCell ref="F124:G124"/>
    <mergeCell ref="F125:G125"/>
    <mergeCell ref="F126:G126"/>
    <mergeCell ref="F127:G127"/>
    <mergeCell ref="I119:I120"/>
    <mergeCell ref="F131:G131"/>
    <mergeCell ref="F132:G132"/>
    <mergeCell ref="A120:B120"/>
    <mergeCell ref="C119:C120"/>
    <mergeCell ref="D119:E120"/>
    <mergeCell ref="G119:H119"/>
    <mergeCell ref="A99:A107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A95:C95"/>
    <mergeCell ref="D95:E95"/>
    <mergeCell ref="F95:H95"/>
    <mergeCell ref="I95:J95"/>
    <mergeCell ref="A96:B96"/>
    <mergeCell ref="A97:B97"/>
    <mergeCell ref="F98:G98"/>
    <mergeCell ref="C96:C97"/>
    <mergeCell ref="D96:E97"/>
    <mergeCell ref="G96:H96"/>
    <mergeCell ref="I96:I97"/>
    <mergeCell ref="J96:J97"/>
    <mergeCell ref="G97:H97"/>
    <mergeCell ref="I118:J118"/>
    <mergeCell ref="A116:J116"/>
    <mergeCell ref="A117:C117"/>
    <mergeCell ref="D117:E117"/>
    <mergeCell ref="F117:H117"/>
    <mergeCell ref="A108:A113"/>
    <mergeCell ref="F88:G88"/>
    <mergeCell ref="F90:G90"/>
    <mergeCell ref="A93:J93"/>
    <mergeCell ref="A94:C94"/>
    <mergeCell ref="D94:E94"/>
    <mergeCell ref="F94:H94"/>
    <mergeCell ref="I94:J94"/>
    <mergeCell ref="F75:G75"/>
    <mergeCell ref="A76:A84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9:G89"/>
    <mergeCell ref="F52:G52"/>
    <mergeCell ref="C50:C51"/>
    <mergeCell ref="A73:B73"/>
    <mergeCell ref="F67:G67"/>
    <mergeCell ref="A70:J70"/>
    <mergeCell ref="A71:C71"/>
    <mergeCell ref="D71:E71"/>
    <mergeCell ref="F71:H71"/>
    <mergeCell ref="I71:J71"/>
    <mergeCell ref="A74:B74"/>
    <mergeCell ref="A62:A67"/>
    <mergeCell ref="F62:G62"/>
    <mergeCell ref="F63:G63"/>
    <mergeCell ref="F64:G64"/>
    <mergeCell ref="F65:G65"/>
    <mergeCell ref="A72:C72"/>
    <mergeCell ref="D72:E72"/>
    <mergeCell ref="F72:H72"/>
    <mergeCell ref="I72:J72"/>
    <mergeCell ref="C73:C74"/>
    <mergeCell ref="D50:E51"/>
    <mergeCell ref="G50:H50"/>
    <mergeCell ref="I50:I51"/>
    <mergeCell ref="J50:J51"/>
    <mergeCell ref="G51:H51"/>
    <mergeCell ref="D73:E74"/>
    <mergeCell ref="G73:H73"/>
    <mergeCell ref="I73:I74"/>
    <mergeCell ref="J73:J74"/>
    <mergeCell ref="G74:H74"/>
    <mergeCell ref="F58:G58"/>
    <mergeCell ref="F66:G66"/>
    <mergeCell ref="F33:G33"/>
    <mergeCell ref="F34:G34"/>
    <mergeCell ref="F35:G35"/>
    <mergeCell ref="F36:G36"/>
    <mergeCell ref="F37:G37"/>
    <mergeCell ref="F38:G38"/>
    <mergeCell ref="I27:I28"/>
    <mergeCell ref="J27:J28"/>
    <mergeCell ref="G28:H28"/>
    <mergeCell ref="F29:G29"/>
    <mergeCell ref="F10:G10"/>
    <mergeCell ref="F11:G11"/>
    <mergeCell ref="D4:E5"/>
    <mergeCell ref="G4:H4"/>
    <mergeCell ref="G5:H5"/>
    <mergeCell ref="I4:I5"/>
    <mergeCell ref="A51:B51"/>
    <mergeCell ref="F20:G20"/>
    <mergeCell ref="F43:G43"/>
    <mergeCell ref="D740:E741"/>
    <mergeCell ref="G740:H740"/>
    <mergeCell ref="I740:I741"/>
    <mergeCell ref="A741:B741"/>
    <mergeCell ref="A39:A44"/>
    <mergeCell ref="F39:G39"/>
    <mergeCell ref="F40:G40"/>
    <mergeCell ref="F41:G41"/>
    <mergeCell ref="F42:G42"/>
    <mergeCell ref="F44:G44"/>
    <mergeCell ref="A53:A61"/>
    <mergeCell ref="F53:G53"/>
    <mergeCell ref="F54:G54"/>
    <mergeCell ref="F55:G55"/>
    <mergeCell ref="F56:G56"/>
    <mergeCell ref="F57:G57"/>
    <mergeCell ref="C4:C5"/>
    <mergeCell ref="A27:B27"/>
    <mergeCell ref="F21:G21"/>
    <mergeCell ref="A24:J24"/>
    <mergeCell ref="A25:C25"/>
    <mergeCell ref="D25:E25"/>
    <mergeCell ref="F25:H25"/>
    <mergeCell ref="A47:J47"/>
    <mergeCell ref="A48:C48"/>
    <mergeCell ref="D48:E48"/>
    <mergeCell ref="F48:H48"/>
    <mergeCell ref="I48:J48"/>
    <mergeCell ref="A30:A38"/>
    <mergeCell ref="F30:G30"/>
    <mergeCell ref="F31:G31"/>
    <mergeCell ref="F32:G32"/>
    <mergeCell ref="A1:J1"/>
    <mergeCell ref="A2:C2"/>
    <mergeCell ref="D2:E2"/>
    <mergeCell ref="F2:H2"/>
    <mergeCell ref="I2:J2"/>
    <mergeCell ref="A3:C3"/>
    <mergeCell ref="D3:E3"/>
    <mergeCell ref="F3:H3"/>
    <mergeCell ref="I3:J3"/>
    <mergeCell ref="A28:B28"/>
    <mergeCell ref="A16:A21"/>
    <mergeCell ref="F16:G16"/>
    <mergeCell ref="F17:G17"/>
    <mergeCell ref="F18:G18"/>
    <mergeCell ref="F19:G19"/>
    <mergeCell ref="A26:C26"/>
    <mergeCell ref="J4:J5"/>
    <mergeCell ref="D26:E26"/>
    <mergeCell ref="F26:H26"/>
    <mergeCell ref="D27:E28"/>
    <mergeCell ref="G27:H27"/>
    <mergeCell ref="F12:G12"/>
    <mergeCell ref="F13:G13"/>
    <mergeCell ref="F14:G14"/>
    <mergeCell ref="F15:G15"/>
    <mergeCell ref="G741:H741"/>
    <mergeCell ref="I25:J25"/>
    <mergeCell ref="I26:J26"/>
    <mergeCell ref="C27:C28"/>
    <mergeCell ref="A4:B4"/>
    <mergeCell ref="A5:B5"/>
    <mergeCell ref="F6:G6"/>
    <mergeCell ref="A7:A15"/>
    <mergeCell ref="F7:G7"/>
    <mergeCell ref="F8:G8"/>
    <mergeCell ref="F9:G9"/>
    <mergeCell ref="J740:J741"/>
    <mergeCell ref="A737:J737"/>
    <mergeCell ref="A738:C738"/>
    <mergeCell ref="D738:E738"/>
    <mergeCell ref="F738:H738"/>
    <mergeCell ref="F742:G742"/>
    <mergeCell ref="F59:G59"/>
    <mergeCell ref="F60:G60"/>
    <mergeCell ref="F61:G61"/>
    <mergeCell ref="A49:C49"/>
    <mergeCell ref="D49:E49"/>
    <mergeCell ref="F49:H49"/>
    <mergeCell ref="I49:J49"/>
    <mergeCell ref="A50:B50"/>
    <mergeCell ref="I738:J738"/>
    <mergeCell ref="A739:C739"/>
    <mergeCell ref="D739:E739"/>
    <mergeCell ref="F739:H739"/>
    <mergeCell ref="I739:J739"/>
    <mergeCell ref="A740:B740"/>
    <mergeCell ref="C740:C741"/>
    <mergeCell ref="A743:A751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A752:A757"/>
    <mergeCell ref="F752:G752"/>
    <mergeCell ref="F753:G753"/>
    <mergeCell ref="F754:G754"/>
    <mergeCell ref="F755:G755"/>
    <mergeCell ref="F757:G757"/>
    <mergeCell ref="A760:J760"/>
    <mergeCell ref="F756:G756"/>
    <mergeCell ref="A761:C761"/>
    <mergeCell ref="D761:E761"/>
    <mergeCell ref="F761:H761"/>
    <mergeCell ref="I761:J761"/>
    <mergeCell ref="A762:C762"/>
    <mergeCell ref="D762:E762"/>
    <mergeCell ref="F762:H762"/>
    <mergeCell ref="I762:J762"/>
    <mergeCell ref="A763:B763"/>
    <mergeCell ref="C763:C764"/>
    <mergeCell ref="D763:E764"/>
    <mergeCell ref="G763:H763"/>
    <mergeCell ref="I763:I764"/>
    <mergeCell ref="J763:J764"/>
    <mergeCell ref="A764:B764"/>
    <mergeCell ref="G764:H764"/>
    <mergeCell ref="A766:A774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A775:A780"/>
    <mergeCell ref="F775:G775"/>
    <mergeCell ref="F776:G776"/>
    <mergeCell ref="F777:G777"/>
    <mergeCell ref="F778:G778"/>
    <mergeCell ref="F780:G780"/>
    <mergeCell ref="A783:J783"/>
    <mergeCell ref="F779:G779"/>
    <mergeCell ref="A784:C784"/>
    <mergeCell ref="D784:E784"/>
    <mergeCell ref="F784:H784"/>
    <mergeCell ref="I784:J784"/>
    <mergeCell ref="A785:C785"/>
    <mergeCell ref="D785:E785"/>
    <mergeCell ref="F785:H785"/>
    <mergeCell ref="I785:J785"/>
    <mergeCell ref="A786:B786"/>
    <mergeCell ref="C786:C787"/>
    <mergeCell ref="D786:E787"/>
    <mergeCell ref="G786:H786"/>
    <mergeCell ref="I786:I787"/>
    <mergeCell ref="J786:J787"/>
    <mergeCell ref="A787:B787"/>
    <mergeCell ref="G787:H787"/>
    <mergeCell ref="A789:A797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A798:A803"/>
    <mergeCell ref="F798:G798"/>
    <mergeCell ref="F799:G799"/>
    <mergeCell ref="F800:G800"/>
    <mergeCell ref="F801:G801"/>
    <mergeCell ref="F803:G803"/>
    <mergeCell ref="A806:J806"/>
    <mergeCell ref="F802:G802"/>
    <mergeCell ref="A807:C807"/>
    <mergeCell ref="D807:E807"/>
    <mergeCell ref="F807:H807"/>
    <mergeCell ref="I807:J807"/>
    <mergeCell ref="A808:C808"/>
    <mergeCell ref="D808:E808"/>
    <mergeCell ref="F808:H808"/>
    <mergeCell ref="I808:J808"/>
    <mergeCell ref="A809:B809"/>
    <mergeCell ref="C809:C810"/>
    <mergeCell ref="D809:E810"/>
    <mergeCell ref="G809:H809"/>
    <mergeCell ref="I809:I810"/>
    <mergeCell ref="J809:J810"/>
    <mergeCell ref="A810:B810"/>
    <mergeCell ref="G810:H810"/>
    <mergeCell ref="A812:A820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A821:A826"/>
    <mergeCell ref="F821:G821"/>
    <mergeCell ref="F822:G822"/>
    <mergeCell ref="F823:G823"/>
    <mergeCell ref="F824:G824"/>
    <mergeCell ref="F826:G826"/>
    <mergeCell ref="A829:J829"/>
    <mergeCell ref="F825:G825"/>
    <mergeCell ref="A830:C830"/>
    <mergeCell ref="D830:E830"/>
    <mergeCell ref="F830:H830"/>
    <mergeCell ref="I830:J830"/>
    <mergeCell ref="A831:C831"/>
    <mergeCell ref="D831:E831"/>
    <mergeCell ref="F831:H831"/>
    <mergeCell ref="I831:J831"/>
    <mergeCell ref="A832:B832"/>
    <mergeCell ref="C832:C833"/>
    <mergeCell ref="D832:E833"/>
    <mergeCell ref="G832:H832"/>
    <mergeCell ref="I832:I833"/>
    <mergeCell ref="J832:J833"/>
    <mergeCell ref="A833:B833"/>
    <mergeCell ref="G833:H833"/>
    <mergeCell ref="A856:B856"/>
    <mergeCell ref="G856:H856"/>
    <mergeCell ref="A835:A843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A844:A849"/>
    <mergeCell ref="F844:G844"/>
    <mergeCell ref="F845:G845"/>
    <mergeCell ref="F846:G846"/>
    <mergeCell ref="F847:G847"/>
    <mergeCell ref="F849:G849"/>
    <mergeCell ref="A852:J852"/>
    <mergeCell ref="F848:G848"/>
    <mergeCell ref="A858:A866"/>
    <mergeCell ref="A867:A872"/>
    <mergeCell ref="A853:C853"/>
    <mergeCell ref="D853:E853"/>
    <mergeCell ref="A875:J875"/>
    <mergeCell ref="A876:C876"/>
    <mergeCell ref="D876:E876"/>
    <mergeCell ref="F876:H876"/>
    <mergeCell ref="I876:J876"/>
    <mergeCell ref="A877:C877"/>
    <mergeCell ref="D877:E877"/>
    <mergeCell ref="F877:H877"/>
    <mergeCell ref="I877:J877"/>
    <mergeCell ref="A878:B878"/>
    <mergeCell ref="C878:C879"/>
    <mergeCell ref="D878:E879"/>
    <mergeCell ref="G878:H878"/>
    <mergeCell ref="I878:I879"/>
    <mergeCell ref="J878:J879"/>
    <mergeCell ref="A879:B879"/>
    <mergeCell ref="G879:H879"/>
    <mergeCell ref="I853:J853"/>
    <mergeCell ref="A854:C854"/>
    <mergeCell ref="D854:E854"/>
    <mergeCell ref="F854:H854"/>
    <mergeCell ref="I854:J854"/>
    <mergeCell ref="A855:B855"/>
    <mergeCell ref="C855:C856"/>
    <mergeCell ref="D855:E856"/>
    <mergeCell ref="G855:H855"/>
    <mergeCell ref="I855:I856"/>
    <mergeCell ref="J855:J856"/>
    <mergeCell ref="F880:G880"/>
    <mergeCell ref="A881:A889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A890:A895"/>
    <mergeCell ref="F890:G890"/>
    <mergeCell ref="F891:G891"/>
    <mergeCell ref="F892:G892"/>
    <mergeCell ref="F893:G893"/>
    <mergeCell ref="F895:G895"/>
    <mergeCell ref="F894:G894"/>
    <mergeCell ref="A898:J898"/>
    <mergeCell ref="A899:C899"/>
    <mergeCell ref="D899:E899"/>
    <mergeCell ref="F899:H899"/>
    <mergeCell ref="I899:J899"/>
    <mergeCell ref="A900:C900"/>
    <mergeCell ref="D900:E900"/>
    <mergeCell ref="F900:H900"/>
    <mergeCell ref="I900:J900"/>
    <mergeCell ref="A901:B901"/>
    <mergeCell ref="C901:C902"/>
    <mergeCell ref="D901:E902"/>
    <mergeCell ref="G901:H901"/>
    <mergeCell ref="I901:I902"/>
    <mergeCell ref="J901:J902"/>
    <mergeCell ref="A902:B902"/>
    <mergeCell ref="G902:H902"/>
    <mergeCell ref="F903:G903"/>
    <mergeCell ref="A904:A912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A913:A918"/>
    <mergeCell ref="F913:G913"/>
    <mergeCell ref="F914:G914"/>
    <mergeCell ref="F915:G915"/>
    <mergeCell ref="F916:G916"/>
    <mergeCell ref="F918:G918"/>
    <mergeCell ref="F917:G917"/>
    <mergeCell ref="A921:J921"/>
    <mergeCell ref="A922:C922"/>
    <mergeCell ref="D922:E922"/>
    <mergeCell ref="F922:H922"/>
    <mergeCell ref="I922:J922"/>
    <mergeCell ref="A923:C923"/>
    <mergeCell ref="D923:E923"/>
    <mergeCell ref="F923:H923"/>
    <mergeCell ref="I923:J923"/>
    <mergeCell ref="A924:B924"/>
    <mergeCell ref="C924:C925"/>
    <mergeCell ref="D924:E925"/>
    <mergeCell ref="G924:H924"/>
    <mergeCell ref="I924:I925"/>
    <mergeCell ref="J924:J925"/>
    <mergeCell ref="A925:B925"/>
    <mergeCell ref="G925:H925"/>
    <mergeCell ref="F926:G926"/>
    <mergeCell ref="A927:A935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A936:A941"/>
    <mergeCell ref="F936:G936"/>
    <mergeCell ref="F937:G937"/>
    <mergeCell ref="F938:G938"/>
    <mergeCell ref="F939:G939"/>
    <mergeCell ref="F941:G941"/>
    <mergeCell ref="F940:G940"/>
    <mergeCell ref="A944:J944"/>
    <mergeCell ref="A945:C945"/>
    <mergeCell ref="D945:E945"/>
    <mergeCell ref="F945:H945"/>
    <mergeCell ref="I945:J945"/>
    <mergeCell ref="A946:C946"/>
    <mergeCell ref="D946:E946"/>
    <mergeCell ref="F946:H946"/>
    <mergeCell ref="I946:J946"/>
    <mergeCell ref="A947:B947"/>
    <mergeCell ref="C947:C948"/>
    <mergeCell ref="D947:E948"/>
    <mergeCell ref="G947:H947"/>
    <mergeCell ref="I947:I948"/>
    <mergeCell ref="J947:J948"/>
    <mergeCell ref="A948:B948"/>
    <mergeCell ref="G948:H948"/>
    <mergeCell ref="F949:G949"/>
    <mergeCell ref="A950:A958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A959:A964"/>
    <mergeCell ref="F959:G959"/>
    <mergeCell ref="F960:G960"/>
    <mergeCell ref="F961:G961"/>
    <mergeCell ref="F962:G962"/>
    <mergeCell ref="F964:G964"/>
    <mergeCell ref="F963:G963"/>
    <mergeCell ref="A967:J967"/>
    <mergeCell ref="A968:C968"/>
    <mergeCell ref="D968:E968"/>
    <mergeCell ref="F968:H968"/>
    <mergeCell ref="I968:J968"/>
    <mergeCell ref="A969:C969"/>
    <mergeCell ref="D969:E969"/>
    <mergeCell ref="F969:H969"/>
    <mergeCell ref="I969:J969"/>
    <mergeCell ref="A970:B970"/>
    <mergeCell ref="C970:C971"/>
    <mergeCell ref="D970:E971"/>
    <mergeCell ref="G970:H970"/>
    <mergeCell ref="I970:I971"/>
    <mergeCell ref="J970:J971"/>
    <mergeCell ref="A971:B971"/>
    <mergeCell ref="G971:H971"/>
    <mergeCell ref="F972:G972"/>
    <mergeCell ref="A973:A981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A982:A987"/>
    <mergeCell ref="F982:G982"/>
    <mergeCell ref="F983:G983"/>
    <mergeCell ref="F984:G984"/>
    <mergeCell ref="F985:G985"/>
    <mergeCell ref="F987:G987"/>
    <mergeCell ref="F986:G986"/>
    <mergeCell ref="A990:J990"/>
    <mergeCell ref="A991:C991"/>
    <mergeCell ref="D991:E991"/>
    <mergeCell ref="F991:H991"/>
    <mergeCell ref="I991:J991"/>
    <mergeCell ref="A992:C992"/>
    <mergeCell ref="D992:E992"/>
    <mergeCell ref="F992:H992"/>
    <mergeCell ref="I992:J992"/>
    <mergeCell ref="A993:B993"/>
    <mergeCell ref="C993:C994"/>
    <mergeCell ref="D993:E994"/>
    <mergeCell ref="G993:H993"/>
    <mergeCell ref="I993:I994"/>
    <mergeCell ref="J993:J994"/>
    <mergeCell ref="A994:B994"/>
    <mergeCell ref="G994:H994"/>
    <mergeCell ref="F995:G995"/>
    <mergeCell ref="A996:A1004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A1005:A1010"/>
    <mergeCell ref="F1005:G1005"/>
    <mergeCell ref="F1006:G1006"/>
    <mergeCell ref="F1007:G1007"/>
    <mergeCell ref="F1008:G1008"/>
    <mergeCell ref="F1010:G1010"/>
    <mergeCell ref="F1009:G1009"/>
    <mergeCell ref="A1013:J1013"/>
    <mergeCell ref="A1014:C1014"/>
    <mergeCell ref="D1014:E1014"/>
    <mergeCell ref="F1014:H1014"/>
    <mergeCell ref="I1014:J1014"/>
    <mergeCell ref="A1015:C1015"/>
    <mergeCell ref="D1015:E1015"/>
    <mergeCell ref="F1015:H1015"/>
    <mergeCell ref="I1015:J1015"/>
    <mergeCell ref="A1016:B1016"/>
    <mergeCell ref="C1016:C1017"/>
    <mergeCell ref="D1016:E1017"/>
    <mergeCell ref="G1016:H1016"/>
    <mergeCell ref="I1016:I1017"/>
    <mergeCell ref="J1016:J1017"/>
    <mergeCell ref="A1017:B1017"/>
    <mergeCell ref="G1017:H1017"/>
    <mergeCell ref="F1018:G1018"/>
    <mergeCell ref="A1019:A1027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A1028:A1033"/>
    <mergeCell ref="F1028:G1028"/>
    <mergeCell ref="F1029:G1029"/>
    <mergeCell ref="F1030:G1030"/>
    <mergeCell ref="F1031:G1031"/>
    <mergeCell ref="F1033:G1033"/>
    <mergeCell ref="F1032:G1032"/>
    <mergeCell ref="F112:G112"/>
    <mergeCell ref="F135:G135"/>
    <mergeCell ref="F158:G158"/>
    <mergeCell ref="F181:G181"/>
    <mergeCell ref="F204:G204"/>
    <mergeCell ref="F227:G227"/>
    <mergeCell ref="F250:G250"/>
    <mergeCell ref="F273:G273"/>
    <mergeCell ref="F296:G296"/>
    <mergeCell ref="F319:G319"/>
    <mergeCell ref="F342:G342"/>
    <mergeCell ref="F365:G365"/>
    <mergeCell ref="F388:G388"/>
    <mergeCell ref="F411:G411"/>
    <mergeCell ref="F434:G434"/>
    <mergeCell ref="F457:G457"/>
    <mergeCell ref="F480:G480"/>
    <mergeCell ref="F301:H301"/>
    <mergeCell ref="F397:G397"/>
    <mergeCell ref="F429:G429"/>
    <mergeCell ref="F428:G428"/>
    <mergeCell ref="F477:G477"/>
    <mergeCell ref="F478:G478"/>
    <mergeCell ref="F479:G479"/>
    <mergeCell ref="A1128:J1128"/>
    <mergeCell ref="A1129:C1129"/>
    <mergeCell ref="D1129:E1129"/>
    <mergeCell ref="F1129:H1129"/>
    <mergeCell ref="I1129:J1129"/>
    <mergeCell ref="A1130:C1130"/>
    <mergeCell ref="D1130:E1130"/>
    <mergeCell ref="F1130:H1130"/>
    <mergeCell ref="I1130:J1130"/>
    <mergeCell ref="A1131:B1131"/>
    <mergeCell ref="C1131:C1132"/>
    <mergeCell ref="D1131:E1132"/>
    <mergeCell ref="G1131:H1131"/>
    <mergeCell ref="I1131:I1132"/>
    <mergeCell ref="J1131:J1132"/>
    <mergeCell ref="A1132:B1132"/>
    <mergeCell ref="G1132:H1132"/>
    <mergeCell ref="F1133:G1133"/>
    <mergeCell ref="A1134:A1142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A1143:A1148"/>
    <mergeCell ref="F1143:G1143"/>
    <mergeCell ref="F1144:G1144"/>
    <mergeCell ref="F1145:G1145"/>
    <mergeCell ref="F1146:G1146"/>
    <mergeCell ref="F1148:G1148"/>
    <mergeCell ref="F1147:G1147"/>
    <mergeCell ref="A1151:J1151"/>
    <mergeCell ref="A1152:C1152"/>
    <mergeCell ref="D1152:E1152"/>
    <mergeCell ref="F1152:H1152"/>
    <mergeCell ref="I1152:J1152"/>
    <mergeCell ref="A1153:C1153"/>
    <mergeCell ref="D1153:E1153"/>
    <mergeCell ref="F1153:H1153"/>
    <mergeCell ref="I1153:J1153"/>
    <mergeCell ref="A1154:B1154"/>
    <mergeCell ref="C1154:C1155"/>
    <mergeCell ref="D1154:E1155"/>
    <mergeCell ref="G1154:H1154"/>
    <mergeCell ref="I1154:I1155"/>
    <mergeCell ref="J1154:J1155"/>
    <mergeCell ref="A1155:B1155"/>
    <mergeCell ref="G1155:H1155"/>
    <mergeCell ref="F1156:G1156"/>
    <mergeCell ref="A1157:A1165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A1166:A1171"/>
    <mergeCell ref="F1166:G1166"/>
    <mergeCell ref="F1167:G1167"/>
    <mergeCell ref="F1168:G1168"/>
    <mergeCell ref="F1169:G1169"/>
    <mergeCell ref="F1171:G1171"/>
    <mergeCell ref="A1174:J1174"/>
    <mergeCell ref="A1175:C1175"/>
    <mergeCell ref="D1175:E1175"/>
    <mergeCell ref="F1175:H1175"/>
    <mergeCell ref="I1175:J1175"/>
    <mergeCell ref="A1176:C1176"/>
    <mergeCell ref="D1176:E1176"/>
    <mergeCell ref="F1176:H1176"/>
    <mergeCell ref="I1176:J1176"/>
    <mergeCell ref="A1177:B1177"/>
    <mergeCell ref="C1177:C1178"/>
    <mergeCell ref="D1177:E1178"/>
    <mergeCell ref="G1177:H1177"/>
    <mergeCell ref="I1177:I1178"/>
    <mergeCell ref="J1177:J1178"/>
    <mergeCell ref="A1178:B1178"/>
    <mergeCell ref="G1178:H1178"/>
    <mergeCell ref="F1179:G1179"/>
    <mergeCell ref="A1180:A1188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A1189:A1194"/>
    <mergeCell ref="F1189:G1189"/>
    <mergeCell ref="F1190:G1190"/>
    <mergeCell ref="F1191:G1191"/>
    <mergeCell ref="F1192:G1192"/>
    <mergeCell ref="F1194:G1194"/>
    <mergeCell ref="A1289:J1289"/>
    <mergeCell ref="A1290:C1290"/>
    <mergeCell ref="D1290:E1290"/>
    <mergeCell ref="F1290:H1290"/>
    <mergeCell ref="I1290:J1290"/>
    <mergeCell ref="A1291:C1291"/>
    <mergeCell ref="D1291:E1291"/>
    <mergeCell ref="F1291:H1291"/>
    <mergeCell ref="I1291:J1291"/>
    <mergeCell ref="A1292:B1292"/>
    <mergeCell ref="C1292:C1293"/>
    <mergeCell ref="D1292:E1293"/>
    <mergeCell ref="G1292:H1292"/>
    <mergeCell ref="I1292:I1293"/>
    <mergeCell ref="J1292:J1293"/>
    <mergeCell ref="A1293:B1293"/>
    <mergeCell ref="G1293:H1293"/>
    <mergeCell ref="F1294:G1294"/>
    <mergeCell ref="A1295:A1303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A1304:A1309"/>
    <mergeCell ref="F1304:G1304"/>
    <mergeCell ref="F1305:G1305"/>
    <mergeCell ref="F1306:G1306"/>
    <mergeCell ref="F1307:G1307"/>
    <mergeCell ref="F1309:G1309"/>
    <mergeCell ref="A1312:J1312"/>
    <mergeCell ref="A1313:C1313"/>
    <mergeCell ref="D1313:E1313"/>
    <mergeCell ref="F1313:H1313"/>
    <mergeCell ref="I1313:J1313"/>
    <mergeCell ref="A1314:C1314"/>
    <mergeCell ref="D1314:E1314"/>
    <mergeCell ref="F1314:H1314"/>
    <mergeCell ref="I1314:J1314"/>
    <mergeCell ref="A1315:B1315"/>
    <mergeCell ref="C1315:C1316"/>
    <mergeCell ref="D1315:E1316"/>
    <mergeCell ref="G1315:H1315"/>
    <mergeCell ref="I1315:I1316"/>
    <mergeCell ref="J1315:J1316"/>
    <mergeCell ref="A1316:B1316"/>
    <mergeCell ref="G1316:H1316"/>
    <mergeCell ref="F1317:G1317"/>
    <mergeCell ref="A1318:A1326"/>
    <mergeCell ref="F1318:G1318"/>
    <mergeCell ref="F1319:G1319"/>
    <mergeCell ref="F1320:G1320"/>
    <mergeCell ref="F1321:G1321"/>
    <mergeCell ref="F1322:G1322"/>
    <mergeCell ref="F1323:G1323"/>
    <mergeCell ref="F1324:G1324"/>
    <mergeCell ref="F1325:G1325"/>
    <mergeCell ref="F1326:G1326"/>
    <mergeCell ref="A1327:A1332"/>
    <mergeCell ref="F1327:G1327"/>
    <mergeCell ref="F1328:G1328"/>
    <mergeCell ref="F1329:G1329"/>
    <mergeCell ref="F1330:G1330"/>
    <mergeCell ref="F1332:G1332"/>
    <mergeCell ref="A1335:J1335"/>
    <mergeCell ref="A1336:C1336"/>
    <mergeCell ref="D1336:E1336"/>
    <mergeCell ref="F1336:H1336"/>
    <mergeCell ref="I1336:J1336"/>
    <mergeCell ref="A1337:C1337"/>
    <mergeCell ref="D1337:E1337"/>
    <mergeCell ref="F1337:H1337"/>
    <mergeCell ref="I1337:J1337"/>
    <mergeCell ref="A1338:B1338"/>
    <mergeCell ref="C1338:C1339"/>
    <mergeCell ref="D1338:E1339"/>
    <mergeCell ref="G1338:H1338"/>
    <mergeCell ref="I1338:I1339"/>
    <mergeCell ref="J1338:J1339"/>
    <mergeCell ref="A1339:B1339"/>
    <mergeCell ref="G1339:H1339"/>
    <mergeCell ref="F1340:G1340"/>
    <mergeCell ref="A1341:A1349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A1350:A1355"/>
    <mergeCell ref="F1350:G1350"/>
    <mergeCell ref="F1351:G1351"/>
    <mergeCell ref="F1352:G1352"/>
    <mergeCell ref="F1353:G1353"/>
    <mergeCell ref="F1355:G1355"/>
    <mergeCell ref="A1358:J1358"/>
    <mergeCell ref="A1359:C1359"/>
    <mergeCell ref="D1359:E1359"/>
    <mergeCell ref="F1359:H1359"/>
    <mergeCell ref="I1359:J1359"/>
    <mergeCell ref="A1360:C1360"/>
    <mergeCell ref="D1360:E1360"/>
    <mergeCell ref="F1360:H1360"/>
    <mergeCell ref="I1360:J1360"/>
    <mergeCell ref="A1361:B1361"/>
    <mergeCell ref="C1361:C1362"/>
    <mergeCell ref="D1361:E1362"/>
    <mergeCell ref="G1361:H1361"/>
    <mergeCell ref="I1361:I1362"/>
    <mergeCell ref="J1361:J1362"/>
    <mergeCell ref="A1362:B1362"/>
    <mergeCell ref="G1362:H1362"/>
    <mergeCell ref="F1363:G1363"/>
    <mergeCell ref="A1364:A1372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A1373:A1378"/>
    <mergeCell ref="F1373:G1373"/>
    <mergeCell ref="F1374:G1374"/>
    <mergeCell ref="F1375:G1375"/>
    <mergeCell ref="F1376:G1376"/>
    <mergeCell ref="F1378:G1378"/>
    <mergeCell ref="A1381:J1381"/>
    <mergeCell ref="A1382:C1382"/>
    <mergeCell ref="D1382:E1382"/>
    <mergeCell ref="F1382:H1382"/>
    <mergeCell ref="I1382:J1382"/>
    <mergeCell ref="A1383:C1383"/>
    <mergeCell ref="D1383:E1383"/>
    <mergeCell ref="F1383:H1383"/>
    <mergeCell ref="I1383:J1383"/>
    <mergeCell ref="A1384:B1384"/>
    <mergeCell ref="C1384:C1385"/>
    <mergeCell ref="D1384:E1385"/>
    <mergeCell ref="G1384:H1384"/>
    <mergeCell ref="I1384:I1385"/>
    <mergeCell ref="J1384:J1385"/>
    <mergeCell ref="A1385:B1385"/>
    <mergeCell ref="G1385:H1385"/>
    <mergeCell ref="F1386:G1386"/>
    <mergeCell ref="A1387:A1395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A1396:A1401"/>
    <mergeCell ref="F1396:G1396"/>
    <mergeCell ref="F1397:G1397"/>
    <mergeCell ref="F1398:G1398"/>
    <mergeCell ref="F1399:G1399"/>
    <mergeCell ref="F1401:G1401"/>
    <mergeCell ref="A1404:J1404"/>
    <mergeCell ref="A1405:C1405"/>
    <mergeCell ref="D1405:E1405"/>
    <mergeCell ref="F1405:H1405"/>
    <mergeCell ref="I1405:J1405"/>
    <mergeCell ref="A1406:C1406"/>
    <mergeCell ref="D1406:E1406"/>
    <mergeCell ref="F1406:H1406"/>
    <mergeCell ref="I1406:J1406"/>
    <mergeCell ref="A1407:B1407"/>
    <mergeCell ref="C1407:C1408"/>
    <mergeCell ref="D1407:E1408"/>
    <mergeCell ref="G1407:H1407"/>
    <mergeCell ref="I1407:I1408"/>
    <mergeCell ref="J1407:J1408"/>
    <mergeCell ref="A1408:B1408"/>
    <mergeCell ref="G1408:H1408"/>
    <mergeCell ref="F1409:G1409"/>
    <mergeCell ref="A1410:A1418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A1419:A1424"/>
    <mergeCell ref="F1419:G1419"/>
    <mergeCell ref="F1420:G1420"/>
    <mergeCell ref="F1421:G1421"/>
    <mergeCell ref="F1422:G1422"/>
    <mergeCell ref="F1424:G1424"/>
  </mergeCells>
  <phoneticPr fontId="1" type="noConversion"/>
  <pageMargins left="0.68" right="0.35433070866141736" top="0.78740157480314965" bottom="0.39370078740157483" header="0.51181102362204722" footer="0.51181102362204722"/>
  <pageSetup paperSize="9" scale="93" fitToHeight="0" orientation="portrait" horizontalDpi="4294967292" r:id="rId1"/>
  <headerFooter alignWithMargins="0"/>
  <rowBreaks count="80" manualBreakCount="80">
    <brk id="23" max="9" man="1"/>
    <brk id="46" max="9" man="1"/>
    <brk id="69" max="9" man="1"/>
    <brk id="92" max="9" man="1"/>
    <brk id="115" max="9" man="1"/>
    <brk id="138" max="9" man="1"/>
    <brk id="161" max="9" man="1"/>
    <brk id="184" max="9" man="1"/>
    <brk id="207" max="9" man="1"/>
    <brk id="230" max="9" man="1"/>
    <brk id="253" max="9" man="1"/>
    <brk id="276" max="9" man="1"/>
    <brk id="299" max="9" man="1"/>
    <brk id="322" max="9" man="1"/>
    <brk id="345" max="9" man="1"/>
    <brk id="368" max="9" man="1"/>
    <brk id="391" max="9" man="1"/>
    <brk id="414" max="9" man="1"/>
    <brk id="437" max="9" man="1"/>
    <brk id="460" max="9" man="1"/>
    <brk id="483" max="9" man="1"/>
    <brk id="506" max="9" man="1"/>
    <brk id="529" max="9" man="1"/>
    <brk id="552" max="9" man="1"/>
    <brk id="575" max="9" man="1"/>
    <brk id="598" max="9" man="1"/>
    <brk id="621" max="9" man="1"/>
    <brk id="644" max="9" man="1"/>
    <brk id="667" max="9" man="1"/>
    <brk id="690" max="9" man="1"/>
    <brk id="713" max="9" man="1"/>
    <brk id="736" max="9" man="1"/>
    <brk id="759" max="9" man="1"/>
    <brk id="782" max="9" man="1"/>
    <brk id="805" max="9" man="1"/>
    <brk id="828" max="9" man="1"/>
    <brk id="851" max="9" man="1"/>
    <brk id="874" max="9" man="1"/>
    <brk id="897" max="9" man="1"/>
    <brk id="920" max="9" man="1"/>
    <brk id="943" max="9" man="1"/>
    <brk id="966" max="9" man="1"/>
    <brk id="989" max="9" man="1"/>
    <brk id="1012" max="9" man="1"/>
    <brk id="1035" max="9" man="1"/>
    <brk id="1058" max="9" man="1"/>
    <brk id="1081" max="9" man="1"/>
    <brk id="1104" max="9" man="1"/>
    <brk id="1127" max="9" man="1"/>
    <brk id="1150" max="9" man="1"/>
    <brk id="1173" max="9" man="1"/>
    <brk id="1196" max="9" man="1"/>
    <brk id="1219" max="9" man="1"/>
    <brk id="1242" max="9" man="1"/>
    <brk id="1265" max="9" man="1"/>
    <brk id="1288" max="9" man="1"/>
    <brk id="1311" max="9" man="1"/>
    <brk id="1334" max="9" man="1"/>
    <brk id="1357" max="9" man="1"/>
    <brk id="1380" max="9" man="1"/>
    <brk id="1403" max="9" man="1"/>
    <brk id="1426" max="9" man="1"/>
    <brk id="1449" max="9" man="1"/>
    <brk id="1472" max="9" man="1"/>
    <brk id="1495" max="9" man="1"/>
    <brk id="1518" max="9" man="1"/>
    <brk id="1541" max="9" man="1"/>
    <brk id="1564" max="9" man="1"/>
    <brk id="1587" max="9" man="1"/>
    <brk id="1610" max="9" man="1"/>
    <brk id="1633" max="9" man="1"/>
    <brk id="1656" max="9" man="1"/>
    <brk id="1679" max="9" man="1"/>
    <brk id="1702" max="9" man="1"/>
    <brk id="1725" max="9" man="1"/>
    <brk id="1748" max="9" man="1"/>
    <brk id="1771" max="9" man="1"/>
    <brk id="1794" max="9" man="1"/>
    <brk id="1817" max="9" man="1"/>
    <brk id="1840" max="9" man="1"/>
  </rowBreaks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DF7B-621C-469C-8860-A9635B8057D8}">
  <sheetPr codeName="Sheet7">
    <tabColor rgb="FFFFFF00"/>
  </sheetPr>
  <dimension ref="A1:AI35"/>
  <sheetViews>
    <sheetView zoomScale="115" zoomScaleNormal="115" zoomScaleSheetLayoutView="55" workbookViewId="0">
      <pane xSplit="8" ySplit="5" topLeftCell="I6" activePane="bottomRight" state="frozen"/>
      <selection pane="topRight" activeCell="F19" sqref="F19:G19"/>
      <selection pane="bottomLeft" activeCell="F19" sqref="F19:G19"/>
      <selection pane="bottomRight" activeCell="H6" sqref="H6:T9"/>
    </sheetView>
  </sheetViews>
  <sheetFormatPr defaultColWidth="5.6875" defaultRowHeight="10.15" x14ac:dyDescent="0.6"/>
  <cols>
    <col min="1" max="1" width="4.6875" style="27" customWidth="1"/>
    <col min="2" max="2" width="8.1875" style="27" bestFit="1" customWidth="1"/>
    <col min="3" max="3" width="8.3125" style="27" customWidth="1"/>
    <col min="4" max="4" width="14.375" style="27" customWidth="1"/>
    <col min="5" max="6" width="10.3125" style="27" customWidth="1"/>
    <col min="7" max="7" width="12.875" style="27" customWidth="1"/>
    <col min="8" max="8" width="10" style="74" customWidth="1"/>
    <col min="9" max="9" width="12.3125" style="28" customWidth="1"/>
    <col min="10" max="10" width="13.125" style="28" hidden="1" customWidth="1"/>
    <col min="11" max="12" width="11.3125" style="28" hidden="1" customWidth="1"/>
    <col min="13" max="13" width="12.125" style="28" hidden="1" customWidth="1"/>
    <col min="14" max="14" width="11.3125" style="127" hidden="1" customWidth="1"/>
    <col min="15" max="16" width="10" style="17" hidden="1" customWidth="1"/>
    <col min="17" max="17" width="10" style="74" hidden="1" customWidth="1"/>
    <col min="18" max="18" width="10" style="106" hidden="1" customWidth="1"/>
    <col min="19" max="19" width="10" style="74" hidden="1" customWidth="1"/>
    <col min="20" max="20" width="13.375" style="17" customWidth="1"/>
    <col min="21" max="21" width="14.6875" style="17" hidden="1" customWidth="1"/>
    <col min="22" max="22" width="5.875" style="17" hidden="1" customWidth="1"/>
    <col min="23" max="23" width="5.6875" style="27" customWidth="1"/>
    <col min="24" max="24" width="8.6875" style="17" customWidth="1"/>
    <col min="25" max="25" width="10.3125" style="17" customWidth="1"/>
    <col min="26" max="26" width="9" style="17" customWidth="1"/>
    <col min="27" max="27" width="12.125" style="17" customWidth="1"/>
    <col min="28" max="28" width="11.3125" style="17" customWidth="1"/>
    <col min="29" max="29" width="10.6875" style="17" customWidth="1"/>
    <col min="30" max="30" width="10.3125" style="17" customWidth="1"/>
    <col min="31" max="32" width="11.6875" style="17" customWidth="1"/>
    <col min="33" max="33" width="13.6875" style="17" customWidth="1"/>
    <col min="34" max="35" width="27" style="75" customWidth="1"/>
    <col min="36" max="230" width="5.6875" style="17"/>
    <col min="231" max="231" width="4.6875" style="17" customWidth="1"/>
    <col min="232" max="232" width="8.3125" style="17" customWidth="1"/>
    <col min="233" max="234" width="0" style="17" hidden="1" customWidth="1"/>
    <col min="235" max="235" width="4.875" style="17" customWidth="1"/>
    <col min="236" max="236" width="7.875" style="17" customWidth="1"/>
    <col min="237" max="237" width="6.3125" style="17" customWidth="1"/>
    <col min="238" max="238" width="12.3125" style="17" customWidth="1"/>
    <col min="239" max="241" width="11.3125" style="17" customWidth="1"/>
    <col min="242" max="242" width="10.3125" style="17" customWidth="1"/>
    <col min="243" max="243" width="11.3125" style="17" customWidth="1"/>
    <col min="244" max="244" width="0" style="17" hidden="1" customWidth="1"/>
    <col min="245" max="245" width="13.6875" style="17" bestFit="1" customWidth="1"/>
    <col min="246" max="246" width="13" style="17" customWidth="1"/>
    <col min="247" max="247" width="14.6875" style="17" customWidth="1"/>
    <col min="248" max="248" width="5.875" style="17" customWidth="1"/>
    <col min="249" max="249" width="4.6875" style="17" customWidth="1"/>
    <col min="250" max="250" width="8.6875" style="17" customWidth="1"/>
    <col min="251" max="251" width="10.3125" style="17" customWidth="1"/>
    <col min="252" max="252" width="9" style="17" customWidth="1"/>
    <col min="253" max="253" width="12.125" style="17" customWidth="1"/>
    <col min="254" max="255" width="10.6875" style="17" customWidth="1"/>
    <col min="256" max="256" width="10.3125" style="17" customWidth="1"/>
    <col min="257" max="257" width="11.6875" style="17" customWidth="1"/>
    <col min="258" max="258" width="13.6875" style="17" customWidth="1"/>
    <col min="259" max="259" width="26.1875" style="17" customWidth="1"/>
    <col min="260" max="260" width="14.6875" style="17" customWidth="1"/>
    <col min="261" max="486" width="5.6875" style="17"/>
    <col min="487" max="487" width="4.6875" style="17" customWidth="1"/>
    <col min="488" max="488" width="8.3125" style="17" customWidth="1"/>
    <col min="489" max="490" width="0" style="17" hidden="1" customWidth="1"/>
    <col min="491" max="491" width="4.875" style="17" customWidth="1"/>
    <col min="492" max="492" width="7.875" style="17" customWidth="1"/>
    <col min="493" max="493" width="6.3125" style="17" customWidth="1"/>
    <col min="494" max="494" width="12.3125" style="17" customWidth="1"/>
    <col min="495" max="497" width="11.3125" style="17" customWidth="1"/>
    <col min="498" max="498" width="10.3125" style="17" customWidth="1"/>
    <col min="499" max="499" width="11.3125" style="17" customWidth="1"/>
    <col min="500" max="500" width="0" style="17" hidden="1" customWidth="1"/>
    <col min="501" max="501" width="13.6875" style="17" bestFit="1" customWidth="1"/>
    <col min="502" max="502" width="13" style="17" customWidth="1"/>
    <col min="503" max="503" width="14.6875" style="17" customWidth="1"/>
    <col min="504" max="504" width="5.875" style="17" customWidth="1"/>
    <col min="505" max="505" width="4.6875" style="17" customWidth="1"/>
    <col min="506" max="506" width="8.6875" style="17" customWidth="1"/>
    <col min="507" max="507" width="10.3125" style="17" customWidth="1"/>
    <col min="508" max="508" width="9" style="17" customWidth="1"/>
    <col min="509" max="509" width="12.125" style="17" customWidth="1"/>
    <col min="510" max="511" width="10.6875" style="17" customWidth="1"/>
    <col min="512" max="512" width="10.3125" style="17" customWidth="1"/>
    <col min="513" max="513" width="11.6875" style="17" customWidth="1"/>
    <col min="514" max="514" width="13.6875" style="17" customWidth="1"/>
    <col min="515" max="515" width="26.1875" style="17" customWidth="1"/>
    <col min="516" max="516" width="14.6875" style="17" customWidth="1"/>
    <col min="517" max="742" width="5.6875" style="17"/>
    <col min="743" max="743" width="4.6875" style="17" customWidth="1"/>
    <col min="744" max="744" width="8.3125" style="17" customWidth="1"/>
    <col min="745" max="746" width="0" style="17" hidden="1" customWidth="1"/>
    <col min="747" max="747" width="4.875" style="17" customWidth="1"/>
    <col min="748" max="748" width="7.875" style="17" customWidth="1"/>
    <col min="749" max="749" width="6.3125" style="17" customWidth="1"/>
    <col min="750" max="750" width="12.3125" style="17" customWidth="1"/>
    <col min="751" max="753" width="11.3125" style="17" customWidth="1"/>
    <col min="754" max="754" width="10.3125" style="17" customWidth="1"/>
    <col min="755" max="755" width="11.3125" style="17" customWidth="1"/>
    <col min="756" max="756" width="0" style="17" hidden="1" customWidth="1"/>
    <col min="757" max="757" width="13.6875" style="17" bestFit="1" customWidth="1"/>
    <col min="758" max="758" width="13" style="17" customWidth="1"/>
    <col min="759" max="759" width="14.6875" style="17" customWidth="1"/>
    <col min="760" max="760" width="5.875" style="17" customWidth="1"/>
    <col min="761" max="761" width="4.6875" style="17" customWidth="1"/>
    <col min="762" max="762" width="8.6875" style="17" customWidth="1"/>
    <col min="763" max="763" width="10.3125" style="17" customWidth="1"/>
    <col min="764" max="764" width="9" style="17" customWidth="1"/>
    <col min="765" max="765" width="12.125" style="17" customWidth="1"/>
    <col min="766" max="767" width="10.6875" style="17" customWidth="1"/>
    <col min="768" max="768" width="10.3125" style="17" customWidth="1"/>
    <col min="769" max="769" width="11.6875" style="17" customWidth="1"/>
    <col min="770" max="770" width="13.6875" style="17" customWidth="1"/>
    <col min="771" max="771" width="26.1875" style="17" customWidth="1"/>
    <col min="772" max="772" width="14.6875" style="17" customWidth="1"/>
    <col min="773" max="998" width="5.6875" style="17"/>
    <col min="999" max="999" width="4.6875" style="17" customWidth="1"/>
    <col min="1000" max="1000" width="8.3125" style="17" customWidth="1"/>
    <col min="1001" max="1002" width="0" style="17" hidden="1" customWidth="1"/>
    <col min="1003" max="1003" width="4.875" style="17" customWidth="1"/>
    <col min="1004" max="1004" width="7.875" style="17" customWidth="1"/>
    <col min="1005" max="1005" width="6.3125" style="17" customWidth="1"/>
    <col min="1006" max="1006" width="12.3125" style="17" customWidth="1"/>
    <col min="1007" max="1009" width="11.3125" style="17" customWidth="1"/>
    <col min="1010" max="1010" width="10.3125" style="17" customWidth="1"/>
    <col min="1011" max="1011" width="11.3125" style="17" customWidth="1"/>
    <col min="1012" max="1012" width="0" style="17" hidden="1" customWidth="1"/>
    <col min="1013" max="1013" width="13.6875" style="17" bestFit="1" customWidth="1"/>
    <col min="1014" max="1014" width="13" style="17" customWidth="1"/>
    <col min="1015" max="1015" width="14.6875" style="17" customWidth="1"/>
    <col min="1016" max="1016" width="5.875" style="17" customWidth="1"/>
    <col min="1017" max="1017" width="4.6875" style="17" customWidth="1"/>
    <col min="1018" max="1018" width="8.6875" style="17" customWidth="1"/>
    <col min="1019" max="1019" width="10.3125" style="17" customWidth="1"/>
    <col min="1020" max="1020" width="9" style="17" customWidth="1"/>
    <col min="1021" max="1021" width="12.125" style="17" customWidth="1"/>
    <col min="1022" max="1023" width="10.6875" style="17" customWidth="1"/>
    <col min="1024" max="1024" width="10.3125" style="17" customWidth="1"/>
    <col min="1025" max="1025" width="11.6875" style="17" customWidth="1"/>
    <col min="1026" max="1026" width="13.6875" style="17" customWidth="1"/>
    <col min="1027" max="1027" width="26.1875" style="17" customWidth="1"/>
    <col min="1028" max="1028" width="14.6875" style="17" customWidth="1"/>
    <col min="1029" max="1254" width="5.6875" style="17"/>
    <col min="1255" max="1255" width="4.6875" style="17" customWidth="1"/>
    <col min="1256" max="1256" width="8.3125" style="17" customWidth="1"/>
    <col min="1257" max="1258" width="0" style="17" hidden="1" customWidth="1"/>
    <col min="1259" max="1259" width="4.875" style="17" customWidth="1"/>
    <col min="1260" max="1260" width="7.875" style="17" customWidth="1"/>
    <col min="1261" max="1261" width="6.3125" style="17" customWidth="1"/>
    <col min="1262" max="1262" width="12.3125" style="17" customWidth="1"/>
    <col min="1263" max="1265" width="11.3125" style="17" customWidth="1"/>
    <col min="1266" max="1266" width="10.3125" style="17" customWidth="1"/>
    <col min="1267" max="1267" width="11.3125" style="17" customWidth="1"/>
    <col min="1268" max="1268" width="0" style="17" hidden="1" customWidth="1"/>
    <col min="1269" max="1269" width="13.6875" style="17" bestFit="1" customWidth="1"/>
    <col min="1270" max="1270" width="13" style="17" customWidth="1"/>
    <col min="1271" max="1271" width="14.6875" style="17" customWidth="1"/>
    <col min="1272" max="1272" width="5.875" style="17" customWidth="1"/>
    <col min="1273" max="1273" width="4.6875" style="17" customWidth="1"/>
    <col min="1274" max="1274" width="8.6875" style="17" customWidth="1"/>
    <col min="1275" max="1275" width="10.3125" style="17" customWidth="1"/>
    <col min="1276" max="1276" width="9" style="17" customWidth="1"/>
    <col min="1277" max="1277" width="12.125" style="17" customWidth="1"/>
    <col min="1278" max="1279" width="10.6875" style="17" customWidth="1"/>
    <col min="1280" max="1280" width="10.3125" style="17" customWidth="1"/>
    <col min="1281" max="1281" width="11.6875" style="17" customWidth="1"/>
    <col min="1282" max="1282" width="13.6875" style="17" customWidth="1"/>
    <col min="1283" max="1283" width="26.1875" style="17" customWidth="1"/>
    <col min="1284" max="1284" width="14.6875" style="17" customWidth="1"/>
    <col min="1285" max="1510" width="5.6875" style="17"/>
    <col min="1511" max="1511" width="4.6875" style="17" customWidth="1"/>
    <col min="1512" max="1512" width="8.3125" style="17" customWidth="1"/>
    <col min="1513" max="1514" width="0" style="17" hidden="1" customWidth="1"/>
    <col min="1515" max="1515" width="4.875" style="17" customWidth="1"/>
    <col min="1516" max="1516" width="7.875" style="17" customWidth="1"/>
    <col min="1517" max="1517" width="6.3125" style="17" customWidth="1"/>
    <col min="1518" max="1518" width="12.3125" style="17" customWidth="1"/>
    <col min="1519" max="1521" width="11.3125" style="17" customWidth="1"/>
    <col min="1522" max="1522" width="10.3125" style="17" customWidth="1"/>
    <col min="1523" max="1523" width="11.3125" style="17" customWidth="1"/>
    <col min="1524" max="1524" width="0" style="17" hidden="1" customWidth="1"/>
    <col min="1525" max="1525" width="13.6875" style="17" bestFit="1" customWidth="1"/>
    <col min="1526" max="1526" width="13" style="17" customWidth="1"/>
    <col min="1527" max="1527" width="14.6875" style="17" customWidth="1"/>
    <col min="1528" max="1528" width="5.875" style="17" customWidth="1"/>
    <col min="1529" max="1529" width="4.6875" style="17" customWidth="1"/>
    <col min="1530" max="1530" width="8.6875" style="17" customWidth="1"/>
    <col min="1531" max="1531" width="10.3125" style="17" customWidth="1"/>
    <col min="1532" max="1532" width="9" style="17" customWidth="1"/>
    <col min="1533" max="1533" width="12.125" style="17" customWidth="1"/>
    <col min="1534" max="1535" width="10.6875" style="17" customWidth="1"/>
    <col min="1536" max="1536" width="10.3125" style="17" customWidth="1"/>
    <col min="1537" max="1537" width="11.6875" style="17" customWidth="1"/>
    <col min="1538" max="1538" width="13.6875" style="17" customWidth="1"/>
    <col min="1539" max="1539" width="26.1875" style="17" customWidth="1"/>
    <col min="1540" max="1540" width="14.6875" style="17" customWidth="1"/>
    <col min="1541" max="1766" width="5.6875" style="17"/>
    <col min="1767" max="1767" width="4.6875" style="17" customWidth="1"/>
    <col min="1768" max="1768" width="8.3125" style="17" customWidth="1"/>
    <col min="1769" max="1770" width="0" style="17" hidden="1" customWidth="1"/>
    <col min="1771" max="1771" width="4.875" style="17" customWidth="1"/>
    <col min="1772" max="1772" width="7.875" style="17" customWidth="1"/>
    <col min="1773" max="1773" width="6.3125" style="17" customWidth="1"/>
    <col min="1774" max="1774" width="12.3125" style="17" customWidth="1"/>
    <col min="1775" max="1777" width="11.3125" style="17" customWidth="1"/>
    <col min="1778" max="1778" width="10.3125" style="17" customWidth="1"/>
    <col min="1779" max="1779" width="11.3125" style="17" customWidth="1"/>
    <col min="1780" max="1780" width="0" style="17" hidden="1" customWidth="1"/>
    <col min="1781" max="1781" width="13.6875" style="17" bestFit="1" customWidth="1"/>
    <col min="1782" max="1782" width="13" style="17" customWidth="1"/>
    <col min="1783" max="1783" width="14.6875" style="17" customWidth="1"/>
    <col min="1784" max="1784" width="5.875" style="17" customWidth="1"/>
    <col min="1785" max="1785" width="4.6875" style="17" customWidth="1"/>
    <col min="1786" max="1786" width="8.6875" style="17" customWidth="1"/>
    <col min="1787" max="1787" width="10.3125" style="17" customWidth="1"/>
    <col min="1788" max="1788" width="9" style="17" customWidth="1"/>
    <col min="1789" max="1789" width="12.125" style="17" customWidth="1"/>
    <col min="1790" max="1791" width="10.6875" style="17" customWidth="1"/>
    <col min="1792" max="1792" width="10.3125" style="17" customWidth="1"/>
    <col min="1793" max="1793" width="11.6875" style="17" customWidth="1"/>
    <col min="1794" max="1794" width="13.6875" style="17" customWidth="1"/>
    <col min="1795" max="1795" width="26.1875" style="17" customWidth="1"/>
    <col min="1796" max="1796" width="14.6875" style="17" customWidth="1"/>
    <col min="1797" max="2022" width="5.6875" style="17"/>
    <col min="2023" max="2023" width="4.6875" style="17" customWidth="1"/>
    <col min="2024" max="2024" width="8.3125" style="17" customWidth="1"/>
    <col min="2025" max="2026" width="0" style="17" hidden="1" customWidth="1"/>
    <col min="2027" max="2027" width="4.875" style="17" customWidth="1"/>
    <col min="2028" max="2028" width="7.875" style="17" customWidth="1"/>
    <col min="2029" max="2029" width="6.3125" style="17" customWidth="1"/>
    <col min="2030" max="2030" width="12.3125" style="17" customWidth="1"/>
    <col min="2031" max="2033" width="11.3125" style="17" customWidth="1"/>
    <col min="2034" max="2034" width="10.3125" style="17" customWidth="1"/>
    <col min="2035" max="2035" width="11.3125" style="17" customWidth="1"/>
    <col min="2036" max="2036" width="0" style="17" hidden="1" customWidth="1"/>
    <col min="2037" max="2037" width="13.6875" style="17" bestFit="1" customWidth="1"/>
    <col min="2038" max="2038" width="13" style="17" customWidth="1"/>
    <col min="2039" max="2039" width="14.6875" style="17" customWidth="1"/>
    <col min="2040" max="2040" width="5.875" style="17" customWidth="1"/>
    <col min="2041" max="2041" width="4.6875" style="17" customWidth="1"/>
    <col min="2042" max="2042" width="8.6875" style="17" customWidth="1"/>
    <col min="2043" max="2043" width="10.3125" style="17" customWidth="1"/>
    <col min="2044" max="2044" width="9" style="17" customWidth="1"/>
    <col min="2045" max="2045" width="12.125" style="17" customWidth="1"/>
    <col min="2046" max="2047" width="10.6875" style="17" customWidth="1"/>
    <col min="2048" max="2048" width="10.3125" style="17" customWidth="1"/>
    <col min="2049" max="2049" width="11.6875" style="17" customWidth="1"/>
    <col min="2050" max="2050" width="13.6875" style="17" customWidth="1"/>
    <col min="2051" max="2051" width="26.1875" style="17" customWidth="1"/>
    <col min="2052" max="2052" width="14.6875" style="17" customWidth="1"/>
    <col min="2053" max="2278" width="5.6875" style="17"/>
    <col min="2279" max="2279" width="4.6875" style="17" customWidth="1"/>
    <col min="2280" max="2280" width="8.3125" style="17" customWidth="1"/>
    <col min="2281" max="2282" width="0" style="17" hidden="1" customWidth="1"/>
    <col min="2283" max="2283" width="4.875" style="17" customWidth="1"/>
    <col min="2284" max="2284" width="7.875" style="17" customWidth="1"/>
    <col min="2285" max="2285" width="6.3125" style="17" customWidth="1"/>
    <col min="2286" max="2286" width="12.3125" style="17" customWidth="1"/>
    <col min="2287" max="2289" width="11.3125" style="17" customWidth="1"/>
    <col min="2290" max="2290" width="10.3125" style="17" customWidth="1"/>
    <col min="2291" max="2291" width="11.3125" style="17" customWidth="1"/>
    <col min="2292" max="2292" width="0" style="17" hidden="1" customWidth="1"/>
    <col min="2293" max="2293" width="13.6875" style="17" bestFit="1" customWidth="1"/>
    <col min="2294" max="2294" width="13" style="17" customWidth="1"/>
    <col min="2295" max="2295" width="14.6875" style="17" customWidth="1"/>
    <col min="2296" max="2296" width="5.875" style="17" customWidth="1"/>
    <col min="2297" max="2297" width="4.6875" style="17" customWidth="1"/>
    <col min="2298" max="2298" width="8.6875" style="17" customWidth="1"/>
    <col min="2299" max="2299" width="10.3125" style="17" customWidth="1"/>
    <col min="2300" max="2300" width="9" style="17" customWidth="1"/>
    <col min="2301" max="2301" width="12.125" style="17" customWidth="1"/>
    <col min="2302" max="2303" width="10.6875" style="17" customWidth="1"/>
    <col min="2304" max="2304" width="10.3125" style="17" customWidth="1"/>
    <col min="2305" max="2305" width="11.6875" style="17" customWidth="1"/>
    <col min="2306" max="2306" width="13.6875" style="17" customWidth="1"/>
    <col min="2307" max="2307" width="26.1875" style="17" customWidth="1"/>
    <col min="2308" max="2308" width="14.6875" style="17" customWidth="1"/>
    <col min="2309" max="2534" width="5.6875" style="17"/>
    <col min="2535" max="2535" width="4.6875" style="17" customWidth="1"/>
    <col min="2536" max="2536" width="8.3125" style="17" customWidth="1"/>
    <col min="2537" max="2538" width="0" style="17" hidden="1" customWidth="1"/>
    <col min="2539" max="2539" width="4.875" style="17" customWidth="1"/>
    <col min="2540" max="2540" width="7.875" style="17" customWidth="1"/>
    <col min="2541" max="2541" width="6.3125" style="17" customWidth="1"/>
    <col min="2542" max="2542" width="12.3125" style="17" customWidth="1"/>
    <col min="2543" max="2545" width="11.3125" style="17" customWidth="1"/>
    <col min="2546" max="2546" width="10.3125" style="17" customWidth="1"/>
    <col min="2547" max="2547" width="11.3125" style="17" customWidth="1"/>
    <col min="2548" max="2548" width="0" style="17" hidden="1" customWidth="1"/>
    <col min="2549" max="2549" width="13.6875" style="17" bestFit="1" customWidth="1"/>
    <col min="2550" max="2550" width="13" style="17" customWidth="1"/>
    <col min="2551" max="2551" width="14.6875" style="17" customWidth="1"/>
    <col min="2552" max="2552" width="5.875" style="17" customWidth="1"/>
    <col min="2553" max="2553" width="4.6875" style="17" customWidth="1"/>
    <col min="2554" max="2554" width="8.6875" style="17" customWidth="1"/>
    <col min="2555" max="2555" width="10.3125" style="17" customWidth="1"/>
    <col min="2556" max="2556" width="9" style="17" customWidth="1"/>
    <col min="2557" max="2557" width="12.125" style="17" customWidth="1"/>
    <col min="2558" max="2559" width="10.6875" style="17" customWidth="1"/>
    <col min="2560" max="2560" width="10.3125" style="17" customWidth="1"/>
    <col min="2561" max="2561" width="11.6875" style="17" customWidth="1"/>
    <col min="2562" max="2562" width="13.6875" style="17" customWidth="1"/>
    <col min="2563" max="2563" width="26.1875" style="17" customWidth="1"/>
    <col min="2564" max="2564" width="14.6875" style="17" customWidth="1"/>
    <col min="2565" max="2790" width="5.6875" style="17"/>
    <col min="2791" max="2791" width="4.6875" style="17" customWidth="1"/>
    <col min="2792" max="2792" width="8.3125" style="17" customWidth="1"/>
    <col min="2793" max="2794" width="0" style="17" hidden="1" customWidth="1"/>
    <col min="2795" max="2795" width="4.875" style="17" customWidth="1"/>
    <col min="2796" max="2796" width="7.875" style="17" customWidth="1"/>
    <col min="2797" max="2797" width="6.3125" style="17" customWidth="1"/>
    <col min="2798" max="2798" width="12.3125" style="17" customWidth="1"/>
    <col min="2799" max="2801" width="11.3125" style="17" customWidth="1"/>
    <col min="2802" max="2802" width="10.3125" style="17" customWidth="1"/>
    <col min="2803" max="2803" width="11.3125" style="17" customWidth="1"/>
    <col min="2804" max="2804" width="0" style="17" hidden="1" customWidth="1"/>
    <col min="2805" max="2805" width="13.6875" style="17" bestFit="1" customWidth="1"/>
    <col min="2806" max="2806" width="13" style="17" customWidth="1"/>
    <col min="2807" max="2807" width="14.6875" style="17" customWidth="1"/>
    <col min="2808" max="2808" width="5.875" style="17" customWidth="1"/>
    <col min="2809" max="2809" width="4.6875" style="17" customWidth="1"/>
    <col min="2810" max="2810" width="8.6875" style="17" customWidth="1"/>
    <col min="2811" max="2811" width="10.3125" style="17" customWidth="1"/>
    <col min="2812" max="2812" width="9" style="17" customWidth="1"/>
    <col min="2813" max="2813" width="12.125" style="17" customWidth="1"/>
    <col min="2814" max="2815" width="10.6875" style="17" customWidth="1"/>
    <col min="2816" max="2816" width="10.3125" style="17" customWidth="1"/>
    <col min="2817" max="2817" width="11.6875" style="17" customWidth="1"/>
    <col min="2818" max="2818" width="13.6875" style="17" customWidth="1"/>
    <col min="2819" max="2819" width="26.1875" style="17" customWidth="1"/>
    <col min="2820" max="2820" width="14.6875" style="17" customWidth="1"/>
    <col min="2821" max="3046" width="5.6875" style="17"/>
    <col min="3047" max="3047" width="4.6875" style="17" customWidth="1"/>
    <col min="3048" max="3048" width="8.3125" style="17" customWidth="1"/>
    <col min="3049" max="3050" width="0" style="17" hidden="1" customWidth="1"/>
    <col min="3051" max="3051" width="4.875" style="17" customWidth="1"/>
    <col min="3052" max="3052" width="7.875" style="17" customWidth="1"/>
    <col min="3053" max="3053" width="6.3125" style="17" customWidth="1"/>
    <col min="3054" max="3054" width="12.3125" style="17" customWidth="1"/>
    <col min="3055" max="3057" width="11.3125" style="17" customWidth="1"/>
    <col min="3058" max="3058" width="10.3125" style="17" customWidth="1"/>
    <col min="3059" max="3059" width="11.3125" style="17" customWidth="1"/>
    <col min="3060" max="3060" width="0" style="17" hidden="1" customWidth="1"/>
    <col min="3061" max="3061" width="13.6875" style="17" bestFit="1" customWidth="1"/>
    <col min="3062" max="3062" width="13" style="17" customWidth="1"/>
    <col min="3063" max="3063" width="14.6875" style="17" customWidth="1"/>
    <col min="3064" max="3064" width="5.875" style="17" customWidth="1"/>
    <col min="3065" max="3065" width="4.6875" style="17" customWidth="1"/>
    <col min="3066" max="3066" width="8.6875" style="17" customWidth="1"/>
    <col min="3067" max="3067" width="10.3125" style="17" customWidth="1"/>
    <col min="3068" max="3068" width="9" style="17" customWidth="1"/>
    <col min="3069" max="3069" width="12.125" style="17" customWidth="1"/>
    <col min="3070" max="3071" width="10.6875" style="17" customWidth="1"/>
    <col min="3072" max="3072" width="10.3125" style="17" customWidth="1"/>
    <col min="3073" max="3073" width="11.6875" style="17" customWidth="1"/>
    <col min="3074" max="3074" width="13.6875" style="17" customWidth="1"/>
    <col min="3075" max="3075" width="26.1875" style="17" customWidth="1"/>
    <col min="3076" max="3076" width="14.6875" style="17" customWidth="1"/>
    <col min="3077" max="3302" width="5.6875" style="17"/>
    <col min="3303" max="3303" width="4.6875" style="17" customWidth="1"/>
    <col min="3304" max="3304" width="8.3125" style="17" customWidth="1"/>
    <col min="3305" max="3306" width="0" style="17" hidden="1" customWidth="1"/>
    <col min="3307" max="3307" width="4.875" style="17" customWidth="1"/>
    <col min="3308" max="3308" width="7.875" style="17" customWidth="1"/>
    <col min="3309" max="3309" width="6.3125" style="17" customWidth="1"/>
    <col min="3310" max="3310" width="12.3125" style="17" customWidth="1"/>
    <col min="3311" max="3313" width="11.3125" style="17" customWidth="1"/>
    <col min="3314" max="3314" width="10.3125" style="17" customWidth="1"/>
    <col min="3315" max="3315" width="11.3125" style="17" customWidth="1"/>
    <col min="3316" max="3316" width="0" style="17" hidden="1" customWidth="1"/>
    <col min="3317" max="3317" width="13.6875" style="17" bestFit="1" customWidth="1"/>
    <col min="3318" max="3318" width="13" style="17" customWidth="1"/>
    <col min="3319" max="3319" width="14.6875" style="17" customWidth="1"/>
    <col min="3320" max="3320" width="5.875" style="17" customWidth="1"/>
    <col min="3321" max="3321" width="4.6875" style="17" customWidth="1"/>
    <col min="3322" max="3322" width="8.6875" style="17" customWidth="1"/>
    <col min="3323" max="3323" width="10.3125" style="17" customWidth="1"/>
    <col min="3324" max="3324" width="9" style="17" customWidth="1"/>
    <col min="3325" max="3325" width="12.125" style="17" customWidth="1"/>
    <col min="3326" max="3327" width="10.6875" style="17" customWidth="1"/>
    <col min="3328" max="3328" width="10.3125" style="17" customWidth="1"/>
    <col min="3329" max="3329" width="11.6875" style="17" customWidth="1"/>
    <col min="3330" max="3330" width="13.6875" style="17" customWidth="1"/>
    <col min="3331" max="3331" width="26.1875" style="17" customWidth="1"/>
    <col min="3332" max="3332" width="14.6875" style="17" customWidth="1"/>
    <col min="3333" max="3558" width="5.6875" style="17"/>
    <col min="3559" max="3559" width="4.6875" style="17" customWidth="1"/>
    <col min="3560" max="3560" width="8.3125" style="17" customWidth="1"/>
    <col min="3561" max="3562" width="0" style="17" hidden="1" customWidth="1"/>
    <col min="3563" max="3563" width="4.875" style="17" customWidth="1"/>
    <col min="3564" max="3564" width="7.875" style="17" customWidth="1"/>
    <col min="3565" max="3565" width="6.3125" style="17" customWidth="1"/>
    <col min="3566" max="3566" width="12.3125" style="17" customWidth="1"/>
    <col min="3567" max="3569" width="11.3125" style="17" customWidth="1"/>
    <col min="3570" max="3570" width="10.3125" style="17" customWidth="1"/>
    <col min="3571" max="3571" width="11.3125" style="17" customWidth="1"/>
    <col min="3572" max="3572" width="0" style="17" hidden="1" customWidth="1"/>
    <col min="3573" max="3573" width="13.6875" style="17" bestFit="1" customWidth="1"/>
    <col min="3574" max="3574" width="13" style="17" customWidth="1"/>
    <col min="3575" max="3575" width="14.6875" style="17" customWidth="1"/>
    <col min="3576" max="3576" width="5.875" style="17" customWidth="1"/>
    <col min="3577" max="3577" width="4.6875" style="17" customWidth="1"/>
    <col min="3578" max="3578" width="8.6875" style="17" customWidth="1"/>
    <col min="3579" max="3579" width="10.3125" style="17" customWidth="1"/>
    <col min="3580" max="3580" width="9" style="17" customWidth="1"/>
    <col min="3581" max="3581" width="12.125" style="17" customWidth="1"/>
    <col min="3582" max="3583" width="10.6875" style="17" customWidth="1"/>
    <col min="3584" max="3584" width="10.3125" style="17" customWidth="1"/>
    <col min="3585" max="3585" width="11.6875" style="17" customWidth="1"/>
    <col min="3586" max="3586" width="13.6875" style="17" customWidth="1"/>
    <col min="3587" max="3587" width="26.1875" style="17" customWidth="1"/>
    <col min="3588" max="3588" width="14.6875" style="17" customWidth="1"/>
    <col min="3589" max="3814" width="5.6875" style="17"/>
    <col min="3815" max="3815" width="4.6875" style="17" customWidth="1"/>
    <col min="3816" max="3816" width="8.3125" style="17" customWidth="1"/>
    <col min="3817" max="3818" width="0" style="17" hidden="1" customWidth="1"/>
    <col min="3819" max="3819" width="4.875" style="17" customWidth="1"/>
    <col min="3820" max="3820" width="7.875" style="17" customWidth="1"/>
    <col min="3821" max="3821" width="6.3125" style="17" customWidth="1"/>
    <col min="3822" max="3822" width="12.3125" style="17" customWidth="1"/>
    <col min="3823" max="3825" width="11.3125" style="17" customWidth="1"/>
    <col min="3826" max="3826" width="10.3125" style="17" customWidth="1"/>
    <col min="3827" max="3827" width="11.3125" style="17" customWidth="1"/>
    <col min="3828" max="3828" width="0" style="17" hidden="1" customWidth="1"/>
    <col min="3829" max="3829" width="13.6875" style="17" bestFit="1" customWidth="1"/>
    <col min="3830" max="3830" width="13" style="17" customWidth="1"/>
    <col min="3831" max="3831" width="14.6875" style="17" customWidth="1"/>
    <col min="3832" max="3832" width="5.875" style="17" customWidth="1"/>
    <col min="3833" max="3833" width="4.6875" style="17" customWidth="1"/>
    <col min="3834" max="3834" width="8.6875" style="17" customWidth="1"/>
    <col min="3835" max="3835" width="10.3125" style="17" customWidth="1"/>
    <col min="3836" max="3836" width="9" style="17" customWidth="1"/>
    <col min="3837" max="3837" width="12.125" style="17" customWidth="1"/>
    <col min="3838" max="3839" width="10.6875" style="17" customWidth="1"/>
    <col min="3840" max="3840" width="10.3125" style="17" customWidth="1"/>
    <col min="3841" max="3841" width="11.6875" style="17" customWidth="1"/>
    <col min="3842" max="3842" width="13.6875" style="17" customWidth="1"/>
    <col min="3843" max="3843" width="26.1875" style="17" customWidth="1"/>
    <col min="3844" max="3844" width="14.6875" style="17" customWidth="1"/>
    <col min="3845" max="4070" width="5.6875" style="17"/>
    <col min="4071" max="4071" width="4.6875" style="17" customWidth="1"/>
    <col min="4072" max="4072" width="8.3125" style="17" customWidth="1"/>
    <col min="4073" max="4074" width="0" style="17" hidden="1" customWidth="1"/>
    <col min="4075" max="4075" width="4.875" style="17" customWidth="1"/>
    <col min="4076" max="4076" width="7.875" style="17" customWidth="1"/>
    <col min="4077" max="4077" width="6.3125" style="17" customWidth="1"/>
    <col min="4078" max="4078" width="12.3125" style="17" customWidth="1"/>
    <col min="4079" max="4081" width="11.3125" style="17" customWidth="1"/>
    <col min="4082" max="4082" width="10.3125" style="17" customWidth="1"/>
    <col min="4083" max="4083" width="11.3125" style="17" customWidth="1"/>
    <col min="4084" max="4084" width="0" style="17" hidden="1" customWidth="1"/>
    <col min="4085" max="4085" width="13.6875" style="17" bestFit="1" customWidth="1"/>
    <col min="4086" max="4086" width="13" style="17" customWidth="1"/>
    <col min="4087" max="4087" width="14.6875" style="17" customWidth="1"/>
    <col min="4088" max="4088" width="5.875" style="17" customWidth="1"/>
    <col min="4089" max="4089" width="4.6875" style="17" customWidth="1"/>
    <col min="4090" max="4090" width="8.6875" style="17" customWidth="1"/>
    <col min="4091" max="4091" width="10.3125" style="17" customWidth="1"/>
    <col min="4092" max="4092" width="9" style="17" customWidth="1"/>
    <col min="4093" max="4093" width="12.125" style="17" customWidth="1"/>
    <col min="4094" max="4095" width="10.6875" style="17" customWidth="1"/>
    <col min="4096" max="4096" width="10.3125" style="17" customWidth="1"/>
    <col min="4097" max="4097" width="11.6875" style="17" customWidth="1"/>
    <col min="4098" max="4098" width="13.6875" style="17" customWidth="1"/>
    <col min="4099" max="4099" width="26.1875" style="17" customWidth="1"/>
    <col min="4100" max="4100" width="14.6875" style="17" customWidth="1"/>
    <col min="4101" max="4326" width="5.6875" style="17"/>
    <col min="4327" max="4327" width="4.6875" style="17" customWidth="1"/>
    <col min="4328" max="4328" width="8.3125" style="17" customWidth="1"/>
    <col min="4329" max="4330" width="0" style="17" hidden="1" customWidth="1"/>
    <col min="4331" max="4331" width="4.875" style="17" customWidth="1"/>
    <col min="4332" max="4332" width="7.875" style="17" customWidth="1"/>
    <col min="4333" max="4333" width="6.3125" style="17" customWidth="1"/>
    <col min="4334" max="4334" width="12.3125" style="17" customWidth="1"/>
    <col min="4335" max="4337" width="11.3125" style="17" customWidth="1"/>
    <col min="4338" max="4338" width="10.3125" style="17" customWidth="1"/>
    <col min="4339" max="4339" width="11.3125" style="17" customWidth="1"/>
    <col min="4340" max="4340" width="0" style="17" hidden="1" customWidth="1"/>
    <col min="4341" max="4341" width="13.6875" style="17" bestFit="1" customWidth="1"/>
    <col min="4342" max="4342" width="13" style="17" customWidth="1"/>
    <col min="4343" max="4343" width="14.6875" style="17" customWidth="1"/>
    <col min="4344" max="4344" width="5.875" style="17" customWidth="1"/>
    <col min="4345" max="4345" width="4.6875" style="17" customWidth="1"/>
    <col min="4346" max="4346" width="8.6875" style="17" customWidth="1"/>
    <col min="4347" max="4347" width="10.3125" style="17" customWidth="1"/>
    <col min="4348" max="4348" width="9" style="17" customWidth="1"/>
    <col min="4349" max="4349" width="12.125" style="17" customWidth="1"/>
    <col min="4350" max="4351" width="10.6875" style="17" customWidth="1"/>
    <col min="4352" max="4352" width="10.3125" style="17" customWidth="1"/>
    <col min="4353" max="4353" width="11.6875" style="17" customWidth="1"/>
    <col min="4354" max="4354" width="13.6875" style="17" customWidth="1"/>
    <col min="4355" max="4355" width="26.1875" style="17" customWidth="1"/>
    <col min="4356" max="4356" width="14.6875" style="17" customWidth="1"/>
    <col min="4357" max="4582" width="5.6875" style="17"/>
    <col min="4583" max="4583" width="4.6875" style="17" customWidth="1"/>
    <col min="4584" max="4584" width="8.3125" style="17" customWidth="1"/>
    <col min="4585" max="4586" width="0" style="17" hidden="1" customWidth="1"/>
    <col min="4587" max="4587" width="4.875" style="17" customWidth="1"/>
    <col min="4588" max="4588" width="7.875" style="17" customWidth="1"/>
    <col min="4589" max="4589" width="6.3125" style="17" customWidth="1"/>
    <col min="4590" max="4590" width="12.3125" style="17" customWidth="1"/>
    <col min="4591" max="4593" width="11.3125" style="17" customWidth="1"/>
    <col min="4594" max="4594" width="10.3125" style="17" customWidth="1"/>
    <col min="4595" max="4595" width="11.3125" style="17" customWidth="1"/>
    <col min="4596" max="4596" width="0" style="17" hidden="1" customWidth="1"/>
    <col min="4597" max="4597" width="13.6875" style="17" bestFit="1" customWidth="1"/>
    <col min="4598" max="4598" width="13" style="17" customWidth="1"/>
    <col min="4599" max="4599" width="14.6875" style="17" customWidth="1"/>
    <col min="4600" max="4600" width="5.875" style="17" customWidth="1"/>
    <col min="4601" max="4601" width="4.6875" style="17" customWidth="1"/>
    <col min="4602" max="4602" width="8.6875" style="17" customWidth="1"/>
    <col min="4603" max="4603" width="10.3125" style="17" customWidth="1"/>
    <col min="4604" max="4604" width="9" style="17" customWidth="1"/>
    <col min="4605" max="4605" width="12.125" style="17" customWidth="1"/>
    <col min="4606" max="4607" width="10.6875" style="17" customWidth="1"/>
    <col min="4608" max="4608" width="10.3125" style="17" customWidth="1"/>
    <col min="4609" max="4609" width="11.6875" style="17" customWidth="1"/>
    <col min="4610" max="4610" width="13.6875" style="17" customWidth="1"/>
    <col min="4611" max="4611" width="26.1875" style="17" customWidth="1"/>
    <col min="4612" max="4612" width="14.6875" style="17" customWidth="1"/>
    <col min="4613" max="4838" width="5.6875" style="17"/>
    <col min="4839" max="4839" width="4.6875" style="17" customWidth="1"/>
    <col min="4840" max="4840" width="8.3125" style="17" customWidth="1"/>
    <col min="4841" max="4842" width="0" style="17" hidden="1" customWidth="1"/>
    <col min="4843" max="4843" width="4.875" style="17" customWidth="1"/>
    <col min="4844" max="4844" width="7.875" style="17" customWidth="1"/>
    <col min="4845" max="4845" width="6.3125" style="17" customWidth="1"/>
    <col min="4846" max="4846" width="12.3125" style="17" customWidth="1"/>
    <col min="4847" max="4849" width="11.3125" style="17" customWidth="1"/>
    <col min="4850" max="4850" width="10.3125" style="17" customWidth="1"/>
    <col min="4851" max="4851" width="11.3125" style="17" customWidth="1"/>
    <col min="4852" max="4852" width="0" style="17" hidden="1" customWidth="1"/>
    <col min="4853" max="4853" width="13.6875" style="17" bestFit="1" customWidth="1"/>
    <col min="4854" max="4854" width="13" style="17" customWidth="1"/>
    <col min="4855" max="4855" width="14.6875" style="17" customWidth="1"/>
    <col min="4856" max="4856" width="5.875" style="17" customWidth="1"/>
    <col min="4857" max="4857" width="4.6875" style="17" customWidth="1"/>
    <col min="4858" max="4858" width="8.6875" style="17" customWidth="1"/>
    <col min="4859" max="4859" width="10.3125" style="17" customWidth="1"/>
    <col min="4860" max="4860" width="9" style="17" customWidth="1"/>
    <col min="4861" max="4861" width="12.125" style="17" customWidth="1"/>
    <col min="4862" max="4863" width="10.6875" style="17" customWidth="1"/>
    <col min="4864" max="4864" width="10.3125" style="17" customWidth="1"/>
    <col min="4865" max="4865" width="11.6875" style="17" customWidth="1"/>
    <col min="4866" max="4866" width="13.6875" style="17" customWidth="1"/>
    <col min="4867" max="4867" width="26.1875" style="17" customWidth="1"/>
    <col min="4868" max="4868" width="14.6875" style="17" customWidth="1"/>
    <col min="4869" max="5094" width="5.6875" style="17"/>
    <col min="5095" max="5095" width="4.6875" style="17" customWidth="1"/>
    <col min="5096" max="5096" width="8.3125" style="17" customWidth="1"/>
    <col min="5097" max="5098" width="0" style="17" hidden="1" customWidth="1"/>
    <col min="5099" max="5099" width="4.875" style="17" customWidth="1"/>
    <col min="5100" max="5100" width="7.875" style="17" customWidth="1"/>
    <col min="5101" max="5101" width="6.3125" style="17" customWidth="1"/>
    <col min="5102" max="5102" width="12.3125" style="17" customWidth="1"/>
    <col min="5103" max="5105" width="11.3125" style="17" customWidth="1"/>
    <col min="5106" max="5106" width="10.3125" style="17" customWidth="1"/>
    <col min="5107" max="5107" width="11.3125" style="17" customWidth="1"/>
    <col min="5108" max="5108" width="0" style="17" hidden="1" customWidth="1"/>
    <col min="5109" max="5109" width="13.6875" style="17" bestFit="1" customWidth="1"/>
    <col min="5110" max="5110" width="13" style="17" customWidth="1"/>
    <col min="5111" max="5111" width="14.6875" style="17" customWidth="1"/>
    <col min="5112" max="5112" width="5.875" style="17" customWidth="1"/>
    <col min="5113" max="5113" width="4.6875" style="17" customWidth="1"/>
    <col min="5114" max="5114" width="8.6875" style="17" customWidth="1"/>
    <col min="5115" max="5115" width="10.3125" style="17" customWidth="1"/>
    <col min="5116" max="5116" width="9" style="17" customWidth="1"/>
    <col min="5117" max="5117" width="12.125" style="17" customWidth="1"/>
    <col min="5118" max="5119" width="10.6875" style="17" customWidth="1"/>
    <col min="5120" max="5120" width="10.3125" style="17" customWidth="1"/>
    <col min="5121" max="5121" width="11.6875" style="17" customWidth="1"/>
    <col min="5122" max="5122" width="13.6875" style="17" customWidth="1"/>
    <col min="5123" max="5123" width="26.1875" style="17" customWidth="1"/>
    <col min="5124" max="5124" width="14.6875" style="17" customWidth="1"/>
    <col min="5125" max="5350" width="5.6875" style="17"/>
    <col min="5351" max="5351" width="4.6875" style="17" customWidth="1"/>
    <col min="5352" max="5352" width="8.3125" style="17" customWidth="1"/>
    <col min="5353" max="5354" width="0" style="17" hidden="1" customWidth="1"/>
    <col min="5355" max="5355" width="4.875" style="17" customWidth="1"/>
    <col min="5356" max="5356" width="7.875" style="17" customWidth="1"/>
    <col min="5357" max="5357" width="6.3125" style="17" customWidth="1"/>
    <col min="5358" max="5358" width="12.3125" style="17" customWidth="1"/>
    <col min="5359" max="5361" width="11.3125" style="17" customWidth="1"/>
    <col min="5362" max="5362" width="10.3125" style="17" customWidth="1"/>
    <col min="5363" max="5363" width="11.3125" style="17" customWidth="1"/>
    <col min="5364" max="5364" width="0" style="17" hidden="1" customWidth="1"/>
    <col min="5365" max="5365" width="13.6875" style="17" bestFit="1" customWidth="1"/>
    <col min="5366" max="5366" width="13" style="17" customWidth="1"/>
    <col min="5367" max="5367" width="14.6875" style="17" customWidth="1"/>
    <col min="5368" max="5368" width="5.875" style="17" customWidth="1"/>
    <col min="5369" max="5369" width="4.6875" style="17" customWidth="1"/>
    <col min="5370" max="5370" width="8.6875" style="17" customWidth="1"/>
    <col min="5371" max="5371" width="10.3125" style="17" customWidth="1"/>
    <col min="5372" max="5372" width="9" style="17" customWidth="1"/>
    <col min="5373" max="5373" width="12.125" style="17" customWidth="1"/>
    <col min="5374" max="5375" width="10.6875" style="17" customWidth="1"/>
    <col min="5376" max="5376" width="10.3125" style="17" customWidth="1"/>
    <col min="5377" max="5377" width="11.6875" style="17" customWidth="1"/>
    <col min="5378" max="5378" width="13.6875" style="17" customWidth="1"/>
    <col min="5379" max="5379" width="26.1875" style="17" customWidth="1"/>
    <col min="5380" max="5380" width="14.6875" style="17" customWidth="1"/>
    <col min="5381" max="5606" width="5.6875" style="17"/>
    <col min="5607" max="5607" width="4.6875" style="17" customWidth="1"/>
    <col min="5608" max="5608" width="8.3125" style="17" customWidth="1"/>
    <col min="5609" max="5610" width="0" style="17" hidden="1" customWidth="1"/>
    <col min="5611" max="5611" width="4.875" style="17" customWidth="1"/>
    <col min="5612" max="5612" width="7.875" style="17" customWidth="1"/>
    <col min="5613" max="5613" width="6.3125" style="17" customWidth="1"/>
    <col min="5614" max="5614" width="12.3125" style="17" customWidth="1"/>
    <col min="5615" max="5617" width="11.3125" style="17" customWidth="1"/>
    <col min="5618" max="5618" width="10.3125" style="17" customWidth="1"/>
    <col min="5619" max="5619" width="11.3125" style="17" customWidth="1"/>
    <col min="5620" max="5620" width="0" style="17" hidden="1" customWidth="1"/>
    <col min="5621" max="5621" width="13.6875" style="17" bestFit="1" customWidth="1"/>
    <col min="5622" max="5622" width="13" style="17" customWidth="1"/>
    <col min="5623" max="5623" width="14.6875" style="17" customWidth="1"/>
    <col min="5624" max="5624" width="5.875" style="17" customWidth="1"/>
    <col min="5625" max="5625" width="4.6875" style="17" customWidth="1"/>
    <col min="5626" max="5626" width="8.6875" style="17" customWidth="1"/>
    <col min="5627" max="5627" width="10.3125" style="17" customWidth="1"/>
    <col min="5628" max="5628" width="9" style="17" customWidth="1"/>
    <col min="5629" max="5629" width="12.125" style="17" customWidth="1"/>
    <col min="5630" max="5631" width="10.6875" style="17" customWidth="1"/>
    <col min="5632" max="5632" width="10.3125" style="17" customWidth="1"/>
    <col min="5633" max="5633" width="11.6875" style="17" customWidth="1"/>
    <col min="5634" max="5634" width="13.6875" style="17" customWidth="1"/>
    <col min="5635" max="5635" width="26.1875" style="17" customWidth="1"/>
    <col min="5636" max="5636" width="14.6875" style="17" customWidth="1"/>
    <col min="5637" max="5862" width="5.6875" style="17"/>
    <col min="5863" max="5863" width="4.6875" style="17" customWidth="1"/>
    <col min="5864" max="5864" width="8.3125" style="17" customWidth="1"/>
    <col min="5865" max="5866" width="0" style="17" hidden="1" customWidth="1"/>
    <col min="5867" max="5867" width="4.875" style="17" customWidth="1"/>
    <col min="5868" max="5868" width="7.875" style="17" customWidth="1"/>
    <col min="5869" max="5869" width="6.3125" style="17" customWidth="1"/>
    <col min="5870" max="5870" width="12.3125" style="17" customWidth="1"/>
    <col min="5871" max="5873" width="11.3125" style="17" customWidth="1"/>
    <col min="5874" max="5874" width="10.3125" style="17" customWidth="1"/>
    <col min="5875" max="5875" width="11.3125" style="17" customWidth="1"/>
    <col min="5876" max="5876" width="0" style="17" hidden="1" customWidth="1"/>
    <col min="5877" max="5877" width="13.6875" style="17" bestFit="1" customWidth="1"/>
    <col min="5878" max="5878" width="13" style="17" customWidth="1"/>
    <col min="5879" max="5879" width="14.6875" style="17" customWidth="1"/>
    <col min="5880" max="5880" width="5.875" style="17" customWidth="1"/>
    <col min="5881" max="5881" width="4.6875" style="17" customWidth="1"/>
    <col min="5882" max="5882" width="8.6875" style="17" customWidth="1"/>
    <col min="5883" max="5883" width="10.3125" style="17" customWidth="1"/>
    <col min="5884" max="5884" width="9" style="17" customWidth="1"/>
    <col min="5885" max="5885" width="12.125" style="17" customWidth="1"/>
    <col min="5886" max="5887" width="10.6875" style="17" customWidth="1"/>
    <col min="5888" max="5888" width="10.3125" style="17" customWidth="1"/>
    <col min="5889" max="5889" width="11.6875" style="17" customWidth="1"/>
    <col min="5890" max="5890" width="13.6875" style="17" customWidth="1"/>
    <col min="5891" max="5891" width="26.1875" style="17" customWidth="1"/>
    <col min="5892" max="5892" width="14.6875" style="17" customWidth="1"/>
    <col min="5893" max="6118" width="5.6875" style="17"/>
    <col min="6119" max="6119" width="4.6875" style="17" customWidth="1"/>
    <col min="6120" max="6120" width="8.3125" style="17" customWidth="1"/>
    <col min="6121" max="6122" width="0" style="17" hidden="1" customWidth="1"/>
    <col min="6123" max="6123" width="4.875" style="17" customWidth="1"/>
    <col min="6124" max="6124" width="7.875" style="17" customWidth="1"/>
    <col min="6125" max="6125" width="6.3125" style="17" customWidth="1"/>
    <col min="6126" max="6126" width="12.3125" style="17" customWidth="1"/>
    <col min="6127" max="6129" width="11.3125" style="17" customWidth="1"/>
    <col min="6130" max="6130" width="10.3125" style="17" customWidth="1"/>
    <col min="6131" max="6131" width="11.3125" style="17" customWidth="1"/>
    <col min="6132" max="6132" width="0" style="17" hidden="1" customWidth="1"/>
    <col min="6133" max="6133" width="13.6875" style="17" bestFit="1" customWidth="1"/>
    <col min="6134" max="6134" width="13" style="17" customWidth="1"/>
    <col min="6135" max="6135" width="14.6875" style="17" customWidth="1"/>
    <col min="6136" max="6136" width="5.875" style="17" customWidth="1"/>
    <col min="6137" max="6137" width="4.6875" style="17" customWidth="1"/>
    <col min="6138" max="6138" width="8.6875" style="17" customWidth="1"/>
    <col min="6139" max="6139" width="10.3125" style="17" customWidth="1"/>
    <col min="6140" max="6140" width="9" style="17" customWidth="1"/>
    <col min="6141" max="6141" width="12.125" style="17" customWidth="1"/>
    <col min="6142" max="6143" width="10.6875" style="17" customWidth="1"/>
    <col min="6144" max="6144" width="10.3125" style="17" customWidth="1"/>
    <col min="6145" max="6145" width="11.6875" style="17" customWidth="1"/>
    <col min="6146" max="6146" width="13.6875" style="17" customWidth="1"/>
    <col min="6147" max="6147" width="26.1875" style="17" customWidth="1"/>
    <col min="6148" max="6148" width="14.6875" style="17" customWidth="1"/>
    <col min="6149" max="6374" width="5.6875" style="17"/>
    <col min="6375" max="6375" width="4.6875" style="17" customWidth="1"/>
    <col min="6376" max="6376" width="8.3125" style="17" customWidth="1"/>
    <col min="6377" max="6378" width="0" style="17" hidden="1" customWidth="1"/>
    <col min="6379" max="6379" width="4.875" style="17" customWidth="1"/>
    <col min="6380" max="6380" width="7.875" style="17" customWidth="1"/>
    <col min="6381" max="6381" width="6.3125" style="17" customWidth="1"/>
    <col min="6382" max="6382" width="12.3125" style="17" customWidth="1"/>
    <col min="6383" max="6385" width="11.3125" style="17" customWidth="1"/>
    <col min="6386" max="6386" width="10.3125" style="17" customWidth="1"/>
    <col min="6387" max="6387" width="11.3125" style="17" customWidth="1"/>
    <col min="6388" max="6388" width="0" style="17" hidden="1" customWidth="1"/>
    <col min="6389" max="6389" width="13.6875" style="17" bestFit="1" customWidth="1"/>
    <col min="6390" max="6390" width="13" style="17" customWidth="1"/>
    <col min="6391" max="6391" width="14.6875" style="17" customWidth="1"/>
    <col min="6392" max="6392" width="5.875" style="17" customWidth="1"/>
    <col min="6393" max="6393" width="4.6875" style="17" customWidth="1"/>
    <col min="6394" max="6394" width="8.6875" style="17" customWidth="1"/>
    <col min="6395" max="6395" width="10.3125" style="17" customWidth="1"/>
    <col min="6396" max="6396" width="9" style="17" customWidth="1"/>
    <col min="6397" max="6397" width="12.125" style="17" customWidth="1"/>
    <col min="6398" max="6399" width="10.6875" style="17" customWidth="1"/>
    <col min="6400" max="6400" width="10.3125" style="17" customWidth="1"/>
    <col min="6401" max="6401" width="11.6875" style="17" customWidth="1"/>
    <col min="6402" max="6402" width="13.6875" style="17" customWidth="1"/>
    <col min="6403" max="6403" width="26.1875" style="17" customWidth="1"/>
    <col min="6404" max="6404" width="14.6875" style="17" customWidth="1"/>
    <col min="6405" max="6630" width="5.6875" style="17"/>
    <col min="6631" max="6631" width="4.6875" style="17" customWidth="1"/>
    <col min="6632" max="6632" width="8.3125" style="17" customWidth="1"/>
    <col min="6633" max="6634" width="0" style="17" hidden="1" customWidth="1"/>
    <col min="6635" max="6635" width="4.875" style="17" customWidth="1"/>
    <col min="6636" max="6636" width="7.875" style="17" customWidth="1"/>
    <col min="6637" max="6637" width="6.3125" style="17" customWidth="1"/>
    <col min="6638" max="6638" width="12.3125" style="17" customWidth="1"/>
    <col min="6639" max="6641" width="11.3125" style="17" customWidth="1"/>
    <col min="6642" max="6642" width="10.3125" style="17" customWidth="1"/>
    <col min="6643" max="6643" width="11.3125" style="17" customWidth="1"/>
    <col min="6644" max="6644" width="0" style="17" hidden="1" customWidth="1"/>
    <col min="6645" max="6645" width="13.6875" style="17" bestFit="1" customWidth="1"/>
    <col min="6646" max="6646" width="13" style="17" customWidth="1"/>
    <col min="6647" max="6647" width="14.6875" style="17" customWidth="1"/>
    <col min="6648" max="6648" width="5.875" style="17" customWidth="1"/>
    <col min="6649" max="6649" width="4.6875" style="17" customWidth="1"/>
    <col min="6650" max="6650" width="8.6875" style="17" customWidth="1"/>
    <col min="6651" max="6651" width="10.3125" style="17" customWidth="1"/>
    <col min="6652" max="6652" width="9" style="17" customWidth="1"/>
    <col min="6653" max="6653" width="12.125" style="17" customWidth="1"/>
    <col min="6654" max="6655" width="10.6875" style="17" customWidth="1"/>
    <col min="6656" max="6656" width="10.3125" style="17" customWidth="1"/>
    <col min="6657" max="6657" width="11.6875" style="17" customWidth="1"/>
    <col min="6658" max="6658" width="13.6875" style="17" customWidth="1"/>
    <col min="6659" max="6659" width="26.1875" style="17" customWidth="1"/>
    <col min="6660" max="6660" width="14.6875" style="17" customWidth="1"/>
    <col min="6661" max="6886" width="5.6875" style="17"/>
    <col min="6887" max="6887" width="4.6875" style="17" customWidth="1"/>
    <col min="6888" max="6888" width="8.3125" style="17" customWidth="1"/>
    <col min="6889" max="6890" width="0" style="17" hidden="1" customWidth="1"/>
    <col min="6891" max="6891" width="4.875" style="17" customWidth="1"/>
    <col min="6892" max="6892" width="7.875" style="17" customWidth="1"/>
    <col min="6893" max="6893" width="6.3125" style="17" customWidth="1"/>
    <col min="6894" max="6894" width="12.3125" style="17" customWidth="1"/>
    <col min="6895" max="6897" width="11.3125" style="17" customWidth="1"/>
    <col min="6898" max="6898" width="10.3125" style="17" customWidth="1"/>
    <col min="6899" max="6899" width="11.3125" style="17" customWidth="1"/>
    <col min="6900" max="6900" width="0" style="17" hidden="1" customWidth="1"/>
    <col min="6901" max="6901" width="13.6875" style="17" bestFit="1" customWidth="1"/>
    <col min="6902" max="6902" width="13" style="17" customWidth="1"/>
    <col min="6903" max="6903" width="14.6875" style="17" customWidth="1"/>
    <col min="6904" max="6904" width="5.875" style="17" customWidth="1"/>
    <col min="6905" max="6905" width="4.6875" style="17" customWidth="1"/>
    <col min="6906" max="6906" width="8.6875" style="17" customWidth="1"/>
    <col min="6907" max="6907" width="10.3125" style="17" customWidth="1"/>
    <col min="6908" max="6908" width="9" style="17" customWidth="1"/>
    <col min="6909" max="6909" width="12.125" style="17" customWidth="1"/>
    <col min="6910" max="6911" width="10.6875" style="17" customWidth="1"/>
    <col min="6912" max="6912" width="10.3125" style="17" customWidth="1"/>
    <col min="6913" max="6913" width="11.6875" style="17" customWidth="1"/>
    <col min="6914" max="6914" width="13.6875" style="17" customWidth="1"/>
    <col min="6915" max="6915" width="26.1875" style="17" customWidth="1"/>
    <col min="6916" max="6916" width="14.6875" style="17" customWidth="1"/>
    <col min="6917" max="7142" width="5.6875" style="17"/>
    <col min="7143" max="7143" width="4.6875" style="17" customWidth="1"/>
    <col min="7144" max="7144" width="8.3125" style="17" customWidth="1"/>
    <col min="7145" max="7146" width="0" style="17" hidden="1" customWidth="1"/>
    <col min="7147" max="7147" width="4.875" style="17" customWidth="1"/>
    <col min="7148" max="7148" width="7.875" style="17" customWidth="1"/>
    <col min="7149" max="7149" width="6.3125" style="17" customWidth="1"/>
    <col min="7150" max="7150" width="12.3125" style="17" customWidth="1"/>
    <col min="7151" max="7153" width="11.3125" style="17" customWidth="1"/>
    <col min="7154" max="7154" width="10.3125" style="17" customWidth="1"/>
    <col min="7155" max="7155" width="11.3125" style="17" customWidth="1"/>
    <col min="7156" max="7156" width="0" style="17" hidden="1" customWidth="1"/>
    <col min="7157" max="7157" width="13.6875" style="17" bestFit="1" customWidth="1"/>
    <col min="7158" max="7158" width="13" style="17" customWidth="1"/>
    <col min="7159" max="7159" width="14.6875" style="17" customWidth="1"/>
    <col min="7160" max="7160" width="5.875" style="17" customWidth="1"/>
    <col min="7161" max="7161" width="4.6875" style="17" customWidth="1"/>
    <col min="7162" max="7162" width="8.6875" style="17" customWidth="1"/>
    <col min="7163" max="7163" width="10.3125" style="17" customWidth="1"/>
    <col min="7164" max="7164" width="9" style="17" customWidth="1"/>
    <col min="7165" max="7165" width="12.125" style="17" customWidth="1"/>
    <col min="7166" max="7167" width="10.6875" style="17" customWidth="1"/>
    <col min="7168" max="7168" width="10.3125" style="17" customWidth="1"/>
    <col min="7169" max="7169" width="11.6875" style="17" customWidth="1"/>
    <col min="7170" max="7170" width="13.6875" style="17" customWidth="1"/>
    <col min="7171" max="7171" width="26.1875" style="17" customWidth="1"/>
    <col min="7172" max="7172" width="14.6875" style="17" customWidth="1"/>
    <col min="7173" max="7398" width="5.6875" style="17"/>
    <col min="7399" max="7399" width="4.6875" style="17" customWidth="1"/>
    <col min="7400" max="7400" width="8.3125" style="17" customWidth="1"/>
    <col min="7401" max="7402" width="0" style="17" hidden="1" customWidth="1"/>
    <col min="7403" max="7403" width="4.875" style="17" customWidth="1"/>
    <col min="7404" max="7404" width="7.875" style="17" customWidth="1"/>
    <col min="7405" max="7405" width="6.3125" style="17" customWidth="1"/>
    <col min="7406" max="7406" width="12.3125" style="17" customWidth="1"/>
    <col min="7407" max="7409" width="11.3125" style="17" customWidth="1"/>
    <col min="7410" max="7410" width="10.3125" style="17" customWidth="1"/>
    <col min="7411" max="7411" width="11.3125" style="17" customWidth="1"/>
    <col min="7412" max="7412" width="0" style="17" hidden="1" customWidth="1"/>
    <col min="7413" max="7413" width="13.6875" style="17" bestFit="1" customWidth="1"/>
    <col min="7414" max="7414" width="13" style="17" customWidth="1"/>
    <col min="7415" max="7415" width="14.6875" style="17" customWidth="1"/>
    <col min="7416" max="7416" width="5.875" style="17" customWidth="1"/>
    <col min="7417" max="7417" width="4.6875" style="17" customWidth="1"/>
    <col min="7418" max="7418" width="8.6875" style="17" customWidth="1"/>
    <col min="7419" max="7419" width="10.3125" style="17" customWidth="1"/>
    <col min="7420" max="7420" width="9" style="17" customWidth="1"/>
    <col min="7421" max="7421" width="12.125" style="17" customWidth="1"/>
    <col min="7422" max="7423" width="10.6875" style="17" customWidth="1"/>
    <col min="7424" max="7424" width="10.3125" style="17" customWidth="1"/>
    <col min="7425" max="7425" width="11.6875" style="17" customWidth="1"/>
    <col min="7426" max="7426" width="13.6875" style="17" customWidth="1"/>
    <col min="7427" max="7427" width="26.1875" style="17" customWidth="1"/>
    <col min="7428" max="7428" width="14.6875" style="17" customWidth="1"/>
    <col min="7429" max="7654" width="5.6875" style="17"/>
    <col min="7655" max="7655" width="4.6875" style="17" customWidth="1"/>
    <col min="7656" max="7656" width="8.3125" style="17" customWidth="1"/>
    <col min="7657" max="7658" width="0" style="17" hidden="1" customWidth="1"/>
    <col min="7659" max="7659" width="4.875" style="17" customWidth="1"/>
    <col min="7660" max="7660" width="7.875" style="17" customWidth="1"/>
    <col min="7661" max="7661" width="6.3125" style="17" customWidth="1"/>
    <col min="7662" max="7662" width="12.3125" style="17" customWidth="1"/>
    <col min="7663" max="7665" width="11.3125" style="17" customWidth="1"/>
    <col min="7666" max="7666" width="10.3125" style="17" customWidth="1"/>
    <col min="7667" max="7667" width="11.3125" style="17" customWidth="1"/>
    <col min="7668" max="7668" width="0" style="17" hidden="1" customWidth="1"/>
    <col min="7669" max="7669" width="13.6875" style="17" bestFit="1" customWidth="1"/>
    <col min="7670" max="7670" width="13" style="17" customWidth="1"/>
    <col min="7671" max="7671" width="14.6875" style="17" customWidth="1"/>
    <col min="7672" max="7672" width="5.875" style="17" customWidth="1"/>
    <col min="7673" max="7673" width="4.6875" style="17" customWidth="1"/>
    <col min="7674" max="7674" width="8.6875" style="17" customWidth="1"/>
    <col min="7675" max="7675" width="10.3125" style="17" customWidth="1"/>
    <col min="7676" max="7676" width="9" style="17" customWidth="1"/>
    <col min="7677" max="7677" width="12.125" style="17" customWidth="1"/>
    <col min="7678" max="7679" width="10.6875" style="17" customWidth="1"/>
    <col min="7680" max="7680" width="10.3125" style="17" customWidth="1"/>
    <col min="7681" max="7681" width="11.6875" style="17" customWidth="1"/>
    <col min="7682" max="7682" width="13.6875" style="17" customWidth="1"/>
    <col min="7683" max="7683" width="26.1875" style="17" customWidth="1"/>
    <col min="7684" max="7684" width="14.6875" style="17" customWidth="1"/>
    <col min="7685" max="7910" width="5.6875" style="17"/>
    <col min="7911" max="7911" width="4.6875" style="17" customWidth="1"/>
    <col min="7912" max="7912" width="8.3125" style="17" customWidth="1"/>
    <col min="7913" max="7914" width="0" style="17" hidden="1" customWidth="1"/>
    <col min="7915" max="7915" width="4.875" style="17" customWidth="1"/>
    <col min="7916" max="7916" width="7.875" style="17" customWidth="1"/>
    <col min="7917" max="7917" width="6.3125" style="17" customWidth="1"/>
    <col min="7918" max="7918" width="12.3125" style="17" customWidth="1"/>
    <col min="7919" max="7921" width="11.3125" style="17" customWidth="1"/>
    <col min="7922" max="7922" width="10.3125" style="17" customWidth="1"/>
    <col min="7923" max="7923" width="11.3125" style="17" customWidth="1"/>
    <col min="7924" max="7924" width="0" style="17" hidden="1" customWidth="1"/>
    <col min="7925" max="7925" width="13.6875" style="17" bestFit="1" customWidth="1"/>
    <col min="7926" max="7926" width="13" style="17" customWidth="1"/>
    <col min="7927" max="7927" width="14.6875" style="17" customWidth="1"/>
    <col min="7928" max="7928" width="5.875" style="17" customWidth="1"/>
    <col min="7929" max="7929" width="4.6875" style="17" customWidth="1"/>
    <col min="7930" max="7930" width="8.6875" style="17" customWidth="1"/>
    <col min="7931" max="7931" width="10.3125" style="17" customWidth="1"/>
    <col min="7932" max="7932" width="9" style="17" customWidth="1"/>
    <col min="7933" max="7933" width="12.125" style="17" customWidth="1"/>
    <col min="7934" max="7935" width="10.6875" style="17" customWidth="1"/>
    <col min="7936" max="7936" width="10.3125" style="17" customWidth="1"/>
    <col min="7937" max="7937" width="11.6875" style="17" customWidth="1"/>
    <col min="7938" max="7938" width="13.6875" style="17" customWidth="1"/>
    <col min="7939" max="7939" width="26.1875" style="17" customWidth="1"/>
    <col min="7940" max="7940" width="14.6875" style="17" customWidth="1"/>
    <col min="7941" max="8166" width="5.6875" style="17"/>
    <col min="8167" max="8167" width="4.6875" style="17" customWidth="1"/>
    <col min="8168" max="8168" width="8.3125" style="17" customWidth="1"/>
    <col min="8169" max="8170" width="0" style="17" hidden="1" customWidth="1"/>
    <col min="8171" max="8171" width="4.875" style="17" customWidth="1"/>
    <col min="8172" max="8172" width="7.875" style="17" customWidth="1"/>
    <col min="8173" max="8173" width="6.3125" style="17" customWidth="1"/>
    <col min="8174" max="8174" width="12.3125" style="17" customWidth="1"/>
    <col min="8175" max="8177" width="11.3125" style="17" customWidth="1"/>
    <col min="8178" max="8178" width="10.3125" style="17" customWidth="1"/>
    <col min="8179" max="8179" width="11.3125" style="17" customWidth="1"/>
    <col min="8180" max="8180" width="0" style="17" hidden="1" customWidth="1"/>
    <col min="8181" max="8181" width="13.6875" style="17" bestFit="1" customWidth="1"/>
    <col min="8182" max="8182" width="13" style="17" customWidth="1"/>
    <col min="8183" max="8183" width="14.6875" style="17" customWidth="1"/>
    <col min="8184" max="8184" width="5.875" style="17" customWidth="1"/>
    <col min="8185" max="8185" width="4.6875" style="17" customWidth="1"/>
    <col min="8186" max="8186" width="8.6875" style="17" customWidth="1"/>
    <col min="8187" max="8187" width="10.3125" style="17" customWidth="1"/>
    <col min="8188" max="8188" width="9" style="17" customWidth="1"/>
    <col min="8189" max="8189" width="12.125" style="17" customWidth="1"/>
    <col min="8190" max="8191" width="10.6875" style="17" customWidth="1"/>
    <col min="8192" max="8192" width="10.3125" style="17" customWidth="1"/>
    <col min="8193" max="8193" width="11.6875" style="17" customWidth="1"/>
    <col min="8194" max="8194" width="13.6875" style="17" customWidth="1"/>
    <col min="8195" max="8195" width="26.1875" style="17" customWidth="1"/>
    <col min="8196" max="8196" width="14.6875" style="17" customWidth="1"/>
    <col min="8197" max="8422" width="5.6875" style="17"/>
    <col min="8423" max="8423" width="4.6875" style="17" customWidth="1"/>
    <col min="8424" max="8424" width="8.3125" style="17" customWidth="1"/>
    <col min="8425" max="8426" width="0" style="17" hidden="1" customWidth="1"/>
    <col min="8427" max="8427" width="4.875" style="17" customWidth="1"/>
    <col min="8428" max="8428" width="7.875" style="17" customWidth="1"/>
    <col min="8429" max="8429" width="6.3125" style="17" customWidth="1"/>
    <col min="8430" max="8430" width="12.3125" style="17" customWidth="1"/>
    <col min="8431" max="8433" width="11.3125" style="17" customWidth="1"/>
    <col min="8434" max="8434" width="10.3125" style="17" customWidth="1"/>
    <col min="8435" max="8435" width="11.3125" style="17" customWidth="1"/>
    <col min="8436" max="8436" width="0" style="17" hidden="1" customWidth="1"/>
    <col min="8437" max="8437" width="13.6875" style="17" bestFit="1" customWidth="1"/>
    <col min="8438" max="8438" width="13" style="17" customWidth="1"/>
    <col min="8439" max="8439" width="14.6875" style="17" customWidth="1"/>
    <col min="8440" max="8440" width="5.875" style="17" customWidth="1"/>
    <col min="8441" max="8441" width="4.6875" style="17" customWidth="1"/>
    <col min="8442" max="8442" width="8.6875" style="17" customWidth="1"/>
    <col min="8443" max="8443" width="10.3125" style="17" customWidth="1"/>
    <col min="8444" max="8444" width="9" style="17" customWidth="1"/>
    <col min="8445" max="8445" width="12.125" style="17" customWidth="1"/>
    <col min="8446" max="8447" width="10.6875" style="17" customWidth="1"/>
    <col min="8448" max="8448" width="10.3125" style="17" customWidth="1"/>
    <col min="8449" max="8449" width="11.6875" style="17" customWidth="1"/>
    <col min="8450" max="8450" width="13.6875" style="17" customWidth="1"/>
    <col min="8451" max="8451" width="26.1875" style="17" customWidth="1"/>
    <col min="8452" max="8452" width="14.6875" style="17" customWidth="1"/>
    <col min="8453" max="8678" width="5.6875" style="17"/>
    <col min="8679" max="8679" width="4.6875" style="17" customWidth="1"/>
    <col min="8680" max="8680" width="8.3125" style="17" customWidth="1"/>
    <col min="8681" max="8682" width="0" style="17" hidden="1" customWidth="1"/>
    <col min="8683" max="8683" width="4.875" style="17" customWidth="1"/>
    <col min="8684" max="8684" width="7.875" style="17" customWidth="1"/>
    <col min="8685" max="8685" width="6.3125" style="17" customWidth="1"/>
    <col min="8686" max="8686" width="12.3125" style="17" customWidth="1"/>
    <col min="8687" max="8689" width="11.3125" style="17" customWidth="1"/>
    <col min="8690" max="8690" width="10.3125" style="17" customWidth="1"/>
    <col min="8691" max="8691" width="11.3125" style="17" customWidth="1"/>
    <col min="8692" max="8692" width="0" style="17" hidden="1" customWidth="1"/>
    <col min="8693" max="8693" width="13.6875" style="17" bestFit="1" customWidth="1"/>
    <col min="8694" max="8694" width="13" style="17" customWidth="1"/>
    <col min="8695" max="8695" width="14.6875" style="17" customWidth="1"/>
    <col min="8696" max="8696" width="5.875" style="17" customWidth="1"/>
    <col min="8697" max="8697" width="4.6875" style="17" customWidth="1"/>
    <col min="8698" max="8698" width="8.6875" style="17" customWidth="1"/>
    <col min="8699" max="8699" width="10.3125" style="17" customWidth="1"/>
    <col min="8700" max="8700" width="9" style="17" customWidth="1"/>
    <col min="8701" max="8701" width="12.125" style="17" customWidth="1"/>
    <col min="8702" max="8703" width="10.6875" style="17" customWidth="1"/>
    <col min="8704" max="8704" width="10.3125" style="17" customWidth="1"/>
    <col min="8705" max="8705" width="11.6875" style="17" customWidth="1"/>
    <col min="8706" max="8706" width="13.6875" style="17" customWidth="1"/>
    <col min="8707" max="8707" width="26.1875" style="17" customWidth="1"/>
    <col min="8708" max="8708" width="14.6875" style="17" customWidth="1"/>
    <col min="8709" max="8934" width="5.6875" style="17"/>
    <col min="8935" max="8935" width="4.6875" style="17" customWidth="1"/>
    <col min="8936" max="8936" width="8.3125" style="17" customWidth="1"/>
    <col min="8937" max="8938" width="0" style="17" hidden="1" customWidth="1"/>
    <col min="8939" max="8939" width="4.875" style="17" customWidth="1"/>
    <col min="8940" max="8940" width="7.875" style="17" customWidth="1"/>
    <col min="8941" max="8941" width="6.3125" style="17" customWidth="1"/>
    <col min="8942" max="8942" width="12.3125" style="17" customWidth="1"/>
    <col min="8943" max="8945" width="11.3125" style="17" customWidth="1"/>
    <col min="8946" max="8946" width="10.3125" style="17" customWidth="1"/>
    <col min="8947" max="8947" width="11.3125" style="17" customWidth="1"/>
    <col min="8948" max="8948" width="0" style="17" hidden="1" customWidth="1"/>
    <col min="8949" max="8949" width="13.6875" style="17" bestFit="1" customWidth="1"/>
    <col min="8950" max="8950" width="13" style="17" customWidth="1"/>
    <col min="8951" max="8951" width="14.6875" style="17" customWidth="1"/>
    <col min="8952" max="8952" width="5.875" style="17" customWidth="1"/>
    <col min="8953" max="8953" width="4.6875" style="17" customWidth="1"/>
    <col min="8954" max="8954" width="8.6875" style="17" customWidth="1"/>
    <col min="8955" max="8955" width="10.3125" style="17" customWidth="1"/>
    <col min="8956" max="8956" width="9" style="17" customWidth="1"/>
    <col min="8957" max="8957" width="12.125" style="17" customWidth="1"/>
    <col min="8958" max="8959" width="10.6875" style="17" customWidth="1"/>
    <col min="8960" max="8960" width="10.3125" style="17" customWidth="1"/>
    <col min="8961" max="8961" width="11.6875" style="17" customWidth="1"/>
    <col min="8962" max="8962" width="13.6875" style="17" customWidth="1"/>
    <col min="8963" max="8963" width="26.1875" style="17" customWidth="1"/>
    <col min="8964" max="8964" width="14.6875" style="17" customWidth="1"/>
    <col min="8965" max="9190" width="5.6875" style="17"/>
    <col min="9191" max="9191" width="4.6875" style="17" customWidth="1"/>
    <col min="9192" max="9192" width="8.3125" style="17" customWidth="1"/>
    <col min="9193" max="9194" width="0" style="17" hidden="1" customWidth="1"/>
    <col min="9195" max="9195" width="4.875" style="17" customWidth="1"/>
    <col min="9196" max="9196" width="7.875" style="17" customWidth="1"/>
    <col min="9197" max="9197" width="6.3125" style="17" customWidth="1"/>
    <col min="9198" max="9198" width="12.3125" style="17" customWidth="1"/>
    <col min="9199" max="9201" width="11.3125" style="17" customWidth="1"/>
    <col min="9202" max="9202" width="10.3125" style="17" customWidth="1"/>
    <col min="9203" max="9203" width="11.3125" style="17" customWidth="1"/>
    <col min="9204" max="9204" width="0" style="17" hidden="1" customWidth="1"/>
    <col min="9205" max="9205" width="13.6875" style="17" bestFit="1" customWidth="1"/>
    <col min="9206" max="9206" width="13" style="17" customWidth="1"/>
    <col min="9207" max="9207" width="14.6875" style="17" customWidth="1"/>
    <col min="9208" max="9208" width="5.875" style="17" customWidth="1"/>
    <col min="9209" max="9209" width="4.6875" style="17" customWidth="1"/>
    <col min="9210" max="9210" width="8.6875" style="17" customWidth="1"/>
    <col min="9211" max="9211" width="10.3125" style="17" customWidth="1"/>
    <col min="9212" max="9212" width="9" style="17" customWidth="1"/>
    <col min="9213" max="9213" width="12.125" style="17" customWidth="1"/>
    <col min="9214" max="9215" width="10.6875" style="17" customWidth="1"/>
    <col min="9216" max="9216" width="10.3125" style="17" customWidth="1"/>
    <col min="9217" max="9217" width="11.6875" style="17" customWidth="1"/>
    <col min="9218" max="9218" width="13.6875" style="17" customWidth="1"/>
    <col min="9219" max="9219" width="26.1875" style="17" customWidth="1"/>
    <col min="9220" max="9220" width="14.6875" style="17" customWidth="1"/>
    <col min="9221" max="9446" width="5.6875" style="17"/>
    <col min="9447" max="9447" width="4.6875" style="17" customWidth="1"/>
    <col min="9448" max="9448" width="8.3125" style="17" customWidth="1"/>
    <col min="9449" max="9450" width="0" style="17" hidden="1" customWidth="1"/>
    <col min="9451" max="9451" width="4.875" style="17" customWidth="1"/>
    <col min="9452" max="9452" width="7.875" style="17" customWidth="1"/>
    <col min="9453" max="9453" width="6.3125" style="17" customWidth="1"/>
    <col min="9454" max="9454" width="12.3125" style="17" customWidth="1"/>
    <col min="9455" max="9457" width="11.3125" style="17" customWidth="1"/>
    <col min="9458" max="9458" width="10.3125" style="17" customWidth="1"/>
    <col min="9459" max="9459" width="11.3125" style="17" customWidth="1"/>
    <col min="9460" max="9460" width="0" style="17" hidden="1" customWidth="1"/>
    <col min="9461" max="9461" width="13.6875" style="17" bestFit="1" customWidth="1"/>
    <col min="9462" max="9462" width="13" style="17" customWidth="1"/>
    <col min="9463" max="9463" width="14.6875" style="17" customWidth="1"/>
    <col min="9464" max="9464" width="5.875" style="17" customWidth="1"/>
    <col min="9465" max="9465" width="4.6875" style="17" customWidth="1"/>
    <col min="9466" max="9466" width="8.6875" style="17" customWidth="1"/>
    <col min="9467" max="9467" width="10.3125" style="17" customWidth="1"/>
    <col min="9468" max="9468" width="9" style="17" customWidth="1"/>
    <col min="9469" max="9469" width="12.125" style="17" customWidth="1"/>
    <col min="9470" max="9471" width="10.6875" style="17" customWidth="1"/>
    <col min="9472" max="9472" width="10.3125" style="17" customWidth="1"/>
    <col min="9473" max="9473" width="11.6875" style="17" customWidth="1"/>
    <col min="9474" max="9474" width="13.6875" style="17" customWidth="1"/>
    <col min="9475" max="9475" width="26.1875" style="17" customWidth="1"/>
    <col min="9476" max="9476" width="14.6875" style="17" customWidth="1"/>
    <col min="9477" max="9702" width="5.6875" style="17"/>
    <col min="9703" max="9703" width="4.6875" style="17" customWidth="1"/>
    <col min="9704" max="9704" width="8.3125" style="17" customWidth="1"/>
    <col min="9705" max="9706" width="0" style="17" hidden="1" customWidth="1"/>
    <col min="9707" max="9707" width="4.875" style="17" customWidth="1"/>
    <col min="9708" max="9708" width="7.875" style="17" customWidth="1"/>
    <col min="9709" max="9709" width="6.3125" style="17" customWidth="1"/>
    <col min="9710" max="9710" width="12.3125" style="17" customWidth="1"/>
    <col min="9711" max="9713" width="11.3125" style="17" customWidth="1"/>
    <col min="9714" max="9714" width="10.3125" style="17" customWidth="1"/>
    <col min="9715" max="9715" width="11.3125" style="17" customWidth="1"/>
    <col min="9716" max="9716" width="0" style="17" hidden="1" customWidth="1"/>
    <col min="9717" max="9717" width="13.6875" style="17" bestFit="1" customWidth="1"/>
    <col min="9718" max="9718" width="13" style="17" customWidth="1"/>
    <col min="9719" max="9719" width="14.6875" style="17" customWidth="1"/>
    <col min="9720" max="9720" width="5.875" style="17" customWidth="1"/>
    <col min="9721" max="9721" width="4.6875" style="17" customWidth="1"/>
    <col min="9722" max="9722" width="8.6875" style="17" customWidth="1"/>
    <col min="9723" max="9723" width="10.3125" style="17" customWidth="1"/>
    <col min="9724" max="9724" width="9" style="17" customWidth="1"/>
    <col min="9725" max="9725" width="12.125" style="17" customWidth="1"/>
    <col min="9726" max="9727" width="10.6875" style="17" customWidth="1"/>
    <col min="9728" max="9728" width="10.3125" style="17" customWidth="1"/>
    <col min="9729" max="9729" width="11.6875" style="17" customWidth="1"/>
    <col min="9730" max="9730" width="13.6875" style="17" customWidth="1"/>
    <col min="9731" max="9731" width="26.1875" style="17" customWidth="1"/>
    <col min="9732" max="9732" width="14.6875" style="17" customWidth="1"/>
    <col min="9733" max="9958" width="5.6875" style="17"/>
    <col min="9959" max="9959" width="4.6875" style="17" customWidth="1"/>
    <col min="9960" max="9960" width="8.3125" style="17" customWidth="1"/>
    <col min="9961" max="9962" width="0" style="17" hidden="1" customWidth="1"/>
    <col min="9963" max="9963" width="4.875" style="17" customWidth="1"/>
    <col min="9964" max="9964" width="7.875" style="17" customWidth="1"/>
    <col min="9965" max="9965" width="6.3125" style="17" customWidth="1"/>
    <col min="9966" max="9966" width="12.3125" style="17" customWidth="1"/>
    <col min="9967" max="9969" width="11.3125" style="17" customWidth="1"/>
    <col min="9970" max="9970" width="10.3125" style="17" customWidth="1"/>
    <col min="9971" max="9971" width="11.3125" style="17" customWidth="1"/>
    <col min="9972" max="9972" width="0" style="17" hidden="1" customWidth="1"/>
    <col min="9973" max="9973" width="13.6875" style="17" bestFit="1" customWidth="1"/>
    <col min="9974" max="9974" width="13" style="17" customWidth="1"/>
    <col min="9975" max="9975" width="14.6875" style="17" customWidth="1"/>
    <col min="9976" max="9976" width="5.875" style="17" customWidth="1"/>
    <col min="9977" max="9977" width="4.6875" style="17" customWidth="1"/>
    <col min="9978" max="9978" width="8.6875" style="17" customWidth="1"/>
    <col min="9979" max="9979" width="10.3125" style="17" customWidth="1"/>
    <col min="9980" max="9980" width="9" style="17" customWidth="1"/>
    <col min="9981" max="9981" width="12.125" style="17" customWidth="1"/>
    <col min="9982" max="9983" width="10.6875" style="17" customWidth="1"/>
    <col min="9984" max="9984" width="10.3125" style="17" customWidth="1"/>
    <col min="9985" max="9985" width="11.6875" style="17" customWidth="1"/>
    <col min="9986" max="9986" width="13.6875" style="17" customWidth="1"/>
    <col min="9987" max="9987" width="26.1875" style="17" customWidth="1"/>
    <col min="9988" max="9988" width="14.6875" style="17" customWidth="1"/>
    <col min="9989" max="10214" width="5.6875" style="17"/>
    <col min="10215" max="10215" width="4.6875" style="17" customWidth="1"/>
    <col min="10216" max="10216" width="8.3125" style="17" customWidth="1"/>
    <col min="10217" max="10218" width="0" style="17" hidden="1" customWidth="1"/>
    <col min="10219" max="10219" width="4.875" style="17" customWidth="1"/>
    <col min="10220" max="10220" width="7.875" style="17" customWidth="1"/>
    <col min="10221" max="10221" width="6.3125" style="17" customWidth="1"/>
    <col min="10222" max="10222" width="12.3125" style="17" customWidth="1"/>
    <col min="10223" max="10225" width="11.3125" style="17" customWidth="1"/>
    <col min="10226" max="10226" width="10.3125" style="17" customWidth="1"/>
    <col min="10227" max="10227" width="11.3125" style="17" customWidth="1"/>
    <col min="10228" max="10228" width="0" style="17" hidden="1" customWidth="1"/>
    <col min="10229" max="10229" width="13.6875" style="17" bestFit="1" customWidth="1"/>
    <col min="10230" max="10230" width="13" style="17" customWidth="1"/>
    <col min="10231" max="10231" width="14.6875" style="17" customWidth="1"/>
    <col min="10232" max="10232" width="5.875" style="17" customWidth="1"/>
    <col min="10233" max="10233" width="4.6875" style="17" customWidth="1"/>
    <col min="10234" max="10234" width="8.6875" style="17" customWidth="1"/>
    <col min="10235" max="10235" width="10.3125" style="17" customWidth="1"/>
    <col min="10236" max="10236" width="9" style="17" customWidth="1"/>
    <col min="10237" max="10237" width="12.125" style="17" customWidth="1"/>
    <col min="10238" max="10239" width="10.6875" style="17" customWidth="1"/>
    <col min="10240" max="10240" width="10.3125" style="17" customWidth="1"/>
    <col min="10241" max="10241" width="11.6875" style="17" customWidth="1"/>
    <col min="10242" max="10242" width="13.6875" style="17" customWidth="1"/>
    <col min="10243" max="10243" width="26.1875" style="17" customWidth="1"/>
    <col min="10244" max="10244" width="14.6875" style="17" customWidth="1"/>
    <col min="10245" max="10470" width="5.6875" style="17"/>
    <col min="10471" max="10471" width="4.6875" style="17" customWidth="1"/>
    <col min="10472" max="10472" width="8.3125" style="17" customWidth="1"/>
    <col min="10473" max="10474" width="0" style="17" hidden="1" customWidth="1"/>
    <col min="10475" max="10475" width="4.875" style="17" customWidth="1"/>
    <col min="10476" max="10476" width="7.875" style="17" customWidth="1"/>
    <col min="10477" max="10477" width="6.3125" style="17" customWidth="1"/>
    <col min="10478" max="10478" width="12.3125" style="17" customWidth="1"/>
    <col min="10479" max="10481" width="11.3125" style="17" customWidth="1"/>
    <col min="10482" max="10482" width="10.3125" style="17" customWidth="1"/>
    <col min="10483" max="10483" width="11.3125" style="17" customWidth="1"/>
    <col min="10484" max="10484" width="0" style="17" hidden="1" customWidth="1"/>
    <col min="10485" max="10485" width="13.6875" style="17" bestFit="1" customWidth="1"/>
    <col min="10486" max="10486" width="13" style="17" customWidth="1"/>
    <col min="10487" max="10487" width="14.6875" style="17" customWidth="1"/>
    <col min="10488" max="10488" width="5.875" style="17" customWidth="1"/>
    <col min="10489" max="10489" width="4.6875" style="17" customWidth="1"/>
    <col min="10490" max="10490" width="8.6875" style="17" customWidth="1"/>
    <col min="10491" max="10491" width="10.3125" style="17" customWidth="1"/>
    <col min="10492" max="10492" width="9" style="17" customWidth="1"/>
    <col min="10493" max="10493" width="12.125" style="17" customWidth="1"/>
    <col min="10494" max="10495" width="10.6875" style="17" customWidth="1"/>
    <col min="10496" max="10496" width="10.3125" style="17" customWidth="1"/>
    <col min="10497" max="10497" width="11.6875" style="17" customWidth="1"/>
    <col min="10498" max="10498" width="13.6875" style="17" customWidth="1"/>
    <col min="10499" max="10499" width="26.1875" style="17" customWidth="1"/>
    <col min="10500" max="10500" width="14.6875" style="17" customWidth="1"/>
    <col min="10501" max="10726" width="5.6875" style="17"/>
    <col min="10727" max="10727" width="4.6875" style="17" customWidth="1"/>
    <col min="10728" max="10728" width="8.3125" style="17" customWidth="1"/>
    <col min="10729" max="10730" width="0" style="17" hidden="1" customWidth="1"/>
    <col min="10731" max="10731" width="4.875" style="17" customWidth="1"/>
    <col min="10732" max="10732" width="7.875" style="17" customWidth="1"/>
    <col min="10733" max="10733" width="6.3125" style="17" customWidth="1"/>
    <col min="10734" max="10734" width="12.3125" style="17" customWidth="1"/>
    <col min="10735" max="10737" width="11.3125" style="17" customWidth="1"/>
    <col min="10738" max="10738" width="10.3125" style="17" customWidth="1"/>
    <col min="10739" max="10739" width="11.3125" style="17" customWidth="1"/>
    <col min="10740" max="10740" width="0" style="17" hidden="1" customWidth="1"/>
    <col min="10741" max="10741" width="13.6875" style="17" bestFit="1" customWidth="1"/>
    <col min="10742" max="10742" width="13" style="17" customWidth="1"/>
    <col min="10743" max="10743" width="14.6875" style="17" customWidth="1"/>
    <col min="10744" max="10744" width="5.875" style="17" customWidth="1"/>
    <col min="10745" max="10745" width="4.6875" style="17" customWidth="1"/>
    <col min="10746" max="10746" width="8.6875" style="17" customWidth="1"/>
    <col min="10747" max="10747" width="10.3125" style="17" customWidth="1"/>
    <col min="10748" max="10748" width="9" style="17" customWidth="1"/>
    <col min="10749" max="10749" width="12.125" style="17" customWidth="1"/>
    <col min="10750" max="10751" width="10.6875" style="17" customWidth="1"/>
    <col min="10752" max="10752" width="10.3125" style="17" customWidth="1"/>
    <col min="10753" max="10753" width="11.6875" style="17" customWidth="1"/>
    <col min="10754" max="10754" width="13.6875" style="17" customWidth="1"/>
    <col min="10755" max="10755" width="26.1875" style="17" customWidth="1"/>
    <col min="10756" max="10756" width="14.6875" style="17" customWidth="1"/>
    <col min="10757" max="10982" width="5.6875" style="17"/>
    <col min="10983" max="10983" width="4.6875" style="17" customWidth="1"/>
    <col min="10984" max="10984" width="8.3125" style="17" customWidth="1"/>
    <col min="10985" max="10986" width="0" style="17" hidden="1" customWidth="1"/>
    <col min="10987" max="10987" width="4.875" style="17" customWidth="1"/>
    <col min="10988" max="10988" width="7.875" style="17" customWidth="1"/>
    <col min="10989" max="10989" width="6.3125" style="17" customWidth="1"/>
    <col min="10990" max="10990" width="12.3125" style="17" customWidth="1"/>
    <col min="10991" max="10993" width="11.3125" style="17" customWidth="1"/>
    <col min="10994" max="10994" width="10.3125" style="17" customWidth="1"/>
    <col min="10995" max="10995" width="11.3125" style="17" customWidth="1"/>
    <col min="10996" max="10996" width="0" style="17" hidden="1" customWidth="1"/>
    <col min="10997" max="10997" width="13.6875" style="17" bestFit="1" customWidth="1"/>
    <col min="10998" max="10998" width="13" style="17" customWidth="1"/>
    <col min="10999" max="10999" width="14.6875" style="17" customWidth="1"/>
    <col min="11000" max="11000" width="5.875" style="17" customWidth="1"/>
    <col min="11001" max="11001" width="4.6875" style="17" customWidth="1"/>
    <col min="11002" max="11002" width="8.6875" style="17" customWidth="1"/>
    <col min="11003" max="11003" width="10.3125" style="17" customWidth="1"/>
    <col min="11004" max="11004" width="9" style="17" customWidth="1"/>
    <col min="11005" max="11005" width="12.125" style="17" customWidth="1"/>
    <col min="11006" max="11007" width="10.6875" style="17" customWidth="1"/>
    <col min="11008" max="11008" width="10.3125" style="17" customWidth="1"/>
    <col min="11009" max="11009" width="11.6875" style="17" customWidth="1"/>
    <col min="11010" max="11010" width="13.6875" style="17" customWidth="1"/>
    <col min="11011" max="11011" width="26.1875" style="17" customWidth="1"/>
    <col min="11012" max="11012" width="14.6875" style="17" customWidth="1"/>
    <col min="11013" max="11238" width="5.6875" style="17"/>
    <col min="11239" max="11239" width="4.6875" style="17" customWidth="1"/>
    <col min="11240" max="11240" width="8.3125" style="17" customWidth="1"/>
    <col min="11241" max="11242" width="0" style="17" hidden="1" customWidth="1"/>
    <col min="11243" max="11243" width="4.875" style="17" customWidth="1"/>
    <col min="11244" max="11244" width="7.875" style="17" customWidth="1"/>
    <col min="11245" max="11245" width="6.3125" style="17" customWidth="1"/>
    <col min="11246" max="11246" width="12.3125" style="17" customWidth="1"/>
    <col min="11247" max="11249" width="11.3125" style="17" customWidth="1"/>
    <col min="11250" max="11250" width="10.3125" style="17" customWidth="1"/>
    <col min="11251" max="11251" width="11.3125" style="17" customWidth="1"/>
    <col min="11252" max="11252" width="0" style="17" hidden="1" customWidth="1"/>
    <col min="11253" max="11253" width="13.6875" style="17" bestFit="1" customWidth="1"/>
    <col min="11254" max="11254" width="13" style="17" customWidth="1"/>
    <col min="11255" max="11255" width="14.6875" style="17" customWidth="1"/>
    <col min="11256" max="11256" width="5.875" style="17" customWidth="1"/>
    <col min="11257" max="11257" width="4.6875" style="17" customWidth="1"/>
    <col min="11258" max="11258" width="8.6875" style="17" customWidth="1"/>
    <col min="11259" max="11259" width="10.3125" style="17" customWidth="1"/>
    <col min="11260" max="11260" width="9" style="17" customWidth="1"/>
    <col min="11261" max="11261" width="12.125" style="17" customWidth="1"/>
    <col min="11262" max="11263" width="10.6875" style="17" customWidth="1"/>
    <col min="11264" max="11264" width="10.3125" style="17" customWidth="1"/>
    <col min="11265" max="11265" width="11.6875" style="17" customWidth="1"/>
    <col min="11266" max="11266" width="13.6875" style="17" customWidth="1"/>
    <col min="11267" max="11267" width="26.1875" style="17" customWidth="1"/>
    <col min="11268" max="11268" width="14.6875" style="17" customWidth="1"/>
    <col min="11269" max="11494" width="5.6875" style="17"/>
    <col min="11495" max="11495" width="4.6875" style="17" customWidth="1"/>
    <col min="11496" max="11496" width="8.3125" style="17" customWidth="1"/>
    <col min="11497" max="11498" width="0" style="17" hidden="1" customWidth="1"/>
    <col min="11499" max="11499" width="4.875" style="17" customWidth="1"/>
    <col min="11500" max="11500" width="7.875" style="17" customWidth="1"/>
    <col min="11501" max="11501" width="6.3125" style="17" customWidth="1"/>
    <col min="11502" max="11502" width="12.3125" style="17" customWidth="1"/>
    <col min="11503" max="11505" width="11.3125" style="17" customWidth="1"/>
    <col min="11506" max="11506" width="10.3125" style="17" customWidth="1"/>
    <col min="11507" max="11507" width="11.3125" style="17" customWidth="1"/>
    <col min="11508" max="11508" width="0" style="17" hidden="1" customWidth="1"/>
    <col min="11509" max="11509" width="13.6875" style="17" bestFit="1" customWidth="1"/>
    <col min="11510" max="11510" width="13" style="17" customWidth="1"/>
    <col min="11511" max="11511" width="14.6875" style="17" customWidth="1"/>
    <col min="11512" max="11512" width="5.875" style="17" customWidth="1"/>
    <col min="11513" max="11513" width="4.6875" style="17" customWidth="1"/>
    <col min="11514" max="11514" width="8.6875" style="17" customWidth="1"/>
    <col min="11515" max="11515" width="10.3125" style="17" customWidth="1"/>
    <col min="11516" max="11516" width="9" style="17" customWidth="1"/>
    <col min="11517" max="11517" width="12.125" style="17" customWidth="1"/>
    <col min="11518" max="11519" width="10.6875" style="17" customWidth="1"/>
    <col min="11520" max="11520" width="10.3125" style="17" customWidth="1"/>
    <col min="11521" max="11521" width="11.6875" style="17" customWidth="1"/>
    <col min="11522" max="11522" width="13.6875" style="17" customWidth="1"/>
    <col min="11523" max="11523" width="26.1875" style="17" customWidth="1"/>
    <col min="11524" max="11524" width="14.6875" style="17" customWidth="1"/>
    <col min="11525" max="11750" width="5.6875" style="17"/>
    <col min="11751" max="11751" width="4.6875" style="17" customWidth="1"/>
    <col min="11752" max="11752" width="8.3125" style="17" customWidth="1"/>
    <col min="11753" max="11754" width="0" style="17" hidden="1" customWidth="1"/>
    <col min="11755" max="11755" width="4.875" style="17" customWidth="1"/>
    <col min="11756" max="11756" width="7.875" style="17" customWidth="1"/>
    <col min="11757" max="11757" width="6.3125" style="17" customWidth="1"/>
    <col min="11758" max="11758" width="12.3125" style="17" customWidth="1"/>
    <col min="11759" max="11761" width="11.3125" style="17" customWidth="1"/>
    <col min="11762" max="11762" width="10.3125" style="17" customWidth="1"/>
    <col min="11763" max="11763" width="11.3125" style="17" customWidth="1"/>
    <col min="11764" max="11764" width="0" style="17" hidden="1" customWidth="1"/>
    <col min="11765" max="11765" width="13.6875" style="17" bestFit="1" customWidth="1"/>
    <col min="11766" max="11766" width="13" style="17" customWidth="1"/>
    <col min="11767" max="11767" width="14.6875" style="17" customWidth="1"/>
    <col min="11768" max="11768" width="5.875" style="17" customWidth="1"/>
    <col min="11769" max="11769" width="4.6875" style="17" customWidth="1"/>
    <col min="11770" max="11770" width="8.6875" style="17" customWidth="1"/>
    <col min="11771" max="11771" width="10.3125" style="17" customWidth="1"/>
    <col min="11772" max="11772" width="9" style="17" customWidth="1"/>
    <col min="11773" max="11773" width="12.125" style="17" customWidth="1"/>
    <col min="11774" max="11775" width="10.6875" style="17" customWidth="1"/>
    <col min="11776" max="11776" width="10.3125" style="17" customWidth="1"/>
    <col min="11777" max="11777" width="11.6875" style="17" customWidth="1"/>
    <col min="11778" max="11778" width="13.6875" style="17" customWidth="1"/>
    <col min="11779" max="11779" width="26.1875" style="17" customWidth="1"/>
    <col min="11780" max="11780" width="14.6875" style="17" customWidth="1"/>
    <col min="11781" max="12006" width="5.6875" style="17"/>
    <col min="12007" max="12007" width="4.6875" style="17" customWidth="1"/>
    <col min="12008" max="12008" width="8.3125" style="17" customWidth="1"/>
    <col min="12009" max="12010" width="0" style="17" hidden="1" customWidth="1"/>
    <col min="12011" max="12011" width="4.875" style="17" customWidth="1"/>
    <col min="12012" max="12012" width="7.875" style="17" customWidth="1"/>
    <col min="12013" max="12013" width="6.3125" style="17" customWidth="1"/>
    <col min="12014" max="12014" width="12.3125" style="17" customWidth="1"/>
    <col min="12015" max="12017" width="11.3125" style="17" customWidth="1"/>
    <col min="12018" max="12018" width="10.3125" style="17" customWidth="1"/>
    <col min="12019" max="12019" width="11.3125" style="17" customWidth="1"/>
    <col min="12020" max="12020" width="0" style="17" hidden="1" customWidth="1"/>
    <col min="12021" max="12021" width="13.6875" style="17" bestFit="1" customWidth="1"/>
    <col min="12022" max="12022" width="13" style="17" customWidth="1"/>
    <col min="12023" max="12023" width="14.6875" style="17" customWidth="1"/>
    <col min="12024" max="12024" width="5.875" style="17" customWidth="1"/>
    <col min="12025" max="12025" width="4.6875" style="17" customWidth="1"/>
    <col min="12026" max="12026" width="8.6875" style="17" customWidth="1"/>
    <col min="12027" max="12027" width="10.3125" style="17" customWidth="1"/>
    <col min="12028" max="12028" width="9" style="17" customWidth="1"/>
    <col min="12029" max="12029" width="12.125" style="17" customWidth="1"/>
    <col min="12030" max="12031" width="10.6875" style="17" customWidth="1"/>
    <col min="12032" max="12032" width="10.3125" style="17" customWidth="1"/>
    <col min="12033" max="12033" width="11.6875" style="17" customWidth="1"/>
    <col min="12034" max="12034" width="13.6875" style="17" customWidth="1"/>
    <col min="12035" max="12035" width="26.1875" style="17" customWidth="1"/>
    <col min="12036" max="12036" width="14.6875" style="17" customWidth="1"/>
    <col min="12037" max="12262" width="5.6875" style="17"/>
    <col min="12263" max="12263" width="4.6875" style="17" customWidth="1"/>
    <col min="12264" max="12264" width="8.3125" style="17" customWidth="1"/>
    <col min="12265" max="12266" width="0" style="17" hidden="1" customWidth="1"/>
    <col min="12267" max="12267" width="4.875" style="17" customWidth="1"/>
    <col min="12268" max="12268" width="7.875" style="17" customWidth="1"/>
    <col min="12269" max="12269" width="6.3125" style="17" customWidth="1"/>
    <col min="12270" max="12270" width="12.3125" style="17" customWidth="1"/>
    <col min="12271" max="12273" width="11.3125" style="17" customWidth="1"/>
    <col min="12274" max="12274" width="10.3125" style="17" customWidth="1"/>
    <col min="12275" max="12275" width="11.3125" style="17" customWidth="1"/>
    <col min="12276" max="12276" width="0" style="17" hidden="1" customWidth="1"/>
    <col min="12277" max="12277" width="13.6875" style="17" bestFit="1" customWidth="1"/>
    <col min="12278" max="12278" width="13" style="17" customWidth="1"/>
    <col min="12279" max="12279" width="14.6875" style="17" customWidth="1"/>
    <col min="12280" max="12280" width="5.875" style="17" customWidth="1"/>
    <col min="12281" max="12281" width="4.6875" style="17" customWidth="1"/>
    <col min="12282" max="12282" width="8.6875" style="17" customWidth="1"/>
    <col min="12283" max="12283" width="10.3125" style="17" customWidth="1"/>
    <col min="12284" max="12284" width="9" style="17" customWidth="1"/>
    <col min="12285" max="12285" width="12.125" style="17" customWidth="1"/>
    <col min="12286" max="12287" width="10.6875" style="17" customWidth="1"/>
    <col min="12288" max="12288" width="10.3125" style="17" customWidth="1"/>
    <col min="12289" max="12289" width="11.6875" style="17" customWidth="1"/>
    <col min="12290" max="12290" width="13.6875" style="17" customWidth="1"/>
    <col min="12291" max="12291" width="26.1875" style="17" customWidth="1"/>
    <col min="12292" max="12292" width="14.6875" style="17" customWidth="1"/>
    <col min="12293" max="12518" width="5.6875" style="17"/>
    <col min="12519" max="12519" width="4.6875" style="17" customWidth="1"/>
    <col min="12520" max="12520" width="8.3125" style="17" customWidth="1"/>
    <col min="12521" max="12522" width="0" style="17" hidden="1" customWidth="1"/>
    <col min="12523" max="12523" width="4.875" style="17" customWidth="1"/>
    <col min="12524" max="12524" width="7.875" style="17" customWidth="1"/>
    <col min="12525" max="12525" width="6.3125" style="17" customWidth="1"/>
    <col min="12526" max="12526" width="12.3125" style="17" customWidth="1"/>
    <col min="12527" max="12529" width="11.3125" style="17" customWidth="1"/>
    <col min="12530" max="12530" width="10.3125" style="17" customWidth="1"/>
    <col min="12531" max="12531" width="11.3125" style="17" customWidth="1"/>
    <col min="12532" max="12532" width="0" style="17" hidden="1" customWidth="1"/>
    <col min="12533" max="12533" width="13.6875" style="17" bestFit="1" customWidth="1"/>
    <col min="12534" max="12534" width="13" style="17" customWidth="1"/>
    <col min="12535" max="12535" width="14.6875" style="17" customWidth="1"/>
    <col min="12536" max="12536" width="5.875" style="17" customWidth="1"/>
    <col min="12537" max="12537" width="4.6875" style="17" customWidth="1"/>
    <col min="12538" max="12538" width="8.6875" style="17" customWidth="1"/>
    <col min="12539" max="12539" width="10.3125" style="17" customWidth="1"/>
    <col min="12540" max="12540" width="9" style="17" customWidth="1"/>
    <col min="12541" max="12541" width="12.125" style="17" customWidth="1"/>
    <col min="12542" max="12543" width="10.6875" style="17" customWidth="1"/>
    <col min="12544" max="12544" width="10.3125" style="17" customWidth="1"/>
    <col min="12545" max="12545" width="11.6875" style="17" customWidth="1"/>
    <col min="12546" max="12546" width="13.6875" style="17" customWidth="1"/>
    <col min="12547" max="12547" width="26.1875" style="17" customWidth="1"/>
    <col min="12548" max="12548" width="14.6875" style="17" customWidth="1"/>
    <col min="12549" max="12774" width="5.6875" style="17"/>
    <col min="12775" max="12775" width="4.6875" style="17" customWidth="1"/>
    <col min="12776" max="12776" width="8.3125" style="17" customWidth="1"/>
    <col min="12777" max="12778" width="0" style="17" hidden="1" customWidth="1"/>
    <col min="12779" max="12779" width="4.875" style="17" customWidth="1"/>
    <col min="12780" max="12780" width="7.875" style="17" customWidth="1"/>
    <col min="12781" max="12781" width="6.3125" style="17" customWidth="1"/>
    <col min="12782" max="12782" width="12.3125" style="17" customWidth="1"/>
    <col min="12783" max="12785" width="11.3125" style="17" customWidth="1"/>
    <col min="12786" max="12786" width="10.3125" style="17" customWidth="1"/>
    <col min="12787" max="12787" width="11.3125" style="17" customWidth="1"/>
    <col min="12788" max="12788" width="0" style="17" hidden="1" customWidth="1"/>
    <col min="12789" max="12789" width="13.6875" style="17" bestFit="1" customWidth="1"/>
    <col min="12790" max="12790" width="13" style="17" customWidth="1"/>
    <col min="12791" max="12791" width="14.6875" style="17" customWidth="1"/>
    <col min="12792" max="12792" width="5.875" style="17" customWidth="1"/>
    <col min="12793" max="12793" width="4.6875" style="17" customWidth="1"/>
    <col min="12794" max="12794" width="8.6875" style="17" customWidth="1"/>
    <col min="12795" max="12795" width="10.3125" style="17" customWidth="1"/>
    <col min="12796" max="12796" width="9" style="17" customWidth="1"/>
    <col min="12797" max="12797" width="12.125" style="17" customWidth="1"/>
    <col min="12798" max="12799" width="10.6875" style="17" customWidth="1"/>
    <col min="12800" max="12800" width="10.3125" style="17" customWidth="1"/>
    <col min="12801" max="12801" width="11.6875" style="17" customWidth="1"/>
    <col min="12802" max="12802" width="13.6875" style="17" customWidth="1"/>
    <col min="12803" max="12803" width="26.1875" style="17" customWidth="1"/>
    <col min="12804" max="12804" width="14.6875" style="17" customWidth="1"/>
    <col min="12805" max="13030" width="5.6875" style="17"/>
    <col min="13031" max="13031" width="4.6875" style="17" customWidth="1"/>
    <col min="13032" max="13032" width="8.3125" style="17" customWidth="1"/>
    <col min="13033" max="13034" width="0" style="17" hidden="1" customWidth="1"/>
    <col min="13035" max="13035" width="4.875" style="17" customWidth="1"/>
    <col min="13036" max="13036" width="7.875" style="17" customWidth="1"/>
    <col min="13037" max="13037" width="6.3125" style="17" customWidth="1"/>
    <col min="13038" max="13038" width="12.3125" style="17" customWidth="1"/>
    <col min="13039" max="13041" width="11.3125" style="17" customWidth="1"/>
    <col min="13042" max="13042" width="10.3125" style="17" customWidth="1"/>
    <col min="13043" max="13043" width="11.3125" style="17" customWidth="1"/>
    <col min="13044" max="13044" width="0" style="17" hidden="1" customWidth="1"/>
    <col min="13045" max="13045" width="13.6875" style="17" bestFit="1" customWidth="1"/>
    <col min="13046" max="13046" width="13" style="17" customWidth="1"/>
    <col min="13047" max="13047" width="14.6875" style="17" customWidth="1"/>
    <col min="13048" max="13048" width="5.875" style="17" customWidth="1"/>
    <col min="13049" max="13049" width="4.6875" style="17" customWidth="1"/>
    <col min="13050" max="13050" width="8.6875" style="17" customWidth="1"/>
    <col min="13051" max="13051" width="10.3125" style="17" customWidth="1"/>
    <col min="13052" max="13052" width="9" style="17" customWidth="1"/>
    <col min="13053" max="13053" width="12.125" style="17" customWidth="1"/>
    <col min="13054" max="13055" width="10.6875" style="17" customWidth="1"/>
    <col min="13056" max="13056" width="10.3125" style="17" customWidth="1"/>
    <col min="13057" max="13057" width="11.6875" style="17" customWidth="1"/>
    <col min="13058" max="13058" width="13.6875" style="17" customWidth="1"/>
    <col min="13059" max="13059" width="26.1875" style="17" customWidth="1"/>
    <col min="13060" max="13060" width="14.6875" style="17" customWidth="1"/>
    <col min="13061" max="13286" width="5.6875" style="17"/>
    <col min="13287" max="13287" width="4.6875" style="17" customWidth="1"/>
    <col min="13288" max="13288" width="8.3125" style="17" customWidth="1"/>
    <col min="13289" max="13290" width="0" style="17" hidden="1" customWidth="1"/>
    <col min="13291" max="13291" width="4.875" style="17" customWidth="1"/>
    <col min="13292" max="13292" width="7.875" style="17" customWidth="1"/>
    <col min="13293" max="13293" width="6.3125" style="17" customWidth="1"/>
    <col min="13294" max="13294" width="12.3125" style="17" customWidth="1"/>
    <col min="13295" max="13297" width="11.3125" style="17" customWidth="1"/>
    <col min="13298" max="13298" width="10.3125" style="17" customWidth="1"/>
    <col min="13299" max="13299" width="11.3125" style="17" customWidth="1"/>
    <col min="13300" max="13300" width="0" style="17" hidden="1" customWidth="1"/>
    <col min="13301" max="13301" width="13.6875" style="17" bestFit="1" customWidth="1"/>
    <col min="13302" max="13302" width="13" style="17" customWidth="1"/>
    <col min="13303" max="13303" width="14.6875" style="17" customWidth="1"/>
    <col min="13304" max="13304" width="5.875" style="17" customWidth="1"/>
    <col min="13305" max="13305" width="4.6875" style="17" customWidth="1"/>
    <col min="13306" max="13306" width="8.6875" style="17" customWidth="1"/>
    <col min="13307" max="13307" width="10.3125" style="17" customWidth="1"/>
    <col min="13308" max="13308" width="9" style="17" customWidth="1"/>
    <col min="13309" max="13309" width="12.125" style="17" customWidth="1"/>
    <col min="13310" max="13311" width="10.6875" style="17" customWidth="1"/>
    <col min="13312" max="13312" width="10.3125" style="17" customWidth="1"/>
    <col min="13313" max="13313" width="11.6875" style="17" customWidth="1"/>
    <col min="13314" max="13314" width="13.6875" style="17" customWidth="1"/>
    <col min="13315" max="13315" width="26.1875" style="17" customWidth="1"/>
    <col min="13316" max="13316" width="14.6875" style="17" customWidth="1"/>
    <col min="13317" max="13542" width="5.6875" style="17"/>
    <col min="13543" max="13543" width="4.6875" style="17" customWidth="1"/>
    <col min="13544" max="13544" width="8.3125" style="17" customWidth="1"/>
    <col min="13545" max="13546" width="0" style="17" hidden="1" customWidth="1"/>
    <col min="13547" max="13547" width="4.875" style="17" customWidth="1"/>
    <col min="13548" max="13548" width="7.875" style="17" customWidth="1"/>
    <col min="13549" max="13549" width="6.3125" style="17" customWidth="1"/>
    <col min="13550" max="13550" width="12.3125" style="17" customWidth="1"/>
    <col min="13551" max="13553" width="11.3125" style="17" customWidth="1"/>
    <col min="13554" max="13554" width="10.3125" style="17" customWidth="1"/>
    <col min="13555" max="13555" width="11.3125" style="17" customWidth="1"/>
    <col min="13556" max="13556" width="0" style="17" hidden="1" customWidth="1"/>
    <col min="13557" max="13557" width="13.6875" style="17" bestFit="1" customWidth="1"/>
    <col min="13558" max="13558" width="13" style="17" customWidth="1"/>
    <col min="13559" max="13559" width="14.6875" style="17" customWidth="1"/>
    <col min="13560" max="13560" width="5.875" style="17" customWidth="1"/>
    <col min="13561" max="13561" width="4.6875" style="17" customWidth="1"/>
    <col min="13562" max="13562" width="8.6875" style="17" customWidth="1"/>
    <col min="13563" max="13563" width="10.3125" style="17" customWidth="1"/>
    <col min="13564" max="13564" width="9" style="17" customWidth="1"/>
    <col min="13565" max="13565" width="12.125" style="17" customWidth="1"/>
    <col min="13566" max="13567" width="10.6875" style="17" customWidth="1"/>
    <col min="13568" max="13568" width="10.3125" style="17" customWidth="1"/>
    <col min="13569" max="13569" width="11.6875" style="17" customWidth="1"/>
    <col min="13570" max="13570" width="13.6875" style="17" customWidth="1"/>
    <col min="13571" max="13571" width="26.1875" style="17" customWidth="1"/>
    <col min="13572" max="13572" width="14.6875" style="17" customWidth="1"/>
    <col min="13573" max="13798" width="5.6875" style="17"/>
    <col min="13799" max="13799" width="4.6875" style="17" customWidth="1"/>
    <col min="13800" max="13800" width="8.3125" style="17" customWidth="1"/>
    <col min="13801" max="13802" width="0" style="17" hidden="1" customWidth="1"/>
    <col min="13803" max="13803" width="4.875" style="17" customWidth="1"/>
    <col min="13804" max="13804" width="7.875" style="17" customWidth="1"/>
    <col min="13805" max="13805" width="6.3125" style="17" customWidth="1"/>
    <col min="13806" max="13806" width="12.3125" style="17" customWidth="1"/>
    <col min="13807" max="13809" width="11.3125" style="17" customWidth="1"/>
    <col min="13810" max="13810" width="10.3125" style="17" customWidth="1"/>
    <col min="13811" max="13811" width="11.3125" style="17" customWidth="1"/>
    <col min="13812" max="13812" width="0" style="17" hidden="1" customWidth="1"/>
    <col min="13813" max="13813" width="13.6875" style="17" bestFit="1" customWidth="1"/>
    <col min="13814" max="13814" width="13" style="17" customWidth="1"/>
    <col min="13815" max="13815" width="14.6875" style="17" customWidth="1"/>
    <col min="13816" max="13816" width="5.875" style="17" customWidth="1"/>
    <col min="13817" max="13817" width="4.6875" style="17" customWidth="1"/>
    <col min="13818" max="13818" width="8.6875" style="17" customWidth="1"/>
    <col min="13819" max="13819" width="10.3125" style="17" customWidth="1"/>
    <col min="13820" max="13820" width="9" style="17" customWidth="1"/>
    <col min="13821" max="13821" width="12.125" style="17" customWidth="1"/>
    <col min="13822" max="13823" width="10.6875" style="17" customWidth="1"/>
    <col min="13824" max="13824" width="10.3125" style="17" customWidth="1"/>
    <col min="13825" max="13825" width="11.6875" style="17" customWidth="1"/>
    <col min="13826" max="13826" width="13.6875" style="17" customWidth="1"/>
    <col min="13827" max="13827" width="26.1875" style="17" customWidth="1"/>
    <col min="13828" max="13828" width="14.6875" style="17" customWidth="1"/>
    <col min="13829" max="14054" width="5.6875" style="17"/>
    <col min="14055" max="14055" width="4.6875" style="17" customWidth="1"/>
    <col min="14056" max="14056" width="8.3125" style="17" customWidth="1"/>
    <col min="14057" max="14058" width="0" style="17" hidden="1" customWidth="1"/>
    <col min="14059" max="14059" width="4.875" style="17" customWidth="1"/>
    <col min="14060" max="14060" width="7.875" style="17" customWidth="1"/>
    <col min="14061" max="14061" width="6.3125" style="17" customWidth="1"/>
    <col min="14062" max="14062" width="12.3125" style="17" customWidth="1"/>
    <col min="14063" max="14065" width="11.3125" style="17" customWidth="1"/>
    <col min="14066" max="14066" width="10.3125" style="17" customWidth="1"/>
    <col min="14067" max="14067" width="11.3125" style="17" customWidth="1"/>
    <col min="14068" max="14068" width="0" style="17" hidden="1" customWidth="1"/>
    <col min="14069" max="14069" width="13.6875" style="17" bestFit="1" customWidth="1"/>
    <col min="14070" max="14070" width="13" style="17" customWidth="1"/>
    <col min="14071" max="14071" width="14.6875" style="17" customWidth="1"/>
    <col min="14072" max="14072" width="5.875" style="17" customWidth="1"/>
    <col min="14073" max="14073" width="4.6875" style="17" customWidth="1"/>
    <col min="14074" max="14074" width="8.6875" style="17" customWidth="1"/>
    <col min="14075" max="14075" width="10.3125" style="17" customWidth="1"/>
    <col min="14076" max="14076" width="9" style="17" customWidth="1"/>
    <col min="14077" max="14077" width="12.125" style="17" customWidth="1"/>
    <col min="14078" max="14079" width="10.6875" style="17" customWidth="1"/>
    <col min="14080" max="14080" width="10.3125" style="17" customWidth="1"/>
    <col min="14081" max="14081" width="11.6875" style="17" customWidth="1"/>
    <col min="14082" max="14082" width="13.6875" style="17" customWidth="1"/>
    <col min="14083" max="14083" width="26.1875" style="17" customWidth="1"/>
    <col min="14084" max="14084" width="14.6875" style="17" customWidth="1"/>
    <col min="14085" max="14310" width="5.6875" style="17"/>
    <col min="14311" max="14311" width="4.6875" style="17" customWidth="1"/>
    <col min="14312" max="14312" width="8.3125" style="17" customWidth="1"/>
    <col min="14313" max="14314" width="0" style="17" hidden="1" customWidth="1"/>
    <col min="14315" max="14315" width="4.875" style="17" customWidth="1"/>
    <col min="14316" max="14316" width="7.875" style="17" customWidth="1"/>
    <col min="14317" max="14317" width="6.3125" style="17" customWidth="1"/>
    <col min="14318" max="14318" width="12.3125" style="17" customWidth="1"/>
    <col min="14319" max="14321" width="11.3125" style="17" customWidth="1"/>
    <col min="14322" max="14322" width="10.3125" style="17" customWidth="1"/>
    <col min="14323" max="14323" width="11.3125" style="17" customWidth="1"/>
    <col min="14324" max="14324" width="0" style="17" hidden="1" customWidth="1"/>
    <col min="14325" max="14325" width="13.6875" style="17" bestFit="1" customWidth="1"/>
    <col min="14326" max="14326" width="13" style="17" customWidth="1"/>
    <col min="14327" max="14327" width="14.6875" style="17" customWidth="1"/>
    <col min="14328" max="14328" width="5.875" style="17" customWidth="1"/>
    <col min="14329" max="14329" width="4.6875" style="17" customWidth="1"/>
    <col min="14330" max="14330" width="8.6875" style="17" customWidth="1"/>
    <col min="14331" max="14331" width="10.3125" style="17" customWidth="1"/>
    <col min="14332" max="14332" width="9" style="17" customWidth="1"/>
    <col min="14333" max="14333" width="12.125" style="17" customWidth="1"/>
    <col min="14334" max="14335" width="10.6875" style="17" customWidth="1"/>
    <col min="14336" max="14336" width="10.3125" style="17" customWidth="1"/>
    <col min="14337" max="14337" width="11.6875" style="17" customWidth="1"/>
    <col min="14338" max="14338" width="13.6875" style="17" customWidth="1"/>
    <col min="14339" max="14339" width="26.1875" style="17" customWidth="1"/>
    <col min="14340" max="14340" width="14.6875" style="17" customWidth="1"/>
    <col min="14341" max="14566" width="5.6875" style="17"/>
    <col min="14567" max="14567" width="4.6875" style="17" customWidth="1"/>
    <col min="14568" max="14568" width="8.3125" style="17" customWidth="1"/>
    <col min="14569" max="14570" width="0" style="17" hidden="1" customWidth="1"/>
    <col min="14571" max="14571" width="4.875" style="17" customWidth="1"/>
    <col min="14572" max="14572" width="7.875" style="17" customWidth="1"/>
    <col min="14573" max="14573" width="6.3125" style="17" customWidth="1"/>
    <col min="14574" max="14574" width="12.3125" style="17" customWidth="1"/>
    <col min="14575" max="14577" width="11.3125" style="17" customWidth="1"/>
    <col min="14578" max="14578" width="10.3125" style="17" customWidth="1"/>
    <col min="14579" max="14579" width="11.3125" style="17" customWidth="1"/>
    <col min="14580" max="14580" width="0" style="17" hidden="1" customWidth="1"/>
    <col min="14581" max="14581" width="13.6875" style="17" bestFit="1" customWidth="1"/>
    <col min="14582" max="14582" width="13" style="17" customWidth="1"/>
    <col min="14583" max="14583" width="14.6875" style="17" customWidth="1"/>
    <col min="14584" max="14584" width="5.875" style="17" customWidth="1"/>
    <col min="14585" max="14585" width="4.6875" style="17" customWidth="1"/>
    <col min="14586" max="14586" width="8.6875" style="17" customWidth="1"/>
    <col min="14587" max="14587" width="10.3125" style="17" customWidth="1"/>
    <col min="14588" max="14588" width="9" style="17" customWidth="1"/>
    <col min="14589" max="14589" width="12.125" style="17" customWidth="1"/>
    <col min="14590" max="14591" width="10.6875" style="17" customWidth="1"/>
    <col min="14592" max="14592" width="10.3125" style="17" customWidth="1"/>
    <col min="14593" max="14593" width="11.6875" style="17" customWidth="1"/>
    <col min="14594" max="14594" width="13.6875" style="17" customWidth="1"/>
    <col min="14595" max="14595" width="26.1875" style="17" customWidth="1"/>
    <col min="14596" max="14596" width="14.6875" style="17" customWidth="1"/>
    <col min="14597" max="14822" width="5.6875" style="17"/>
    <col min="14823" max="14823" width="4.6875" style="17" customWidth="1"/>
    <col min="14824" max="14824" width="8.3125" style="17" customWidth="1"/>
    <col min="14825" max="14826" width="0" style="17" hidden="1" customWidth="1"/>
    <col min="14827" max="14827" width="4.875" style="17" customWidth="1"/>
    <col min="14828" max="14828" width="7.875" style="17" customWidth="1"/>
    <col min="14829" max="14829" width="6.3125" style="17" customWidth="1"/>
    <col min="14830" max="14830" width="12.3125" style="17" customWidth="1"/>
    <col min="14831" max="14833" width="11.3125" style="17" customWidth="1"/>
    <col min="14834" max="14834" width="10.3125" style="17" customWidth="1"/>
    <col min="14835" max="14835" width="11.3125" style="17" customWidth="1"/>
    <col min="14836" max="14836" width="0" style="17" hidden="1" customWidth="1"/>
    <col min="14837" max="14837" width="13.6875" style="17" bestFit="1" customWidth="1"/>
    <col min="14838" max="14838" width="13" style="17" customWidth="1"/>
    <col min="14839" max="14839" width="14.6875" style="17" customWidth="1"/>
    <col min="14840" max="14840" width="5.875" style="17" customWidth="1"/>
    <col min="14841" max="14841" width="4.6875" style="17" customWidth="1"/>
    <col min="14842" max="14842" width="8.6875" style="17" customWidth="1"/>
    <col min="14843" max="14843" width="10.3125" style="17" customWidth="1"/>
    <col min="14844" max="14844" width="9" style="17" customWidth="1"/>
    <col min="14845" max="14845" width="12.125" style="17" customWidth="1"/>
    <col min="14846" max="14847" width="10.6875" style="17" customWidth="1"/>
    <col min="14848" max="14848" width="10.3125" style="17" customWidth="1"/>
    <col min="14849" max="14849" width="11.6875" style="17" customWidth="1"/>
    <col min="14850" max="14850" width="13.6875" style="17" customWidth="1"/>
    <col min="14851" max="14851" width="26.1875" style="17" customWidth="1"/>
    <col min="14852" max="14852" width="14.6875" style="17" customWidth="1"/>
    <col min="14853" max="15078" width="5.6875" style="17"/>
    <col min="15079" max="15079" width="4.6875" style="17" customWidth="1"/>
    <col min="15080" max="15080" width="8.3125" style="17" customWidth="1"/>
    <col min="15081" max="15082" width="0" style="17" hidden="1" customWidth="1"/>
    <col min="15083" max="15083" width="4.875" style="17" customWidth="1"/>
    <col min="15084" max="15084" width="7.875" style="17" customWidth="1"/>
    <col min="15085" max="15085" width="6.3125" style="17" customWidth="1"/>
    <col min="15086" max="15086" width="12.3125" style="17" customWidth="1"/>
    <col min="15087" max="15089" width="11.3125" style="17" customWidth="1"/>
    <col min="15090" max="15090" width="10.3125" style="17" customWidth="1"/>
    <col min="15091" max="15091" width="11.3125" style="17" customWidth="1"/>
    <col min="15092" max="15092" width="0" style="17" hidden="1" customWidth="1"/>
    <col min="15093" max="15093" width="13.6875" style="17" bestFit="1" customWidth="1"/>
    <col min="15094" max="15094" width="13" style="17" customWidth="1"/>
    <col min="15095" max="15095" width="14.6875" style="17" customWidth="1"/>
    <col min="15096" max="15096" width="5.875" style="17" customWidth="1"/>
    <col min="15097" max="15097" width="4.6875" style="17" customWidth="1"/>
    <col min="15098" max="15098" width="8.6875" style="17" customWidth="1"/>
    <col min="15099" max="15099" width="10.3125" style="17" customWidth="1"/>
    <col min="15100" max="15100" width="9" style="17" customWidth="1"/>
    <col min="15101" max="15101" width="12.125" style="17" customWidth="1"/>
    <col min="15102" max="15103" width="10.6875" style="17" customWidth="1"/>
    <col min="15104" max="15104" width="10.3125" style="17" customWidth="1"/>
    <col min="15105" max="15105" width="11.6875" style="17" customWidth="1"/>
    <col min="15106" max="15106" width="13.6875" style="17" customWidth="1"/>
    <col min="15107" max="15107" width="26.1875" style="17" customWidth="1"/>
    <col min="15108" max="15108" width="14.6875" style="17" customWidth="1"/>
    <col min="15109" max="15334" width="5.6875" style="17"/>
    <col min="15335" max="15335" width="4.6875" style="17" customWidth="1"/>
    <col min="15336" max="15336" width="8.3125" style="17" customWidth="1"/>
    <col min="15337" max="15338" width="0" style="17" hidden="1" customWidth="1"/>
    <col min="15339" max="15339" width="4.875" style="17" customWidth="1"/>
    <col min="15340" max="15340" width="7.875" style="17" customWidth="1"/>
    <col min="15341" max="15341" width="6.3125" style="17" customWidth="1"/>
    <col min="15342" max="15342" width="12.3125" style="17" customWidth="1"/>
    <col min="15343" max="15345" width="11.3125" style="17" customWidth="1"/>
    <col min="15346" max="15346" width="10.3125" style="17" customWidth="1"/>
    <col min="15347" max="15347" width="11.3125" style="17" customWidth="1"/>
    <col min="15348" max="15348" width="0" style="17" hidden="1" customWidth="1"/>
    <col min="15349" max="15349" width="13.6875" style="17" bestFit="1" customWidth="1"/>
    <col min="15350" max="15350" width="13" style="17" customWidth="1"/>
    <col min="15351" max="15351" width="14.6875" style="17" customWidth="1"/>
    <col min="15352" max="15352" width="5.875" style="17" customWidth="1"/>
    <col min="15353" max="15353" width="4.6875" style="17" customWidth="1"/>
    <col min="15354" max="15354" width="8.6875" style="17" customWidth="1"/>
    <col min="15355" max="15355" width="10.3125" style="17" customWidth="1"/>
    <col min="15356" max="15356" width="9" style="17" customWidth="1"/>
    <col min="15357" max="15357" width="12.125" style="17" customWidth="1"/>
    <col min="15358" max="15359" width="10.6875" style="17" customWidth="1"/>
    <col min="15360" max="15360" width="10.3125" style="17" customWidth="1"/>
    <col min="15361" max="15361" width="11.6875" style="17" customWidth="1"/>
    <col min="15362" max="15362" width="13.6875" style="17" customWidth="1"/>
    <col min="15363" max="15363" width="26.1875" style="17" customWidth="1"/>
    <col min="15364" max="15364" width="14.6875" style="17" customWidth="1"/>
    <col min="15365" max="15590" width="5.6875" style="17"/>
    <col min="15591" max="15591" width="4.6875" style="17" customWidth="1"/>
    <col min="15592" max="15592" width="8.3125" style="17" customWidth="1"/>
    <col min="15593" max="15594" width="0" style="17" hidden="1" customWidth="1"/>
    <col min="15595" max="15595" width="4.875" style="17" customWidth="1"/>
    <col min="15596" max="15596" width="7.875" style="17" customWidth="1"/>
    <col min="15597" max="15597" width="6.3125" style="17" customWidth="1"/>
    <col min="15598" max="15598" width="12.3125" style="17" customWidth="1"/>
    <col min="15599" max="15601" width="11.3125" style="17" customWidth="1"/>
    <col min="15602" max="15602" width="10.3125" style="17" customWidth="1"/>
    <col min="15603" max="15603" width="11.3125" style="17" customWidth="1"/>
    <col min="15604" max="15604" width="0" style="17" hidden="1" customWidth="1"/>
    <col min="15605" max="15605" width="13.6875" style="17" bestFit="1" customWidth="1"/>
    <col min="15606" max="15606" width="13" style="17" customWidth="1"/>
    <col min="15607" max="15607" width="14.6875" style="17" customWidth="1"/>
    <col min="15608" max="15608" width="5.875" style="17" customWidth="1"/>
    <col min="15609" max="15609" width="4.6875" style="17" customWidth="1"/>
    <col min="15610" max="15610" width="8.6875" style="17" customWidth="1"/>
    <col min="15611" max="15611" width="10.3125" style="17" customWidth="1"/>
    <col min="15612" max="15612" width="9" style="17" customWidth="1"/>
    <col min="15613" max="15613" width="12.125" style="17" customWidth="1"/>
    <col min="15614" max="15615" width="10.6875" style="17" customWidth="1"/>
    <col min="15616" max="15616" width="10.3125" style="17" customWidth="1"/>
    <col min="15617" max="15617" width="11.6875" style="17" customWidth="1"/>
    <col min="15618" max="15618" width="13.6875" style="17" customWidth="1"/>
    <col min="15619" max="15619" width="26.1875" style="17" customWidth="1"/>
    <col min="15620" max="15620" width="14.6875" style="17" customWidth="1"/>
    <col min="15621" max="15846" width="5.6875" style="17"/>
    <col min="15847" max="15847" width="4.6875" style="17" customWidth="1"/>
    <col min="15848" max="15848" width="8.3125" style="17" customWidth="1"/>
    <col min="15849" max="15850" width="0" style="17" hidden="1" customWidth="1"/>
    <col min="15851" max="15851" width="4.875" style="17" customWidth="1"/>
    <col min="15852" max="15852" width="7.875" style="17" customWidth="1"/>
    <col min="15853" max="15853" width="6.3125" style="17" customWidth="1"/>
    <col min="15854" max="15854" width="12.3125" style="17" customWidth="1"/>
    <col min="15855" max="15857" width="11.3125" style="17" customWidth="1"/>
    <col min="15858" max="15858" width="10.3125" style="17" customWidth="1"/>
    <col min="15859" max="15859" width="11.3125" style="17" customWidth="1"/>
    <col min="15860" max="15860" width="0" style="17" hidden="1" customWidth="1"/>
    <col min="15861" max="15861" width="13.6875" style="17" bestFit="1" customWidth="1"/>
    <col min="15862" max="15862" width="13" style="17" customWidth="1"/>
    <col min="15863" max="15863" width="14.6875" style="17" customWidth="1"/>
    <col min="15864" max="15864" width="5.875" style="17" customWidth="1"/>
    <col min="15865" max="15865" width="4.6875" style="17" customWidth="1"/>
    <col min="15866" max="15866" width="8.6875" style="17" customWidth="1"/>
    <col min="15867" max="15867" width="10.3125" style="17" customWidth="1"/>
    <col min="15868" max="15868" width="9" style="17" customWidth="1"/>
    <col min="15869" max="15869" width="12.125" style="17" customWidth="1"/>
    <col min="15870" max="15871" width="10.6875" style="17" customWidth="1"/>
    <col min="15872" max="15872" width="10.3125" style="17" customWidth="1"/>
    <col min="15873" max="15873" width="11.6875" style="17" customWidth="1"/>
    <col min="15874" max="15874" width="13.6875" style="17" customWidth="1"/>
    <col min="15875" max="15875" width="26.1875" style="17" customWidth="1"/>
    <col min="15876" max="15876" width="14.6875" style="17" customWidth="1"/>
    <col min="15877" max="16102" width="5.6875" style="17"/>
    <col min="16103" max="16103" width="4.6875" style="17" customWidth="1"/>
    <col min="16104" max="16104" width="8.3125" style="17" customWidth="1"/>
    <col min="16105" max="16106" width="0" style="17" hidden="1" customWidth="1"/>
    <col min="16107" max="16107" width="4.875" style="17" customWidth="1"/>
    <col min="16108" max="16108" width="7.875" style="17" customWidth="1"/>
    <col min="16109" max="16109" width="6.3125" style="17" customWidth="1"/>
    <col min="16110" max="16110" width="12.3125" style="17" customWidth="1"/>
    <col min="16111" max="16113" width="11.3125" style="17" customWidth="1"/>
    <col min="16114" max="16114" width="10.3125" style="17" customWidth="1"/>
    <col min="16115" max="16115" width="11.3125" style="17" customWidth="1"/>
    <col min="16116" max="16116" width="0" style="17" hidden="1" customWidth="1"/>
    <col min="16117" max="16117" width="13.6875" style="17" bestFit="1" customWidth="1"/>
    <col min="16118" max="16118" width="13" style="17" customWidth="1"/>
    <col min="16119" max="16119" width="14.6875" style="17" customWidth="1"/>
    <col min="16120" max="16120" width="5.875" style="17" customWidth="1"/>
    <col min="16121" max="16121" width="4.6875" style="17" customWidth="1"/>
    <col min="16122" max="16122" width="8.6875" style="17" customWidth="1"/>
    <col min="16123" max="16123" width="10.3125" style="17" customWidth="1"/>
    <col min="16124" max="16124" width="9" style="17" customWidth="1"/>
    <col min="16125" max="16125" width="12.125" style="17" customWidth="1"/>
    <col min="16126" max="16127" width="10.6875" style="17" customWidth="1"/>
    <col min="16128" max="16128" width="10.3125" style="17" customWidth="1"/>
    <col min="16129" max="16129" width="11.6875" style="17" customWidth="1"/>
    <col min="16130" max="16130" width="13.6875" style="17" customWidth="1"/>
    <col min="16131" max="16131" width="26.1875" style="17" customWidth="1"/>
    <col min="16132" max="16132" width="14.6875" style="17" customWidth="1"/>
    <col min="16133" max="16384" width="5.6875" style="17"/>
  </cols>
  <sheetData>
    <row r="1" spans="1:35" ht="25.5" x14ac:dyDescent="0.6">
      <c r="A1" s="297" t="s">
        <v>111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110"/>
      <c r="V1" s="110"/>
      <c r="W1" s="297" t="s">
        <v>112</v>
      </c>
      <c r="X1" s="297"/>
      <c r="Y1" s="297"/>
      <c r="Z1" s="297"/>
      <c r="AA1" s="297"/>
      <c r="AB1" s="297"/>
      <c r="AC1" s="297"/>
      <c r="AD1" s="297"/>
      <c r="AE1" s="297"/>
      <c r="AF1" s="297"/>
      <c r="AG1" s="297"/>
    </row>
    <row r="2" spans="1:35" ht="7.7" customHeight="1" x14ac:dyDescent="0.6">
      <c r="A2" s="18"/>
      <c r="B2" s="18"/>
      <c r="C2" s="18"/>
      <c r="D2" s="18"/>
      <c r="E2" s="18"/>
      <c r="F2" s="18"/>
      <c r="G2" s="18"/>
      <c r="H2" s="94"/>
      <c r="I2" s="19"/>
      <c r="J2" s="19"/>
      <c r="K2" s="19"/>
      <c r="L2" s="19"/>
      <c r="M2" s="19"/>
      <c r="N2" s="123"/>
      <c r="O2" s="18"/>
      <c r="P2" s="18"/>
      <c r="Q2" s="94"/>
      <c r="R2" s="104"/>
      <c r="S2" s="94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5" s="22" customFormat="1" ht="14.1" customHeight="1" x14ac:dyDescent="0.6">
      <c r="A3" s="20" t="s">
        <v>0</v>
      </c>
      <c r="B3" s="21"/>
      <c r="C3" s="21"/>
      <c r="D3" s="21"/>
      <c r="E3" s="21"/>
      <c r="F3" s="21"/>
      <c r="G3" s="21"/>
      <c r="H3" s="95">
        <v>31</v>
      </c>
      <c r="I3" s="23"/>
      <c r="J3" s="23"/>
      <c r="K3" s="23"/>
      <c r="L3" s="23"/>
      <c r="M3" s="23"/>
      <c r="N3" s="124"/>
      <c r="O3" s="22">
        <v>31</v>
      </c>
      <c r="Q3" s="95"/>
      <c r="R3" s="105"/>
      <c r="S3" s="95"/>
      <c r="W3" s="20" t="s">
        <v>0</v>
      </c>
      <c r="X3" s="24"/>
      <c r="AH3" s="76"/>
      <c r="AI3" s="76"/>
    </row>
    <row r="4" spans="1:35" s="22" customFormat="1" ht="14.25" customHeight="1" x14ac:dyDescent="0.6">
      <c r="A4" s="300" t="s">
        <v>1</v>
      </c>
      <c r="B4" s="298" t="s">
        <v>2</v>
      </c>
      <c r="C4" s="298" t="s">
        <v>3</v>
      </c>
      <c r="D4" s="298" t="s">
        <v>4</v>
      </c>
      <c r="E4" s="298" t="s">
        <v>5</v>
      </c>
      <c r="F4" s="298" t="s">
        <v>6</v>
      </c>
      <c r="G4" s="298" t="s">
        <v>7</v>
      </c>
      <c r="H4" s="301" t="s">
        <v>8</v>
      </c>
      <c r="I4" s="303" t="s">
        <v>9</v>
      </c>
      <c r="J4" s="304"/>
      <c r="K4" s="304"/>
      <c r="L4" s="304"/>
      <c r="M4" s="304"/>
      <c r="N4" s="304"/>
      <c r="O4" s="298" t="s">
        <v>10</v>
      </c>
      <c r="P4" s="331" t="s">
        <v>11</v>
      </c>
      <c r="Q4" s="301" t="s">
        <v>12</v>
      </c>
      <c r="R4" s="308" t="s">
        <v>13</v>
      </c>
      <c r="S4" s="301" t="s">
        <v>14</v>
      </c>
      <c r="T4" s="310" t="s">
        <v>15</v>
      </c>
      <c r="U4" s="111"/>
      <c r="V4" s="111"/>
      <c r="W4" s="300" t="s">
        <v>1</v>
      </c>
      <c r="X4" s="300" t="s">
        <v>2</v>
      </c>
      <c r="Y4" s="311" t="s">
        <v>16</v>
      </c>
      <c r="Z4" s="312"/>
      <c r="AA4" s="312"/>
      <c r="AB4" s="312"/>
      <c r="AC4" s="312"/>
      <c r="AD4" s="312"/>
      <c r="AE4" s="109"/>
      <c r="AF4" s="310" t="s">
        <v>17</v>
      </c>
      <c r="AG4" s="310" t="s">
        <v>18</v>
      </c>
      <c r="AH4" s="298" t="s">
        <v>113</v>
      </c>
      <c r="AI4" s="298" t="s">
        <v>114</v>
      </c>
    </row>
    <row r="5" spans="1:35" s="22" customFormat="1" ht="27.2" customHeight="1" x14ac:dyDescent="0.6">
      <c r="A5" s="300"/>
      <c r="B5" s="299"/>
      <c r="C5" s="299"/>
      <c r="D5" s="299"/>
      <c r="E5" s="299"/>
      <c r="F5" s="299"/>
      <c r="G5" s="299"/>
      <c r="H5" s="302"/>
      <c r="I5" s="165" t="s">
        <v>20</v>
      </c>
      <c r="J5" s="202" t="s">
        <v>21</v>
      </c>
      <c r="K5" s="202" t="s">
        <v>22</v>
      </c>
      <c r="L5" s="202" t="s">
        <v>115</v>
      </c>
      <c r="M5" s="202" t="s">
        <v>23</v>
      </c>
      <c r="N5" s="203" t="s">
        <v>24</v>
      </c>
      <c r="O5" s="299"/>
      <c r="P5" s="299"/>
      <c r="Q5" s="302"/>
      <c r="R5" s="309"/>
      <c r="S5" s="302"/>
      <c r="T5" s="310"/>
      <c r="U5" s="72" t="s">
        <v>25</v>
      </c>
      <c r="V5" s="204" t="s">
        <v>26</v>
      </c>
      <c r="W5" s="300"/>
      <c r="X5" s="300"/>
      <c r="Y5" s="55" t="s">
        <v>27</v>
      </c>
      <c r="Z5" s="55" t="s">
        <v>28</v>
      </c>
      <c r="AA5" s="55" t="s">
        <v>29</v>
      </c>
      <c r="AB5" s="55" t="s">
        <v>30</v>
      </c>
      <c r="AC5" s="55" t="s">
        <v>31</v>
      </c>
      <c r="AD5" s="55" t="s">
        <v>32</v>
      </c>
      <c r="AE5" s="165" t="s">
        <v>116</v>
      </c>
      <c r="AF5" s="310"/>
      <c r="AG5" s="310"/>
      <c r="AH5" s="299"/>
      <c r="AI5" s="299"/>
    </row>
    <row r="6" spans="1:35" s="22" customFormat="1" ht="20.45" customHeight="1" x14ac:dyDescent="0.6">
      <c r="A6" s="72">
        <f t="shared" ref="A6:A20" si="0">ROW()-5</f>
        <v>1</v>
      </c>
      <c r="B6" s="107" t="s">
        <v>117</v>
      </c>
      <c r="C6" s="107" t="s">
        <v>81</v>
      </c>
      <c r="D6" s="130" t="s">
        <v>118</v>
      </c>
      <c r="E6" s="71" t="s">
        <v>52</v>
      </c>
      <c r="F6" s="71">
        <v>0</v>
      </c>
      <c r="G6" s="129"/>
      <c r="H6" s="96">
        <v>8590</v>
      </c>
      <c r="I6" s="97">
        <v>61100</v>
      </c>
      <c r="J6" s="97"/>
      <c r="K6" s="97"/>
      <c r="L6" s="97"/>
      <c r="M6" s="97"/>
      <c r="N6" s="120"/>
      <c r="O6" s="72">
        <f t="shared" ref="O6" si="1">$O$3-P6</f>
        <v>31</v>
      </c>
      <c r="P6" s="121"/>
      <c r="Q6" s="96"/>
      <c r="R6" s="103"/>
      <c r="S6" s="96"/>
      <c r="T6" s="132">
        <f>I6-Q6-S6+N6</f>
        <v>61100</v>
      </c>
      <c r="U6" s="73">
        <v>500000</v>
      </c>
      <c r="V6" s="64" t="s">
        <v>119</v>
      </c>
      <c r="W6" s="72">
        <f t="shared" ref="W6:X18" si="2">A6</f>
        <v>1</v>
      </c>
      <c r="X6" s="72" t="str">
        <f t="shared" si="2"/>
        <v>고순호</v>
      </c>
      <c r="Y6" s="55">
        <f>IF(T6&lt;800000,0,(VLOOKUP(T6,'세액표(1202)'!A:L,V6+1)))</f>
        <v>0</v>
      </c>
      <c r="Z6" s="55">
        <f t="shared" ref="Z6:Z20" si="3">ROUNDDOWN(Y6*10%,-1)</f>
        <v>0</v>
      </c>
      <c r="AA6" s="55"/>
      <c r="AB6" s="55"/>
      <c r="AC6" s="55"/>
      <c r="AD6" s="55"/>
      <c r="AE6" s="70">
        <v>61100</v>
      </c>
      <c r="AF6" s="132">
        <f t="shared" ref="AF6" si="4">SUM(Y6:AE6)</f>
        <v>61100</v>
      </c>
      <c r="AG6" s="54">
        <f t="shared" ref="AG6:AG20" si="5">T6-AF6</f>
        <v>0</v>
      </c>
      <c r="AH6" s="133" t="s">
        <v>120</v>
      </c>
      <c r="AI6" s="133" t="s">
        <v>121</v>
      </c>
    </row>
    <row r="7" spans="1:35" s="22" customFormat="1" ht="20.45" customHeight="1" x14ac:dyDescent="0.6">
      <c r="A7" s="72">
        <f t="shared" si="0"/>
        <v>2</v>
      </c>
      <c r="B7" s="107" t="s">
        <v>122</v>
      </c>
      <c r="C7" s="107" t="s">
        <v>81</v>
      </c>
      <c r="D7" s="130" t="s">
        <v>123</v>
      </c>
      <c r="E7" s="71" t="s">
        <v>52</v>
      </c>
      <c r="F7" s="71">
        <v>0</v>
      </c>
      <c r="G7" s="70"/>
      <c r="H7" s="96">
        <v>8590</v>
      </c>
      <c r="I7" s="97">
        <v>37600</v>
      </c>
      <c r="J7" s="97"/>
      <c r="K7" s="97"/>
      <c r="L7" s="97"/>
      <c r="M7" s="97"/>
      <c r="N7" s="120"/>
      <c r="O7" s="72">
        <f>$O$3-P7</f>
        <v>31</v>
      </c>
      <c r="P7" s="121"/>
      <c r="Q7" s="96"/>
      <c r="R7" s="103"/>
      <c r="S7" s="96"/>
      <c r="T7" s="132">
        <f t="shared" ref="T7:T20" si="6">I7-Q7-S7+N7</f>
        <v>37600</v>
      </c>
      <c r="U7" s="73">
        <v>500000</v>
      </c>
      <c r="V7" s="64" t="s">
        <v>34</v>
      </c>
      <c r="W7" s="72">
        <f t="shared" si="2"/>
        <v>2</v>
      </c>
      <c r="X7" s="72" t="str">
        <f t="shared" si="2"/>
        <v>김나현</v>
      </c>
      <c r="Y7" s="55">
        <f>IF(T7&lt;800000,0,(VLOOKUP(T7,'세액표(1202)'!A:L,V7+1)))</f>
        <v>0</v>
      </c>
      <c r="Z7" s="55">
        <f t="shared" si="3"/>
        <v>0</v>
      </c>
      <c r="AA7" s="55"/>
      <c r="AB7" s="55"/>
      <c r="AC7" s="55"/>
      <c r="AD7" s="55"/>
      <c r="AE7" s="70">
        <v>37600</v>
      </c>
      <c r="AF7" s="132">
        <f t="shared" ref="AF7:AF9" si="7">SUM(Y7:AE7)</f>
        <v>37600</v>
      </c>
      <c r="AG7" s="54">
        <f t="shared" si="5"/>
        <v>0</v>
      </c>
      <c r="AH7" s="133" t="s">
        <v>124</v>
      </c>
      <c r="AI7" s="133" t="s">
        <v>125</v>
      </c>
    </row>
    <row r="8" spans="1:35" s="22" customFormat="1" ht="20.45" customHeight="1" x14ac:dyDescent="0.6">
      <c r="A8" s="72">
        <f t="shared" si="0"/>
        <v>3</v>
      </c>
      <c r="B8" s="107" t="s">
        <v>126</v>
      </c>
      <c r="C8" s="107" t="s">
        <v>81</v>
      </c>
      <c r="D8" s="130" t="s">
        <v>127</v>
      </c>
      <c r="E8" s="71">
        <v>43831</v>
      </c>
      <c r="F8" s="71" t="s">
        <v>128</v>
      </c>
      <c r="G8" s="70"/>
      <c r="H8" s="96">
        <v>8590</v>
      </c>
      <c r="I8" s="97">
        <v>531100</v>
      </c>
      <c r="J8" s="97"/>
      <c r="K8" s="97"/>
      <c r="L8" s="97"/>
      <c r="M8" s="97"/>
      <c r="N8" s="120"/>
      <c r="O8" s="72">
        <f>$O$3-P8</f>
        <v>31</v>
      </c>
      <c r="P8" s="121"/>
      <c r="Q8" s="96"/>
      <c r="R8" s="103"/>
      <c r="S8" s="96"/>
      <c r="T8" s="132">
        <f t="shared" si="6"/>
        <v>531100</v>
      </c>
      <c r="U8" s="73">
        <v>500000</v>
      </c>
      <c r="V8" s="64" t="s">
        <v>34</v>
      </c>
      <c r="W8" s="72">
        <f t="shared" si="2"/>
        <v>3</v>
      </c>
      <c r="X8" s="72" t="str">
        <f t="shared" si="2"/>
        <v>박선을</v>
      </c>
      <c r="Y8" s="55">
        <f>IF(T8&lt;800000,0,(VLOOKUP(T8,'세액표(1202)'!A:L,V8+1)))</f>
        <v>0</v>
      </c>
      <c r="Z8" s="55">
        <f t="shared" si="3"/>
        <v>0</v>
      </c>
      <c r="AA8" s="55"/>
      <c r="AB8" s="55"/>
      <c r="AC8" s="55"/>
      <c r="AD8" s="55">
        <f t="shared" ref="AD8:AD14" si="8">ROUNDDOWN(T8*0.8%,-1)</f>
        <v>4240</v>
      </c>
      <c r="AE8" s="70">
        <v>343100</v>
      </c>
      <c r="AF8" s="132">
        <f t="shared" si="7"/>
        <v>347340</v>
      </c>
      <c r="AG8" s="54">
        <f t="shared" si="5"/>
        <v>183760</v>
      </c>
      <c r="AH8" s="133" t="s">
        <v>129</v>
      </c>
      <c r="AI8" s="133" t="s">
        <v>130</v>
      </c>
    </row>
    <row r="9" spans="1:35" s="22" customFormat="1" ht="20.45" customHeight="1" x14ac:dyDescent="0.6">
      <c r="A9" s="72">
        <f t="shared" si="0"/>
        <v>4</v>
      </c>
      <c r="B9" s="107" t="s">
        <v>131</v>
      </c>
      <c r="C9" s="107" t="s">
        <v>81</v>
      </c>
      <c r="D9" s="130" t="s">
        <v>132</v>
      </c>
      <c r="E9" s="71">
        <v>43831</v>
      </c>
      <c r="F9" s="71">
        <v>43496</v>
      </c>
      <c r="G9" s="70"/>
      <c r="H9" s="96">
        <v>8590</v>
      </c>
      <c r="I9" s="97">
        <v>263200</v>
      </c>
      <c r="J9" s="97"/>
      <c r="K9" s="97"/>
      <c r="L9" s="97"/>
      <c r="M9" s="97"/>
      <c r="N9" s="120"/>
      <c r="O9" s="72">
        <f t="shared" ref="O9:O20" si="9">$O$3-P9</f>
        <v>31</v>
      </c>
      <c r="P9" s="121"/>
      <c r="Q9" s="96"/>
      <c r="R9" s="103"/>
      <c r="S9" s="96"/>
      <c r="T9" s="132">
        <f t="shared" si="6"/>
        <v>263200</v>
      </c>
      <c r="U9" s="73">
        <v>500000</v>
      </c>
      <c r="V9" s="64" t="s">
        <v>119</v>
      </c>
      <c r="W9" s="72">
        <f t="shared" si="2"/>
        <v>4</v>
      </c>
      <c r="X9" s="72" t="str">
        <f t="shared" si="2"/>
        <v>배민준</v>
      </c>
      <c r="Y9" s="55">
        <f>IF(T9&lt;800000,0,(VLOOKUP(T9,'세액표(1202)'!A:L,V9+1)))</f>
        <v>0</v>
      </c>
      <c r="Z9" s="55">
        <f t="shared" si="3"/>
        <v>0</v>
      </c>
      <c r="AA9" s="55"/>
      <c r="AB9" s="55"/>
      <c r="AC9" s="55"/>
      <c r="AD9" s="55"/>
      <c r="AE9" s="70">
        <v>263200</v>
      </c>
      <c r="AF9" s="132">
        <f t="shared" si="7"/>
        <v>263200</v>
      </c>
      <c r="AG9" s="54">
        <f t="shared" si="5"/>
        <v>0</v>
      </c>
      <c r="AH9" s="133" t="s">
        <v>124</v>
      </c>
      <c r="AI9" s="133" t="s">
        <v>133</v>
      </c>
    </row>
    <row r="10" spans="1:35" s="22" customFormat="1" ht="20.45" customHeight="1" x14ac:dyDescent="0.6">
      <c r="A10" s="72">
        <f t="shared" si="0"/>
        <v>5</v>
      </c>
      <c r="B10" s="107" t="s">
        <v>134</v>
      </c>
      <c r="C10" s="107" t="s">
        <v>81</v>
      </c>
      <c r="D10" s="130" t="s">
        <v>135</v>
      </c>
      <c r="E10" s="71" t="s">
        <v>52</v>
      </c>
      <c r="F10" s="118"/>
      <c r="G10" s="70"/>
      <c r="H10" s="96">
        <v>8590</v>
      </c>
      <c r="I10" s="97">
        <v>98700</v>
      </c>
      <c r="J10" s="97"/>
      <c r="K10" s="97"/>
      <c r="L10" s="97"/>
      <c r="M10" s="97"/>
      <c r="N10" s="120"/>
      <c r="O10" s="72">
        <f t="shared" si="9"/>
        <v>31</v>
      </c>
      <c r="P10" s="121"/>
      <c r="Q10" s="96"/>
      <c r="R10" s="103"/>
      <c r="S10" s="96"/>
      <c r="T10" s="132">
        <f t="shared" si="6"/>
        <v>98700</v>
      </c>
      <c r="U10" s="73">
        <v>500000</v>
      </c>
      <c r="V10" s="64" t="s">
        <v>34</v>
      </c>
      <c r="W10" s="72">
        <f t="shared" si="2"/>
        <v>5</v>
      </c>
      <c r="X10" s="72" t="str">
        <f t="shared" si="2"/>
        <v>배상범</v>
      </c>
      <c r="Y10" s="55">
        <f>IF(T10&lt;800000,0,(VLOOKUP(T10,'세액표(1202)'!A:L,V10+1)))</f>
        <v>0</v>
      </c>
      <c r="Z10" s="55">
        <f t="shared" si="3"/>
        <v>0</v>
      </c>
      <c r="AA10" s="55"/>
      <c r="AB10" s="55"/>
      <c r="AC10" s="55"/>
      <c r="AD10" s="55"/>
      <c r="AE10" s="70">
        <v>98700</v>
      </c>
      <c r="AF10" s="132">
        <f t="shared" ref="AF10" si="10">SUM(Y10:AE10)</f>
        <v>98700</v>
      </c>
      <c r="AG10" s="54">
        <f t="shared" si="5"/>
        <v>0</v>
      </c>
      <c r="AH10" s="133" t="s">
        <v>136</v>
      </c>
      <c r="AI10" s="133" t="s">
        <v>137</v>
      </c>
    </row>
    <row r="11" spans="1:35" s="22" customFormat="1" ht="20.45" customHeight="1" x14ac:dyDescent="0.6">
      <c r="A11" s="72">
        <f t="shared" si="0"/>
        <v>6</v>
      </c>
      <c r="B11" s="107" t="s">
        <v>138</v>
      </c>
      <c r="C11" s="107" t="s">
        <v>81</v>
      </c>
      <c r="D11" s="130" t="s">
        <v>139</v>
      </c>
      <c r="E11" s="71">
        <v>43831</v>
      </c>
      <c r="F11" s="71" t="s">
        <v>128</v>
      </c>
      <c r="G11" s="70"/>
      <c r="H11" s="96">
        <v>8590</v>
      </c>
      <c r="I11" s="97">
        <v>592200</v>
      </c>
      <c r="J11" s="97"/>
      <c r="K11" s="97"/>
      <c r="L11" s="97"/>
      <c r="M11" s="97"/>
      <c r="N11" s="120"/>
      <c r="O11" s="122">
        <f t="shared" si="9"/>
        <v>31</v>
      </c>
      <c r="P11" s="121"/>
      <c r="Q11" s="96"/>
      <c r="R11" s="103"/>
      <c r="S11" s="96"/>
      <c r="T11" s="132">
        <f t="shared" si="6"/>
        <v>592200</v>
      </c>
      <c r="U11" s="73">
        <v>500000</v>
      </c>
      <c r="V11" s="64" t="s">
        <v>34</v>
      </c>
      <c r="W11" s="72">
        <f t="shared" si="2"/>
        <v>6</v>
      </c>
      <c r="X11" s="72" t="str">
        <f t="shared" si="2"/>
        <v>서혜민</v>
      </c>
      <c r="Y11" s="55">
        <f>IF(T11&lt;800000,0,(VLOOKUP(T11,'세액표(1202)'!A:L,V11+1)))</f>
        <v>0</v>
      </c>
      <c r="Z11" s="55">
        <f t="shared" si="3"/>
        <v>0</v>
      </c>
      <c r="AA11" s="55"/>
      <c r="AB11" s="55"/>
      <c r="AC11" s="55"/>
      <c r="AD11" s="55">
        <f t="shared" si="8"/>
        <v>4730</v>
      </c>
      <c r="AE11" s="70">
        <v>380700</v>
      </c>
      <c r="AF11" s="132">
        <f t="shared" ref="AF11:AF12" si="11">SUM(Y11:AE11)</f>
        <v>385430</v>
      </c>
      <c r="AG11" s="54">
        <f t="shared" si="5"/>
        <v>206770</v>
      </c>
      <c r="AH11" s="133" t="s">
        <v>140</v>
      </c>
      <c r="AI11" s="133" t="s">
        <v>141</v>
      </c>
    </row>
    <row r="12" spans="1:35" s="22" customFormat="1" ht="20.45" customHeight="1" x14ac:dyDescent="0.6">
      <c r="A12" s="72">
        <f t="shared" si="0"/>
        <v>7</v>
      </c>
      <c r="B12" s="107" t="s">
        <v>142</v>
      </c>
      <c r="C12" s="107" t="s">
        <v>81</v>
      </c>
      <c r="D12" s="130" t="s">
        <v>143</v>
      </c>
      <c r="E12" s="71">
        <v>43831</v>
      </c>
      <c r="F12" s="71" t="s">
        <v>128</v>
      </c>
      <c r="G12" s="70"/>
      <c r="H12" s="96">
        <v>8590</v>
      </c>
      <c r="I12" s="97">
        <v>606300</v>
      </c>
      <c r="J12" s="97"/>
      <c r="K12" s="97"/>
      <c r="L12" s="97"/>
      <c r="M12" s="97"/>
      <c r="N12" s="120"/>
      <c r="O12" s="122">
        <f t="shared" si="9"/>
        <v>31</v>
      </c>
      <c r="P12" s="121"/>
      <c r="Q12" s="96"/>
      <c r="R12" s="103"/>
      <c r="S12" s="96"/>
      <c r="T12" s="132">
        <f t="shared" si="6"/>
        <v>606300</v>
      </c>
      <c r="U12" s="73">
        <v>500000</v>
      </c>
      <c r="V12" s="64" t="s">
        <v>34</v>
      </c>
      <c r="W12" s="72">
        <f t="shared" si="2"/>
        <v>7</v>
      </c>
      <c r="X12" s="72" t="str">
        <f t="shared" si="2"/>
        <v>손다은</v>
      </c>
      <c r="Y12" s="55">
        <f>IF(T12&lt;800000,0,(VLOOKUP(T12,'세액표(1202)'!A:L,V12+1)))</f>
        <v>0</v>
      </c>
      <c r="Z12" s="55">
        <f t="shared" si="3"/>
        <v>0</v>
      </c>
      <c r="AA12" s="55"/>
      <c r="AB12" s="55"/>
      <c r="AC12" s="55"/>
      <c r="AD12" s="55">
        <f t="shared" si="8"/>
        <v>4850</v>
      </c>
      <c r="AE12" s="70">
        <v>418300</v>
      </c>
      <c r="AF12" s="132">
        <f t="shared" si="11"/>
        <v>423150</v>
      </c>
      <c r="AG12" s="54">
        <f t="shared" si="5"/>
        <v>183150</v>
      </c>
      <c r="AH12" s="133" t="s">
        <v>144</v>
      </c>
      <c r="AI12" s="133" t="s">
        <v>145</v>
      </c>
    </row>
    <row r="13" spans="1:35" s="22" customFormat="1" ht="20.45" customHeight="1" x14ac:dyDescent="0.6">
      <c r="A13" s="72">
        <f t="shared" si="0"/>
        <v>8</v>
      </c>
      <c r="B13" s="117" t="s">
        <v>146</v>
      </c>
      <c r="C13" s="107" t="s">
        <v>81</v>
      </c>
      <c r="D13" s="130" t="s">
        <v>147</v>
      </c>
      <c r="E13" s="71">
        <v>43831</v>
      </c>
      <c r="F13" s="71" t="s">
        <v>128</v>
      </c>
      <c r="G13" s="70"/>
      <c r="H13" s="96">
        <v>8590</v>
      </c>
      <c r="I13" s="97">
        <v>455900</v>
      </c>
      <c r="J13" s="97"/>
      <c r="K13" s="97"/>
      <c r="L13" s="97"/>
      <c r="M13" s="97"/>
      <c r="N13" s="120"/>
      <c r="O13" s="72">
        <f t="shared" si="9"/>
        <v>31</v>
      </c>
      <c r="P13" s="121"/>
      <c r="Q13" s="96"/>
      <c r="R13" s="103"/>
      <c r="S13" s="96"/>
      <c r="T13" s="132">
        <f t="shared" si="6"/>
        <v>455900</v>
      </c>
      <c r="U13" s="73">
        <v>500000</v>
      </c>
      <c r="V13" s="64" t="s">
        <v>34</v>
      </c>
      <c r="W13" s="72">
        <f t="shared" si="2"/>
        <v>8</v>
      </c>
      <c r="X13" s="72" t="str">
        <f t="shared" si="2"/>
        <v>양기환</v>
      </c>
      <c r="Y13" s="55">
        <f>IF(T13&lt;800000,0,(VLOOKUP(T13,'세액표(1202)'!A:L,V13+1)))</f>
        <v>0</v>
      </c>
      <c r="Z13" s="55">
        <f t="shared" si="3"/>
        <v>0</v>
      </c>
      <c r="AA13" s="55"/>
      <c r="AB13" s="55"/>
      <c r="AC13" s="55"/>
      <c r="AD13" s="55">
        <f t="shared" si="8"/>
        <v>3640</v>
      </c>
      <c r="AE13" s="70">
        <v>455900</v>
      </c>
      <c r="AF13" s="132">
        <f t="shared" ref="AF13:AF20" si="12">SUM(Y13:AE13)</f>
        <v>459540</v>
      </c>
      <c r="AG13" s="54">
        <f t="shared" si="5"/>
        <v>-3640</v>
      </c>
      <c r="AH13" s="133" t="s">
        <v>144</v>
      </c>
      <c r="AI13" s="133" t="s">
        <v>148</v>
      </c>
    </row>
    <row r="14" spans="1:35" s="22" customFormat="1" ht="20.45" customHeight="1" x14ac:dyDescent="0.6">
      <c r="A14" s="72">
        <f t="shared" si="0"/>
        <v>9</v>
      </c>
      <c r="B14" s="117" t="s">
        <v>149</v>
      </c>
      <c r="C14" s="107" t="s">
        <v>81</v>
      </c>
      <c r="D14" s="130" t="s">
        <v>150</v>
      </c>
      <c r="E14" s="71">
        <v>43831</v>
      </c>
      <c r="F14" s="71" t="s">
        <v>128</v>
      </c>
      <c r="G14" s="70"/>
      <c r="H14" s="96">
        <v>8590</v>
      </c>
      <c r="I14" s="97">
        <v>733200</v>
      </c>
      <c r="J14" s="97"/>
      <c r="K14" s="97"/>
      <c r="L14" s="97"/>
      <c r="M14" s="97"/>
      <c r="N14" s="120"/>
      <c r="O14" s="72">
        <f t="shared" si="9"/>
        <v>31</v>
      </c>
      <c r="P14" s="121"/>
      <c r="Q14" s="96"/>
      <c r="R14" s="103"/>
      <c r="S14" s="96"/>
      <c r="T14" s="132">
        <f t="shared" si="6"/>
        <v>733200</v>
      </c>
      <c r="U14" s="73">
        <v>500000</v>
      </c>
      <c r="V14" s="64" t="s">
        <v>34</v>
      </c>
      <c r="W14" s="72">
        <f t="shared" si="2"/>
        <v>9</v>
      </c>
      <c r="X14" s="72" t="str">
        <f t="shared" si="2"/>
        <v>오유민</v>
      </c>
      <c r="Y14" s="55">
        <f>IF(T14&lt;800000,0,(VLOOKUP(T14,'세액표(1202)'!A:L,V14+1)))</f>
        <v>0</v>
      </c>
      <c r="Z14" s="55">
        <f t="shared" si="3"/>
        <v>0</v>
      </c>
      <c r="AA14" s="55"/>
      <c r="AB14" s="55"/>
      <c r="AC14" s="55"/>
      <c r="AD14" s="55">
        <f t="shared" si="8"/>
        <v>5860</v>
      </c>
      <c r="AE14" s="70">
        <v>592200</v>
      </c>
      <c r="AF14" s="132">
        <f t="shared" si="12"/>
        <v>598060</v>
      </c>
      <c r="AG14" s="54">
        <f t="shared" si="5"/>
        <v>135140</v>
      </c>
      <c r="AH14" s="133" t="s">
        <v>124</v>
      </c>
      <c r="AI14" s="133" t="s">
        <v>151</v>
      </c>
    </row>
    <row r="15" spans="1:35" s="22" customFormat="1" ht="20.45" customHeight="1" x14ac:dyDescent="0.6">
      <c r="A15" s="72">
        <f t="shared" si="0"/>
        <v>10</v>
      </c>
      <c r="B15" s="117" t="s">
        <v>152</v>
      </c>
      <c r="C15" s="107" t="s">
        <v>81</v>
      </c>
      <c r="D15" s="130" t="s">
        <v>153</v>
      </c>
      <c r="E15" s="71">
        <v>43831</v>
      </c>
      <c r="F15" s="71" t="s">
        <v>128</v>
      </c>
      <c r="G15" s="70"/>
      <c r="H15" s="96">
        <v>8590</v>
      </c>
      <c r="I15" s="97">
        <v>639200</v>
      </c>
      <c r="J15" s="97"/>
      <c r="K15" s="97"/>
      <c r="L15" s="97"/>
      <c r="M15" s="97"/>
      <c r="N15" s="120"/>
      <c r="O15" s="72">
        <f t="shared" si="9"/>
        <v>31</v>
      </c>
      <c r="P15" s="121"/>
      <c r="Q15" s="96"/>
      <c r="R15" s="103"/>
      <c r="S15" s="96"/>
      <c r="T15" s="132">
        <f t="shared" si="6"/>
        <v>639200</v>
      </c>
      <c r="U15" s="73">
        <v>500000</v>
      </c>
      <c r="V15" s="64" t="s">
        <v>34</v>
      </c>
      <c r="W15" s="72">
        <f t="shared" si="2"/>
        <v>10</v>
      </c>
      <c r="X15" s="72" t="str">
        <f t="shared" si="2"/>
        <v>유경하</v>
      </c>
      <c r="Y15" s="55">
        <f>IF(T15&lt;800000,0,(VLOOKUP(T15,'세액표(1202)'!A:L,V15+1)))</f>
        <v>0</v>
      </c>
      <c r="Z15" s="55">
        <f t="shared" si="3"/>
        <v>0</v>
      </c>
      <c r="AA15" s="55"/>
      <c r="AB15" s="55"/>
      <c r="AC15" s="55"/>
      <c r="AD15" s="55">
        <f t="shared" ref="AD15:AD19" si="13">ROUNDDOWN(T15*0.8%,-1)</f>
        <v>5110</v>
      </c>
      <c r="AE15" s="70">
        <v>493500</v>
      </c>
      <c r="AF15" s="132">
        <f t="shared" si="12"/>
        <v>498610</v>
      </c>
      <c r="AG15" s="54">
        <f t="shared" si="5"/>
        <v>140590</v>
      </c>
      <c r="AH15" s="133" t="s">
        <v>120</v>
      </c>
      <c r="AI15" s="133" t="s">
        <v>154</v>
      </c>
    </row>
    <row r="16" spans="1:35" s="22" customFormat="1" ht="20.45" customHeight="1" x14ac:dyDescent="0.6">
      <c r="A16" s="72">
        <f t="shared" si="0"/>
        <v>11</v>
      </c>
      <c r="B16" s="117" t="s">
        <v>155</v>
      </c>
      <c r="C16" s="107" t="s">
        <v>81</v>
      </c>
      <c r="D16" s="130" t="s">
        <v>156</v>
      </c>
      <c r="E16" s="71" t="s">
        <v>52</v>
      </c>
      <c r="F16" s="118"/>
      <c r="G16" s="70"/>
      <c r="H16" s="96">
        <v>8590</v>
      </c>
      <c r="I16" s="97">
        <v>122200</v>
      </c>
      <c r="J16" s="97"/>
      <c r="K16" s="97"/>
      <c r="L16" s="97"/>
      <c r="M16" s="97"/>
      <c r="N16" s="120"/>
      <c r="O16" s="72">
        <f t="shared" si="9"/>
        <v>31</v>
      </c>
      <c r="P16" s="121"/>
      <c r="Q16" s="96"/>
      <c r="R16" s="103"/>
      <c r="S16" s="96"/>
      <c r="T16" s="132">
        <f t="shared" si="6"/>
        <v>122200</v>
      </c>
      <c r="U16" s="73">
        <v>500000</v>
      </c>
      <c r="V16" s="64" t="s">
        <v>34</v>
      </c>
      <c r="W16" s="72">
        <f t="shared" si="2"/>
        <v>11</v>
      </c>
      <c r="X16" s="72" t="str">
        <f t="shared" si="2"/>
        <v>이나영</v>
      </c>
      <c r="Y16" s="55">
        <f>IF(T16&lt;800000,0,(VLOOKUP(T16,'세액표(1202)'!A:L,V16+1)))</f>
        <v>0</v>
      </c>
      <c r="Z16" s="55">
        <f t="shared" si="3"/>
        <v>0</v>
      </c>
      <c r="AA16" s="55"/>
      <c r="AB16" s="55"/>
      <c r="AC16" s="55"/>
      <c r="AD16" s="55"/>
      <c r="AE16" s="70">
        <v>122200</v>
      </c>
      <c r="AF16" s="132">
        <f t="shared" si="12"/>
        <v>122200</v>
      </c>
      <c r="AG16" s="54">
        <f t="shared" si="5"/>
        <v>0</v>
      </c>
      <c r="AH16" s="133" t="s">
        <v>124</v>
      </c>
      <c r="AI16" s="133" t="s">
        <v>157</v>
      </c>
    </row>
    <row r="17" spans="1:35" s="22" customFormat="1" ht="20.45" customHeight="1" x14ac:dyDescent="0.6">
      <c r="A17" s="72">
        <f t="shared" si="0"/>
        <v>12</v>
      </c>
      <c r="B17" s="117" t="s">
        <v>158</v>
      </c>
      <c r="C17" s="107" t="s">
        <v>81</v>
      </c>
      <c r="D17" s="130" t="s">
        <v>159</v>
      </c>
      <c r="E17" s="71">
        <v>43831</v>
      </c>
      <c r="F17" s="118">
        <v>43496</v>
      </c>
      <c r="G17" s="70"/>
      <c r="H17" s="96">
        <v>8590</v>
      </c>
      <c r="I17" s="97">
        <v>159800</v>
      </c>
      <c r="J17" s="97"/>
      <c r="K17" s="97"/>
      <c r="L17" s="97"/>
      <c r="M17" s="97"/>
      <c r="N17" s="120"/>
      <c r="O17" s="72">
        <f t="shared" si="9"/>
        <v>31</v>
      </c>
      <c r="P17" s="121"/>
      <c r="Q17" s="96"/>
      <c r="R17" s="103"/>
      <c r="S17" s="96"/>
      <c r="T17" s="132">
        <f t="shared" si="6"/>
        <v>159800</v>
      </c>
      <c r="U17" s="73">
        <v>500000</v>
      </c>
      <c r="V17" s="64" t="s">
        <v>34</v>
      </c>
      <c r="W17" s="72">
        <f t="shared" si="2"/>
        <v>12</v>
      </c>
      <c r="X17" s="72" t="str">
        <f t="shared" si="2"/>
        <v>이대성</v>
      </c>
      <c r="Y17" s="55">
        <f>IF(T17&lt;800000,0,(VLOOKUP(T17,'세액표(1202)'!A:L,V17+1)))</f>
        <v>0</v>
      </c>
      <c r="Z17" s="55">
        <f t="shared" si="3"/>
        <v>0</v>
      </c>
      <c r="AA17" s="55"/>
      <c r="AB17" s="55"/>
      <c r="AC17" s="55"/>
      <c r="AD17" s="55"/>
      <c r="AE17" s="70">
        <v>159800</v>
      </c>
      <c r="AF17" s="132">
        <f t="shared" si="12"/>
        <v>159800</v>
      </c>
      <c r="AG17" s="54">
        <f t="shared" si="5"/>
        <v>0</v>
      </c>
      <c r="AH17" s="133" t="s">
        <v>124</v>
      </c>
      <c r="AI17" s="133" t="s">
        <v>160</v>
      </c>
    </row>
    <row r="18" spans="1:35" s="22" customFormat="1" ht="20.45" customHeight="1" x14ac:dyDescent="0.6">
      <c r="A18" s="72">
        <f t="shared" si="0"/>
        <v>13</v>
      </c>
      <c r="B18" s="117" t="s">
        <v>161</v>
      </c>
      <c r="C18" s="107" t="s">
        <v>81</v>
      </c>
      <c r="D18" s="130" t="s">
        <v>162</v>
      </c>
      <c r="E18" s="71">
        <v>43831</v>
      </c>
      <c r="F18" s="118">
        <v>43496</v>
      </c>
      <c r="G18" s="70"/>
      <c r="H18" s="96">
        <v>8590</v>
      </c>
      <c r="I18" s="97">
        <v>42300</v>
      </c>
      <c r="J18" s="97"/>
      <c r="K18" s="97"/>
      <c r="L18" s="97"/>
      <c r="M18" s="97"/>
      <c r="N18" s="120"/>
      <c r="O18" s="72">
        <f t="shared" si="9"/>
        <v>31</v>
      </c>
      <c r="P18" s="121"/>
      <c r="Q18" s="96"/>
      <c r="R18" s="103"/>
      <c r="S18" s="96"/>
      <c r="T18" s="132">
        <f t="shared" si="6"/>
        <v>42300</v>
      </c>
      <c r="U18" s="73">
        <v>500000</v>
      </c>
      <c r="V18" s="64" t="s">
        <v>34</v>
      </c>
      <c r="W18" s="72">
        <f t="shared" si="2"/>
        <v>13</v>
      </c>
      <c r="X18" s="72" t="str">
        <f t="shared" si="2"/>
        <v>임민경</v>
      </c>
      <c r="Y18" s="55">
        <f>IF(T18&lt;800000,0,(VLOOKUP(T18,'세액표(1202)'!A:L,V18+1)))</f>
        <v>0</v>
      </c>
      <c r="Z18" s="55">
        <f t="shared" si="3"/>
        <v>0</v>
      </c>
      <c r="AA18" s="55"/>
      <c r="AB18" s="55"/>
      <c r="AC18" s="55"/>
      <c r="AD18" s="55"/>
      <c r="AE18" s="70">
        <v>42300</v>
      </c>
      <c r="AF18" s="132">
        <f t="shared" si="12"/>
        <v>42300</v>
      </c>
      <c r="AG18" s="54">
        <f t="shared" si="5"/>
        <v>0</v>
      </c>
      <c r="AH18" s="133" t="s">
        <v>124</v>
      </c>
      <c r="AI18" s="133" t="s">
        <v>163</v>
      </c>
    </row>
    <row r="19" spans="1:35" s="22" customFormat="1" ht="21" customHeight="1" x14ac:dyDescent="0.6">
      <c r="A19" s="72">
        <f t="shared" si="0"/>
        <v>14</v>
      </c>
      <c r="B19" s="117" t="s">
        <v>164</v>
      </c>
      <c r="C19" s="107" t="s">
        <v>81</v>
      </c>
      <c r="D19" s="130" t="s">
        <v>165</v>
      </c>
      <c r="E19" s="71">
        <v>43831</v>
      </c>
      <c r="F19" s="71" t="s">
        <v>128</v>
      </c>
      <c r="G19" s="70"/>
      <c r="H19" s="96">
        <v>8590</v>
      </c>
      <c r="I19" s="97">
        <v>432400</v>
      </c>
      <c r="J19" s="97"/>
      <c r="K19" s="97"/>
      <c r="L19" s="97"/>
      <c r="M19" s="97"/>
      <c r="N19" s="120"/>
      <c r="O19" s="72">
        <f t="shared" si="9"/>
        <v>31</v>
      </c>
      <c r="P19" s="121"/>
      <c r="Q19" s="96"/>
      <c r="R19" s="103"/>
      <c r="S19" s="96"/>
      <c r="T19" s="132">
        <f t="shared" si="6"/>
        <v>432400</v>
      </c>
      <c r="U19" s="73">
        <v>500000</v>
      </c>
      <c r="V19" s="64" t="s">
        <v>34</v>
      </c>
      <c r="W19" s="72">
        <f t="shared" ref="W19:X20" si="14">A19</f>
        <v>14</v>
      </c>
      <c r="X19" s="72" t="str">
        <f t="shared" si="14"/>
        <v>임형준</v>
      </c>
      <c r="Y19" s="55">
        <f>IF(T19&lt;800000,0,(VLOOKUP(T19,'세액표(1202)'!A:L,V19+1)))</f>
        <v>0</v>
      </c>
      <c r="Z19" s="55">
        <f t="shared" si="3"/>
        <v>0</v>
      </c>
      <c r="AA19" s="55"/>
      <c r="AB19" s="55"/>
      <c r="AC19" s="55"/>
      <c r="AD19" s="55">
        <f t="shared" si="13"/>
        <v>3450</v>
      </c>
      <c r="AE19" s="70">
        <v>333700</v>
      </c>
      <c r="AF19" s="132">
        <f t="shared" si="12"/>
        <v>337150</v>
      </c>
      <c r="AG19" s="54">
        <f t="shared" si="5"/>
        <v>95250</v>
      </c>
      <c r="AH19" s="133" t="s">
        <v>144</v>
      </c>
      <c r="AI19" s="133" t="s">
        <v>166</v>
      </c>
    </row>
    <row r="20" spans="1:35" s="22" customFormat="1" ht="20.45" customHeight="1" x14ac:dyDescent="0.6">
      <c r="A20" s="72">
        <f t="shared" si="0"/>
        <v>15</v>
      </c>
      <c r="B20" s="117" t="s">
        <v>167</v>
      </c>
      <c r="C20" s="107" t="s">
        <v>81</v>
      </c>
      <c r="D20" s="130" t="s">
        <v>168</v>
      </c>
      <c r="E20" s="71">
        <v>43831</v>
      </c>
      <c r="F20" s="118">
        <v>43496</v>
      </c>
      <c r="G20" s="129"/>
      <c r="H20" s="96">
        <v>8590</v>
      </c>
      <c r="I20" s="97">
        <v>61100</v>
      </c>
      <c r="J20" s="97"/>
      <c r="K20" s="97"/>
      <c r="L20" s="97"/>
      <c r="M20" s="97"/>
      <c r="N20" s="120"/>
      <c r="O20" s="72">
        <f t="shared" si="9"/>
        <v>31</v>
      </c>
      <c r="P20" s="121"/>
      <c r="Q20" s="96"/>
      <c r="R20" s="103"/>
      <c r="S20" s="96"/>
      <c r="T20" s="132">
        <f t="shared" si="6"/>
        <v>61100</v>
      </c>
      <c r="U20" s="73">
        <v>500000</v>
      </c>
      <c r="V20" s="64" t="s">
        <v>34</v>
      </c>
      <c r="W20" s="72">
        <f t="shared" si="14"/>
        <v>15</v>
      </c>
      <c r="X20" s="72" t="str">
        <f t="shared" si="14"/>
        <v>최은영</v>
      </c>
      <c r="Y20" s="55">
        <f>IF(T20&lt;800000,0,(VLOOKUP(T20,'세액표(1202)'!A:L,V20+1)))</f>
        <v>0</v>
      </c>
      <c r="Z20" s="55">
        <f t="shared" si="3"/>
        <v>0</v>
      </c>
      <c r="AA20" s="55"/>
      <c r="AB20" s="55"/>
      <c r="AC20" s="55"/>
      <c r="AD20" s="55"/>
      <c r="AE20" s="70">
        <v>61100</v>
      </c>
      <c r="AF20" s="132">
        <f t="shared" si="12"/>
        <v>61100</v>
      </c>
      <c r="AG20" s="54">
        <f t="shared" si="5"/>
        <v>0</v>
      </c>
      <c r="AH20" s="133" t="s">
        <v>124</v>
      </c>
      <c r="AI20" s="133" t="s">
        <v>169</v>
      </c>
    </row>
    <row r="21" spans="1:35" s="22" customFormat="1" ht="20.45" customHeight="1" x14ac:dyDescent="0.6">
      <c r="A21" s="72"/>
      <c r="B21" s="117"/>
      <c r="C21" s="107"/>
      <c r="D21" s="130"/>
      <c r="E21" s="116"/>
      <c r="F21" s="118"/>
      <c r="G21" s="70"/>
      <c r="H21" s="96"/>
      <c r="I21" s="97"/>
      <c r="J21" s="97"/>
      <c r="K21" s="97"/>
      <c r="L21" s="97"/>
      <c r="M21" s="97"/>
      <c r="N21" s="120"/>
      <c r="O21" s="72"/>
      <c r="P21" s="121"/>
      <c r="Q21" s="96"/>
      <c r="R21" s="103"/>
      <c r="S21" s="96"/>
      <c r="T21" s="132"/>
      <c r="U21" s="73"/>
      <c r="V21" s="64"/>
      <c r="W21" s="72"/>
      <c r="X21" s="72"/>
      <c r="Y21" s="55"/>
      <c r="Z21" s="55"/>
      <c r="AA21" s="55"/>
      <c r="AB21" s="55"/>
      <c r="AC21" s="55"/>
      <c r="AD21" s="55"/>
      <c r="AE21" s="70"/>
      <c r="AF21" s="132"/>
      <c r="AG21" s="54"/>
      <c r="AH21" s="77"/>
      <c r="AI21" s="77"/>
    </row>
    <row r="22" spans="1:35" s="22" customFormat="1" ht="20.45" customHeight="1" x14ac:dyDescent="0.6">
      <c r="A22" s="72"/>
      <c r="B22" s="117"/>
      <c r="C22" s="107"/>
      <c r="D22" s="130"/>
      <c r="E22" s="116"/>
      <c r="F22" s="118"/>
      <c r="G22" s="70"/>
      <c r="H22" s="96"/>
      <c r="I22" s="97"/>
      <c r="J22" s="97"/>
      <c r="K22" s="97"/>
      <c r="L22" s="97"/>
      <c r="M22" s="97"/>
      <c r="N22" s="120"/>
      <c r="O22" s="72"/>
      <c r="P22" s="121"/>
      <c r="Q22" s="96"/>
      <c r="R22" s="103"/>
      <c r="S22" s="96"/>
      <c r="T22" s="132"/>
      <c r="U22" s="73"/>
      <c r="V22" s="64"/>
      <c r="W22" s="72"/>
      <c r="X22" s="72"/>
      <c r="Y22" s="55"/>
      <c r="Z22" s="55"/>
      <c r="AA22" s="55"/>
      <c r="AB22" s="55"/>
      <c r="AC22" s="55"/>
      <c r="AD22" s="55"/>
      <c r="AE22" s="70"/>
      <c r="AF22" s="132"/>
      <c r="AG22" s="54"/>
      <c r="AH22" s="77"/>
      <c r="AI22" s="77"/>
    </row>
    <row r="23" spans="1:35" s="22" customFormat="1" ht="20.45" customHeight="1" x14ac:dyDescent="0.6">
      <c r="A23" s="72"/>
      <c r="B23" s="117"/>
      <c r="C23" s="107"/>
      <c r="D23" s="130"/>
      <c r="E23" s="116"/>
      <c r="F23" s="118"/>
      <c r="G23" s="70"/>
      <c r="H23" s="96"/>
      <c r="I23" s="97"/>
      <c r="J23" s="97"/>
      <c r="K23" s="97"/>
      <c r="L23" s="97"/>
      <c r="M23" s="97"/>
      <c r="N23" s="120"/>
      <c r="O23" s="72"/>
      <c r="P23" s="121"/>
      <c r="Q23" s="96"/>
      <c r="R23" s="103"/>
      <c r="S23" s="96"/>
      <c r="T23" s="132"/>
      <c r="U23" s="73"/>
      <c r="V23" s="64"/>
      <c r="W23" s="72"/>
      <c r="X23" s="72"/>
      <c r="Y23" s="55"/>
      <c r="Z23" s="55"/>
      <c r="AA23" s="55"/>
      <c r="AB23" s="55"/>
      <c r="AC23" s="55"/>
      <c r="AD23" s="55"/>
      <c r="AE23" s="70"/>
      <c r="AF23" s="132"/>
      <c r="AG23" s="54"/>
      <c r="AH23" s="77"/>
      <c r="AI23" s="77"/>
    </row>
    <row r="24" spans="1:35" s="22" customFormat="1" ht="20.45" customHeight="1" x14ac:dyDescent="0.6">
      <c r="A24" s="72"/>
      <c r="B24" s="117"/>
      <c r="C24" s="107"/>
      <c r="D24" s="130"/>
      <c r="E24" s="116"/>
      <c r="F24" s="118"/>
      <c r="G24" s="70"/>
      <c r="H24" s="96"/>
      <c r="I24" s="97"/>
      <c r="J24" s="97"/>
      <c r="K24" s="97"/>
      <c r="L24" s="97"/>
      <c r="M24" s="97"/>
      <c r="N24" s="120"/>
      <c r="O24" s="72"/>
      <c r="P24" s="121"/>
      <c r="Q24" s="96"/>
      <c r="R24" s="103"/>
      <c r="S24" s="96"/>
      <c r="T24" s="132"/>
      <c r="U24" s="73"/>
      <c r="V24" s="64"/>
      <c r="W24" s="72"/>
      <c r="X24" s="72"/>
      <c r="Y24" s="55"/>
      <c r="Z24" s="55"/>
      <c r="AA24" s="55"/>
      <c r="AB24" s="55"/>
      <c r="AC24" s="55"/>
      <c r="AD24" s="55"/>
      <c r="AE24" s="70"/>
      <c r="AF24" s="132"/>
      <c r="AG24" s="54"/>
      <c r="AH24" s="77"/>
      <c r="AI24" s="77"/>
    </row>
    <row r="25" spans="1:35" s="22" customFormat="1" ht="20.45" customHeight="1" x14ac:dyDescent="0.6">
      <c r="A25" s="72"/>
      <c r="B25" s="117"/>
      <c r="C25" s="107"/>
      <c r="D25" s="130"/>
      <c r="E25" s="116"/>
      <c r="F25" s="118"/>
      <c r="G25" s="70"/>
      <c r="H25" s="96"/>
      <c r="I25" s="97"/>
      <c r="J25" s="97"/>
      <c r="K25" s="97"/>
      <c r="L25" s="97"/>
      <c r="M25" s="97"/>
      <c r="N25" s="120"/>
      <c r="O25" s="72"/>
      <c r="P25" s="121"/>
      <c r="Q25" s="96"/>
      <c r="R25" s="103"/>
      <c r="S25" s="96"/>
      <c r="T25" s="132"/>
      <c r="U25" s="73"/>
      <c r="V25" s="64"/>
      <c r="W25" s="72"/>
      <c r="X25" s="72"/>
      <c r="Y25" s="55"/>
      <c r="Z25" s="55"/>
      <c r="AA25" s="55"/>
      <c r="AB25" s="55"/>
      <c r="AC25" s="55"/>
      <c r="AD25" s="55"/>
      <c r="AE25" s="70"/>
      <c r="AF25" s="132"/>
      <c r="AG25" s="54"/>
      <c r="AH25" s="77"/>
      <c r="AI25" s="77"/>
    </row>
    <row r="26" spans="1:35" s="22" customFormat="1" ht="20.45" customHeight="1" x14ac:dyDescent="0.6">
      <c r="A26" s="72"/>
      <c r="B26" s="117"/>
      <c r="C26" s="107"/>
      <c r="D26" s="130"/>
      <c r="E26" s="116"/>
      <c r="F26" s="118"/>
      <c r="G26" s="70"/>
      <c r="H26" s="96"/>
      <c r="I26" s="97"/>
      <c r="J26" s="97"/>
      <c r="K26" s="97"/>
      <c r="L26" s="97"/>
      <c r="M26" s="97"/>
      <c r="N26" s="120"/>
      <c r="O26" s="72"/>
      <c r="P26" s="121"/>
      <c r="Q26" s="96"/>
      <c r="R26" s="103"/>
      <c r="S26" s="96"/>
      <c r="T26" s="132"/>
      <c r="U26" s="73"/>
      <c r="V26" s="64"/>
      <c r="W26" s="72"/>
      <c r="X26" s="72"/>
      <c r="Y26" s="55"/>
      <c r="Z26" s="55"/>
      <c r="AA26" s="55"/>
      <c r="AB26" s="55"/>
      <c r="AC26" s="55"/>
      <c r="AD26" s="55"/>
      <c r="AE26" s="70"/>
      <c r="AF26" s="132"/>
      <c r="AG26" s="54"/>
      <c r="AH26" s="77"/>
      <c r="AI26" s="77"/>
    </row>
    <row r="27" spans="1:35" s="22" customFormat="1" ht="20.45" customHeight="1" x14ac:dyDescent="0.6">
      <c r="A27" s="72"/>
      <c r="B27" s="117"/>
      <c r="C27" s="107"/>
      <c r="D27" s="130"/>
      <c r="E27" s="131"/>
      <c r="F27" s="118"/>
      <c r="G27" s="70"/>
      <c r="H27" s="96"/>
      <c r="I27" s="97"/>
      <c r="J27" s="97"/>
      <c r="K27" s="97"/>
      <c r="L27" s="97"/>
      <c r="M27" s="97"/>
      <c r="N27" s="120"/>
      <c r="O27" s="72"/>
      <c r="P27" s="121"/>
      <c r="Q27" s="96"/>
      <c r="R27" s="103"/>
      <c r="S27" s="96"/>
      <c r="T27" s="132"/>
      <c r="U27" s="73"/>
      <c r="V27" s="64"/>
      <c r="W27" s="72"/>
      <c r="X27" s="72"/>
      <c r="Y27" s="55"/>
      <c r="Z27" s="55"/>
      <c r="AA27" s="55"/>
      <c r="AB27" s="55"/>
      <c r="AC27" s="55"/>
      <c r="AD27" s="55"/>
      <c r="AE27" s="70"/>
      <c r="AF27" s="132"/>
      <c r="AG27" s="54"/>
      <c r="AH27" s="77"/>
      <c r="AI27" s="77"/>
    </row>
    <row r="28" spans="1:35" s="22" customFormat="1" ht="20.45" customHeight="1" x14ac:dyDescent="0.6">
      <c r="A28" s="72"/>
      <c r="B28" s="117"/>
      <c r="C28" s="107"/>
      <c r="D28" s="130"/>
      <c r="E28" s="131"/>
      <c r="F28" s="118"/>
      <c r="G28" s="70"/>
      <c r="H28" s="96"/>
      <c r="I28" s="97"/>
      <c r="J28" s="97"/>
      <c r="K28" s="97"/>
      <c r="L28" s="97"/>
      <c r="M28" s="97"/>
      <c r="N28" s="120"/>
      <c r="O28" s="72"/>
      <c r="P28" s="121"/>
      <c r="Q28" s="96"/>
      <c r="R28" s="103"/>
      <c r="S28" s="96"/>
      <c r="T28" s="132"/>
      <c r="U28" s="73"/>
      <c r="V28" s="64"/>
      <c r="W28" s="72"/>
      <c r="X28" s="72"/>
      <c r="Y28" s="55"/>
      <c r="Z28" s="55"/>
      <c r="AA28" s="55"/>
      <c r="AB28" s="55"/>
      <c r="AC28" s="55"/>
      <c r="AD28" s="55"/>
      <c r="AE28" s="70"/>
      <c r="AF28" s="132"/>
      <c r="AG28" s="54"/>
      <c r="AH28" s="77"/>
      <c r="AI28" s="77"/>
    </row>
    <row r="29" spans="1:35" s="22" customFormat="1" ht="20.45" customHeight="1" x14ac:dyDescent="0.6">
      <c r="A29" s="72"/>
      <c r="B29" s="117"/>
      <c r="C29" s="107"/>
      <c r="D29" s="130"/>
      <c r="E29" s="131"/>
      <c r="F29" s="118"/>
      <c r="G29" s="70"/>
      <c r="H29" s="96"/>
      <c r="I29" s="97"/>
      <c r="J29" s="97"/>
      <c r="K29" s="97"/>
      <c r="L29" s="97"/>
      <c r="M29" s="97"/>
      <c r="N29" s="120"/>
      <c r="O29" s="72"/>
      <c r="P29" s="121"/>
      <c r="Q29" s="96"/>
      <c r="R29" s="103"/>
      <c r="S29" s="96"/>
      <c r="T29" s="132"/>
      <c r="U29" s="73"/>
      <c r="V29" s="64"/>
      <c r="W29" s="72"/>
      <c r="X29" s="72"/>
      <c r="Y29" s="55"/>
      <c r="Z29" s="55"/>
      <c r="AA29" s="55"/>
      <c r="AB29" s="55"/>
      <c r="AC29" s="55"/>
      <c r="AD29" s="55"/>
      <c r="AE29" s="70"/>
      <c r="AF29" s="132"/>
      <c r="AG29" s="54"/>
      <c r="AH29" s="77"/>
      <c r="AI29" s="77"/>
    </row>
    <row r="30" spans="1:35" s="24" customFormat="1" ht="20.45" customHeight="1" x14ac:dyDescent="0.6">
      <c r="A30" s="98" t="s">
        <v>39</v>
      </c>
      <c r="B30" s="112"/>
      <c r="C30" s="99"/>
      <c r="D30" s="99"/>
      <c r="E30" s="100"/>
      <c r="F30" s="99"/>
      <c r="G30" s="166">
        <f ca="1">SUM(INDIRECT("g5:g"&amp;ROW()-1))</f>
        <v>0</v>
      </c>
      <c r="H30" s="166"/>
      <c r="I30" s="166">
        <f ca="1">SUM(INDIRECT("i5:i"&amp;ROW()-1))</f>
        <v>4836300</v>
      </c>
      <c r="J30" s="166">
        <f ca="1">SUM(INDIRECT("j5:j"&amp;ROW()-1))</f>
        <v>0</v>
      </c>
      <c r="K30" s="166">
        <f ca="1">SUM(INDIRECT("K5:K"&amp;ROW()-1))</f>
        <v>0</v>
      </c>
      <c r="L30" s="166">
        <f ca="1">SUM(INDIRECT("l5:l"&amp;ROW()-1))</f>
        <v>0</v>
      </c>
      <c r="M30" s="166">
        <f ca="1">SUM(INDIRECT("m5:m"&amp;ROW()-1))</f>
        <v>0</v>
      </c>
      <c r="N30" s="205">
        <f ca="1">SUM(INDIRECT("n5:n"&amp;ROW()-1))</f>
        <v>0</v>
      </c>
      <c r="O30" s="166"/>
      <c r="P30" s="166"/>
      <c r="Q30" s="166"/>
      <c r="R30" s="166"/>
      <c r="S30" s="166"/>
      <c r="T30" s="166">
        <f ca="1">SUM(INDIRECT("t5:t"&amp;ROW()-1))</f>
        <v>4836300</v>
      </c>
      <c r="U30" s="166">
        <f t="shared" ref="U30" ca="1" si="15">SUM(INDIRECT("K5:K"&amp;ROW()-1))</f>
        <v>0</v>
      </c>
      <c r="V30" s="166"/>
      <c r="W30" s="166"/>
      <c r="X30" s="166"/>
      <c r="Y30" s="166">
        <f ca="1">SUM(INDIRECT("y5:y"&amp;ROW()-1))</f>
        <v>0</v>
      </c>
      <c r="Z30" s="166">
        <f ca="1">SUM(INDIRECT("z5:z"&amp;ROW()-1))</f>
        <v>0</v>
      </c>
      <c r="AA30" s="166">
        <f ca="1">SUM(INDIRECT("aa5:aa"&amp;ROW()-1))</f>
        <v>0</v>
      </c>
      <c r="AB30" s="166">
        <f ca="1">SUM(INDIRECT("ab5:ab"&amp;ROW()-1))</f>
        <v>0</v>
      </c>
      <c r="AC30" s="166">
        <f ca="1">SUM(INDIRECT("ac5:ac"&amp;ROW()-1))</f>
        <v>0</v>
      </c>
      <c r="AD30" s="166">
        <f ca="1">SUM(INDIRECT("ad5:ad"&amp;ROW()-1))</f>
        <v>31880</v>
      </c>
      <c r="AE30" s="166">
        <f ca="1">SUM(INDIRECT("ae5:ae"&amp;ROW()-1))</f>
        <v>3863400</v>
      </c>
      <c r="AF30" s="166">
        <f ca="1">SUM(INDIRECT("af5:af"&amp;ROW()-1))</f>
        <v>3895280</v>
      </c>
      <c r="AG30" s="166">
        <f ca="1">SUM(INDIRECT("ag5:ag"&amp;ROW()-1))</f>
        <v>941020</v>
      </c>
      <c r="AH30" s="78"/>
      <c r="AI30" s="78"/>
    </row>
    <row r="31" spans="1:35" ht="11.45" customHeight="1" x14ac:dyDescent="0.6">
      <c r="A31" s="26">
        <v>1</v>
      </c>
      <c r="B31" s="113">
        <v>2</v>
      </c>
      <c r="C31" s="26">
        <v>3</v>
      </c>
      <c r="D31" s="26">
        <v>4</v>
      </c>
      <c r="E31" s="26">
        <v>5</v>
      </c>
      <c r="F31" s="26"/>
      <c r="G31" s="26">
        <v>6</v>
      </c>
      <c r="H31" s="26">
        <v>7</v>
      </c>
      <c r="I31" s="26">
        <v>8</v>
      </c>
      <c r="J31" s="26">
        <v>9</v>
      </c>
      <c r="K31" s="26">
        <v>10</v>
      </c>
      <c r="L31" s="26">
        <v>11</v>
      </c>
      <c r="M31" s="26">
        <v>12</v>
      </c>
      <c r="N31" s="125">
        <v>13</v>
      </c>
      <c r="O31" s="26">
        <v>14</v>
      </c>
      <c r="P31" s="26">
        <v>15</v>
      </c>
      <c r="Q31" s="26">
        <v>16</v>
      </c>
      <c r="R31" s="26">
        <v>17</v>
      </c>
      <c r="S31" s="26">
        <v>18</v>
      </c>
      <c r="T31" s="26">
        <v>19</v>
      </c>
      <c r="U31" s="26">
        <v>20</v>
      </c>
      <c r="V31" s="26">
        <v>21</v>
      </c>
      <c r="W31" s="26">
        <v>22</v>
      </c>
      <c r="X31" s="26">
        <v>23</v>
      </c>
      <c r="Y31" s="26">
        <v>24</v>
      </c>
      <c r="Z31" s="26">
        <v>25</v>
      </c>
      <c r="AA31" s="26">
        <v>26</v>
      </c>
      <c r="AB31" s="26">
        <v>27</v>
      </c>
      <c r="AC31" s="26">
        <v>28</v>
      </c>
      <c r="AD31" s="26">
        <v>29</v>
      </c>
      <c r="AE31" s="26">
        <v>30</v>
      </c>
      <c r="AF31" s="26">
        <v>31</v>
      </c>
      <c r="AG31" s="26">
        <v>32</v>
      </c>
      <c r="AH31" s="26">
        <v>33</v>
      </c>
      <c r="AI31" s="26">
        <v>33</v>
      </c>
    </row>
    <row r="32" spans="1:35" x14ac:dyDescent="0.6">
      <c r="A32" s="17"/>
      <c r="C32" s="17"/>
      <c r="D32" s="17"/>
      <c r="E32" s="17"/>
      <c r="F32" s="17"/>
      <c r="G32" s="17"/>
      <c r="I32" s="17"/>
      <c r="J32" s="17"/>
      <c r="K32" s="17"/>
      <c r="L32" s="17"/>
      <c r="M32" s="17"/>
      <c r="N32" s="126"/>
      <c r="W32" s="17"/>
      <c r="Y32" s="29"/>
    </row>
    <row r="33" spans="1:25" x14ac:dyDescent="0.6">
      <c r="A33" s="17"/>
      <c r="C33" s="17"/>
      <c r="D33" s="17"/>
      <c r="E33" s="17"/>
      <c r="F33" s="17"/>
      <c r="G33" s="17"/>
      <c r="I33" s="17"/>
      <c r="J33" s="17"/>
      <c r="K33" s="17"/>
      <c r="L33" s="17"/>
      <c r="M33" s="17"/>
      <c r="N33" s="126"/>
      <c r="W33" s="17"/>
      <c r="Y33" s="29"/>
    </row>
    <row r="34" spans="1:25" x14ac:dyDescent="0.6">
      <c r="A34" s="17"/>
      <c r="C34" s="17"/>
      <c r="D34" s="17"/>
      <c r="E34" s="17"/>
      <c r="F34" s="17"/>
      <c r="G34" s="17"/>
      <c r="I34" s="17"/>
      <c r="J34" s="17"/>
      <c r="K34" s="17"/>
      <c r="L34" s="17"/>
      <c r="M34" s="17"/>
      <c r="N34" s="126"/>
      <c r="W34" s="17"/>
      <c r="Y34" s="29"/>
    </row>
    <row r="35" spans="1:25" x14ac:dyDescent="0.6">
      <c r="A35" s="17"/>
      <c r="C35" s="17"/>
      <c r="D35" s="17"/>
      <c r="E35" s="17"/>
      <c r="F35" s="17"/>
      <c r="G35" s="17"/>
      <c r="I35" s="17"/>
      <c r="J35" s="17"/>
      <c r="K35" s="17"/>
      <c r="L35" s="17"/>
      <c r="M35" s="17"/>
      <c r="N35" s="126"/>
      <c r="W35" s="17"/>
      <c r="Y35" s="29"/>
    </row>
  </sheetData>
  <mergeCells count="24">
    <mergeCell ref="AI4:AI5"/>
    <mergeCell ref="S4:S5"/>
    <mergeCell ref="A1:T1"/>
    <mergeCell ref="W1:AG1"/>
    <mergeCell ref="A4:A5"/>
    <mergeCell ref="B4:B5"/>
    <mergeCell ref="C4:C5"/>
    <mergeCell ref="D4:D5"/>
    <mergeCell ref="E4:E5"/>
    <mergeCell ref="F4:F5"/>
    <mergeCell ref="G4:G5"/>
    <mergeCell ref="H4:H5"/>
    <mergeCell ref="I4:N4"/>
    <mergeCell ref="O4:O5"/>
    <mergeCell ref="P4:P5"/>
    <mergeCell ref="Q4:Q5"/>
    <mergeCell ref="R4:R5"/>
    <mergeCell ref="AH4:AH5"/>
    <mergeCell ref="T4:T5"/>
    <mergeCell ref="W4:W5"/>
    <mergeCell ref="X4:X5"/>
    <mergeCell ref="Y4:AD4"/>
    <mergeCell ref="AF4:AF5"/>
    <mergeCell ref="AG4:AG5"/>
  </mergeCells>
  <phoneticPr fontId="1" type="noConversion"/>
  <conditionalFormatting sqref="F6:F29">
    <cfRule type="cellIs" dxfId="5" priority="1" operator="greaterThan">
      <formula>43523</formula>
    </cfRule>
    <cfRule type="cellIs" dxfId="3" priority="4" operator="lessThan">
      <formula>40179</formula>
    </cfRule>
  </conditionalFormatting>
  <conditionalFormatting sqref="N6:N29">
    <cfRule type="cellIs" dxfId="2" priority="5" operator="greaterThan">
      <formula>0</formula>
    </cfRule>
  </conditionalFormatting>
  <conditionalFormatting sqref="P6:P29">
    <cfRule type="cellIs" dxfId="1" priority="3" operator="greaterThan">
      <formula>0</formula>
    </cfRule>
  </conditionalFormatting>
  <conditionalFormatting sqref="AE6:AE29">
    <cfRule type="cellIs" dxfId="0" priority="6" operator="greaterThan">
      <formula>0</formula>
    </cfRule>
  </conditionalFormatting>
  <printOptions horizontalCentered="1" verticalCentered="1"/>
  <pageMargins left="0.31496062992125984" right="0" top="0.15748031496062992" bottom="0.15748031496062992" header="0.47244094488188981" footer="0.15748031496062992"/>
  <pageSetup paperSize="9" scale="61" orientation="landscape" r:id="rId1"/>
  <headerFooter alignWithMargins="0"/>
  <colBreaks count="1" manualBreakCount="1">
    <brk id="22" max="50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D9A785C-4337-437A-979B-D49734761A3A}">
            <xm:f>NOT(ISERROR(SEARCH("-",F6)))</xm:f>
            <xm:f>"-"</xm:f>
            <x14:dxf>
              <fill>
                <patternFill>
                  <bgColor rgb="FFFFC7CE"/>
                </patternFill>
              </fill>
            </x14:dxf>
          </x14:cfRule>
          <xm:sqref>F6:F29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2BFC-B555-4AF0-B963-3C62CE4D925F}">
  <sheetPr codeName="Sheet8">
    <tabColor theme="4"/>
    <pageSetUpPr fitToPage="1"/>
  </sheetPr>
  <dimension ref="A1:M1127"/>
  <sheetViews>
    <sheetView view="pageBreakPreview" topLeftCell="A262" zoomScaleNormal="100" zoomScaleSheetLayoutView="100" workbookViewId="0">
      <selection activeCell="A281" sqref="A281:B281"/>
    </sheetView>
  </sheetViews>
  <sheetFormatPr defaultRowHeight="20.45" customHeight="1" x14ac:dyDescent="0.6"/>
  <cols>
    <col min="1" max="1" width="3.125" style="31" bestFit="1" customWidth="1"/>
    <col min="2" max="2" width="12.3125" style="31" customWidth="1"/>
    <col min="3" max="3" width="11.6875" style="31" customWidth="1"/>
    <col min="4" max="4" width="8.875" style="31" customWidth="1"/>
    <col min="5" max="6" width="9" style="31"/>
    <col min="7" max="7" width="2.125" style="31" customWidth="1"/>
    <col min="8" max="8" width="12.3125" style="31" customWidth="1"/>
    <col min="9" max="9" width="9.6875" style="31" bestFit="1" customWidth="1"/>
    <col min="10" max="10" width="12.3125" style="31" customWidth="1"/>
    <col min="11" max="11" width="4.875" style="30" customWidth="1"/>
    <col min="12" max="256" width="9" style="31"/>
    <col min="257" max="257" width="3.125" style="31" bestFit="1" customWidth="1"/>
    <col min="258" max="258" width="11.3125" style="31" bestFit="1" customWidth="1"/>
    <col min="259" max="259" width="11.6875" style="31" customWidth="1"/>
    <col min="260" max="260" width="8.875" style="31" customWidth="1"/>
    <col min="261" max="262" width="9" style="31"/>
    <col min="263" max="263" width="2.125" style="31" customWidth="1"/>
    <col min="264" max="264" width="9.3125" style="31" customWidth="1"/>
    <col min="265" max="265" width="9.6875" style="31" bestFit="1" customWidth="1"/>
    <col min="266" max="266" width="12.3125" style="31" customWidth="1"/>
    <col min="267" max="267" width="4.875" style="31" customWidth="1"/>
    <col min="268" max="512" width="9" style="31"/>
    <col min="513" max="513" width="3.125" style="31" bestFit="1" customWidth="1"/>
    <col min="514" max="514" width="11.3125" style="31" bestFit="1" customWidth="1"/>
    <col min="515" max="515" width="11.6875" style="31" customWidth="1"/>
    <col min="516" max="516" width="8.875" style="31" customWidth="1"/>
    <col min="517" max="518" width="9" style="31"/>
    <col min="519" max="519" width="2.125" style="31" customWidth="1"/>
    <col min="520" max="520" width="9.3125" style="31" customWidth="1"/>
    <col min="521" max="521" width="9.6875" style="31" bestFit="1" customWidth="1"/>
    <col min="522" max="522" width="12.3125" style="31" customWidth="1"/>
    <col min="523" max="523" width="4.875" style="31" customWidth="1"/>
    <col min="524" max="768" width="9" style="31"/>
    <col min="769" max="769" width="3.125" style="31" bestFit="1" customWidth="1"/>
    <col min="770" max="770" width="11.3125" style="31" bestFit="1" customWidth="1"/>
    <col min="771" max="771" width="11.6875" style="31" customWidth="1"/>
    <col min="772" max="772" width="8.875" style="31" customWidth="1"/>
    <col min="773" max="774" width="9" style="31"/>
    <col min="775" max="775" width="2.125" style="31" customWidth="1"/>
    <col min="776" max="776" width="9.3125" style="31" customWidth="1"/>
    <col min="777" max="777" width="9.6875" style="31" bestFit="1" customWidth="1"/>
    <col min="778" max="778" width="12.3125" style="31" customWidth="1"/>
    <col min="779" max="779" width="4.875" style="31" customWidth="1"/>
    <col min="780" max="1024" width="9" style="31"/>
    <col min="1025" max="1025" width="3.125" style="31" bestFit="1" customWidth="1"/>
    <col min="1026" max="1026" width="11.3125" style="31" bestFit="1" customWidth="1"/>
    <col min="1027" max="1027" width="11.6875" style="31" customWidth="1"/>
    <col min="1028" max="1028" width="8.875" style="31" customWidth="1"/>
    <col min="1029" max="1030" width="9" style="31"/>
    <col min="1031" max="1031" width="2.125" style="31" customWidth="1"/>
    <col min="1032" max="1032" width="9.3125" style="31" customWidth="1"/>
    <col min="1033" max="1033" width="9.6875" style="31" bestFit="1" customWidth="1"/>
    <col min="1034" max="1034" width="12.3125" style="31" customWidth="1"/>
    <col min="1035" max="1035" width="4.875" style="31" customWidth="1"/>
    <col min="1036" max="1280" width="9" style="31"/>
    <col min="1281" max="1281" width="3.125" style="31" bestFit="1" customWidth="1"/>
    <col min="1282" max="1282" width="11.3125" style="31" bestFit="1" customWidth="1"/>
    <col min="1283" max="1283" width="11.6875" style="31" customWidth="1"/>
    <col min="1284" max="1284" width="8.875" style="31" customWidth="1"/>
    <col min="1285" max="1286" width="9" style="31"/>
    <col min="1287" max="1287" width="2.125" style="31" customWidth="1"/>
    <col min="1288" max="1288" width="9.3125" style="31" customWidth="1"/>
    <col min="1289" max="1289" width="9.6875" style="31" bestFit="1" customWidth="1"/>
    <col min="1290" max="1290" width="12.3125" style="31" customWidth="1"/>
    <col min="1291" max="1291" width="4.875" style="31" customWidth="1"/>
    <col min="1292" max="1536" width="9" style="31"/>
    <col min="1537" max="1537" width="3.125" style="31" bestFit="1" customWidth="1"/>
    <col min="1538" max="1538" width="11.3125" style="31" bestFit="1" customWidth="1"/>
    <col min="1539" max="1539" width="11.6875" style="31" customWidth="1"/>
    <col min="1540" max="1540" width="8.875" style="31" customWidth="1"/>
    <col min="1541" max="1542" width="9" style="31"/>
    <col min="1543" max="1543" width="2.125" style="31" customWidth="1"/>
    <col min="1544" max="1544" width="9.3125" style="31" customWidth="1"/>
    <col min="1545" max="1545" width="9.6875" style="31" bestFit="1" customWidth="1"/>
    <col min="1546" max="1546" width="12.3125" style="31" customWidth="1"/>
    <col min="1547" max="1547" width="4.875" style="31" customWidth="1"/>
    <col min="1548" max="1792" width="9" style="31"/>
    <col min="1793" max="1793" width="3.125" style="31" bestFit="1" customWidth="1"/>
    <col min="1794" max="1794" width="11.3125" style="31" bestFit="1" customWidth="1"/>
    <col min="1795" max="1795" width="11.6875" style="31" customWidth="1"/>
    <col min="1796" max="1796" width="8.875" style="31" customWidth="1"/>
    <col min="1797" max="1798" width="9" style="31"/>
    <col min="1799" max="1799" width="2.125" style="31" customWidth="1"/>
    <col min="1800" max="1800" width="9.3125" style="31" customWidth="1"/>
    <col min="1801" max="1801" width="9.6875" style="31" bestFit="1" customWidth="1"/>
    <col min="1802" max="1802" width="12.3125" style="31" customWidth="1"/>
    <col min="1803" max="1803" width="4.875" style="31" customWidth="1"/>
    <col min="1804" max="2048" width="9" style="31"/>
    <col min="2049" max="2049" width="3.125" style="31" bestFit="1" customWidth="1"/>
    <col min="2050" max="2050" width="11.3125" style="31" bestFit="1" customWidth="1"/>
    <col min="2051" max="2051" width="11.6875" style="31" customWidth="1"/>
    <col min="2052" max="2052" width="8.875" style="31" customWidth="1"/>
    <col min="2053" max="2054" width="9" style="31"/>
    <col min="2055" max="2055" width="2.125" style="31" customWidth="1"/>
    <col min="2056" max="2056" width="9.3125" style="31" customWidth="1"/>
    <col min="2057" max="2057" width="9.6875" style="31" bestFit="1" customWidth="1"/>
    <col min="2058" max="2058" width="12.3125" style="31" customWidth="1"/>
    <col min="2059" max="2059" width="4.875" style="31" customWidth="1"/>
    <col min="2060" max="2304" width="9" style="31"/>
    <col min="2305" max="2305" width="3.125" style="31" bestFit="1" customWidth="1"/>
    <col min="2306" max="2306" width="11.3125" style="31" bestFit="1" customWidth="1"/>
    <col min="2307" max="2307" width="11.6875" style="31" customWidth="1"/>
    <col min="2308" max="2308" width="8.875" style="31" customWidth="1"/>
    <col min="2309" max="2310" width="9" style="31"/>
    <col min="2311" max="2311" width="2.125" style="31" customWidth="1"/>
    <col min="2312" max="2312" width="9.3125" style="31" customWidth="1"/>
    <col min="2313" max="2313" width="9.6875" style="31" bestFit="1" customWidth="1"/>
    <col min="2314" max="2314" width="12.3125" style="31" customWidth="1"/>
    <col min="2315" max="2315" width="4.875" style="31" customWidth="1"/>
    <col min="2316" max="2560" width="9" style="31"/>
    <col min="2561" max="2561" width="3.125" style="31" bestFit="1" customWidth="1"/>
    <col min="2562" max="2562" width="11.3125" style="31" bestFit="1" customWidth="1"/>
    <col min="2563" max="2563" width="11.6875" style="31" customWidth="1"/>
    <col min="2564" max="2564" width="8.875" style="31" customWidth="1"/>
    <col min="2565" max="2566" width="9" style="31"/>
    <col min="2567" max="2567" width="2.125" style="31" customWidth="1"/>
    <col min="2568" max="2568" width="9.3125" style="31" customWidth="1"/>
    <col min="2569" max="2569" width="9.6875" style="31" bestFit="1" customWidth="1"/>
    <col min="2570" max="2570" width="12.3125" style="31" customWidth="1"/>
    <col min="2571" max="2571" width="4.875" style="31" customWidth="1"/>
    <col min="2572" max="2816" width="9" style="31"/>
    <col min="2817" max="2817" width="3.125" style="31" bestFit="1" customWidth="1"/>
    <col min="2818" max="2818" width="11.3125" style="31" bestFit="1" customWidth="1"/>
    <col min="2819" max="2819" width="11.6875" style="31" customWidth="1"/>
    <col min="2820" max="2820" width="8.875" style="31" customWidth="1"/>
    <col min="2821" max="2822" width="9" style="31"/>
    <col min="2823" max="2823" width="2.125" style="31" customWidth="1"/>
    <col min="2824" max="2824" width="9.3125" style="31" customWidth="1"/>
    <col min="2825" max="2825" width="9.6875" style="31" bestFit="1" customWidth="1"/>
    <col min="2826" max="2826" width="12.3125" style="31" customWidth="1"/>
    <col min="2827" max="2827" width="4.875" style="31" customWidth="1"/>
    <col min="2828" max="3072" width="9" style="31"/>
    <col min="3073" max="3073" width="3.125" style="31" bestFit="1" customWidth="1"/>
    <col min="3074" max="3074" width="11.3125" style="31" bestFit="1" customWidth="1"/>
    <col min="3075" max="3075" width="11.6875" style="31" customWidth="1"/>
    <col min="3076" max="3076" width="8.875" style="31" customWidth="1"/>
    <col min="3077" max="3078" width="9" style="31"/>
    <col min="3079" max="3079" width="2.125" style="31" customWidth="1"/>
    <col min="3080" max="3080" width="9.3125" style="31" customWidth="1"/>
    <col min="3081" max="3081" width="9.6875" style="31" bestFit="1" customWidth="1"/>
    <col min="3082" max="3082" width="12.3125" style="31" customWidth="1"/>
    <col min="3083" max="3083" width="4.875" style="31" customWidth="1"/>
    <col min="3084" max="3328" width="9" style="31"/>
    <col min="3329" max="3329" width="3.125" style="31" bestFit="1" customWidth="1"/>
    <col min="3330" max="3330" width="11.3125" style="31" bestFit="1" customWidth="1"/>
    <col min="3331" max="3331" width="11.6875" style="31" customWidth="1"/>
    <col min="3332" max="3332" width="8.875" style="31" customWidth="1"/>
    <col min="3333" max="3334" width="9" style="31"/>
    <col min="3335" max="3335" width="2.125" style="31" customWidth="1"/>
    <col min="3336" max="3336" width="9.3125" style="31" customWidth="1"/>
    <col min="3337" max="3337" width="9.6875" style="31" bestFit="1" customWidth="1"/>
    <col min="3338" max="3338" width="12.3125" style="31" customWidth="1"/>
    <col min="3339" max="3339" width="4.875" style="31" customWidth="1"/>
    <col min="3340" max="3584" width="9" style="31"/>
    <col min="3585" max="3585" width="3.125" style="31" bestFit="1" customWidth="1"/>
    <col min="3586" max="3586" width="11.3125" style="31" bestFit="1" customWidth="1"/>
    <col min="3587" max="3587" width="11.6875" style="31" customWidth="1"/>
    <col min="3588" max="3588" width="8.875" style="31" customWidth="1"/>
    <col min="3589" max="3590" width="9" style="31"/>
    <col min="3591" max="3591" width="2.125" style="31" customWidth="1"/>
    <col min="3592" max="3592" width="9.3125" style="31" customWidth="1"/>
    <col min="3593" max="3593" width="9.6875" style="31" bestFit="1" customWidth="1"/>
    <col min="3594" max="3594" width="12.3125" style="31" customWidth="1"/>
    <col min="3595" max="3595" width="4.875" style="31" customWidth="1"/>
    <col min="3596" max="3840" width="9" style="31"/>
    <col min="3841" max="3841" width="3.125" style="31" bestFit="1" customWidth="1"/>
    <col min="3842" max="3842" width="11.3125" style="31" bestFit="1" customWidth="1"/>
    <col min="3843" max="3843" width="11.6875" style="31" customWidth="1"/>
    <col min="3844" max="3844" width="8.875" style="31" customWidth="1"/>
    <col min="3845" max="3846" width="9" style="31"/>
    <col min="3847" max="3847" width="2.125" style="31" customWidth="1"/>
    <col min="3848" max="3848" width="9.3125" style="31" customWidth="1"/>
    <col min="3849" max="3849" width="9.6875" style="31" bestFit="1" customWidth="1"/>
    <col min="3850" max="3850" width="12.3125" style="31" customWidth="1"/>
    <col min="3851" max="3851" width="4.875" style="31" customWidth="1"/>
    <col min="3852" max="4096" width="9" style="31"/>
    <col min="4097" max="4097" width="3.125" style="31" bestFit="1" customWidth="1"/>
    <col min="4098" max="4098" width="11.3125" style="31" bestFit="1" customWidth="1"/>
    <col min="4099" max="4099" width="11.6875" style="31" customWidth="1"/>
    <col min="4100" max="4100" width="8.875" style="31" customWidth="1"/>
    <col min="4101" max="4102" width="9" style="31"/>
    <col min="4103" max="4103" width="2.125" style="31" customWidth="1"/>
    <col min="4104" max="4104" width="9.3125" style="31" customWidth="1"/>
    <col min="4105" max="4105" width="9.6875" style="31" bestFit="1" customWidth="1"/>
    <col min="4106" max="4106" width="12.3125" style="31" customWidth="1"/>
    <col min="4107" max="4107" width="4.875" style="31" customWidth="1"/>
    <col min="4108" max="4352" width="9" style="31"/>
    <col min="4353" max="4353" width="3.125" style="31" bestFit="1" customWidth="1"/>
    <col min="4354" max="4354" width="11.3125" style="31" bestFit="1" customWidth="1"/>
    <col min="4355" max="4355" width="11.6875" style="31" customWidth="1"/>
    <col min="4356" max="4356" width="8.875" style="31" customWidth="1"/>
    <col min="4357" max="4358" width="9" style="31"/>
    <col min="4359" max="4359" width="2.125" style="31" customWidth="1"/>
    <col min="4360" max="4360" width="9.3125" style="31" customWidth="1"/>
    <col min="4361" max="4361" width="9.6875" style="31" bestFit="1" customWidth="1"/>
    <col min="4362" max="4362" width="12.3125" style="31" customWidth="1"/>
    <col min="4363" max="4363" width="4.875" style="31" customWidth="1"/>
    <col min="4364" max="4608" width="9" style="31"/>
    <col min="4609" max="4609" width="3.125" style="31" bestFit="1" customWidth="1"/>
    <col min="4610" max="4610" width="11.3125" style="31" bestFit="1" customWidth="1"/>
    <col min="4611" max="4611" width="11.6875" style="31" customWidth="1"/>
    <col min="4612" max="4612" width="8.875" style="31" customWidth="1"/>
    <col min="4613" max="4614" width="9" style="31"/>
    <col min="4615" max="4615" width="2.125" style="31" customWidth="1"/>
    <col min="4616" max="4616" width="9.3125" style="31" customWidth="1"/>
    <col min="4617" max="4617" width="9.6875" style="31" bestFit="1" customWidth="1"/>
    <col min="4618" max="4618" width="12.3125" style="31" customWidth="1"/>
    <col min="4619" max="4619" width="4.875" style="31" customWidth="1"/>
    <col min="4620" max="4864" width="9" style="31"/>
    <col min="4865" max="4865" width="3.125" style="31" bestFit="1" customWidth="1"/>
    <col min="4866" max="4866" width="11.3125" style="31" bestFit="1" customWidth="1"/>
    <col min="4867" max="4867" width="11.6875" style="31" customWidth="1"/>
    <col min="4868" max="4868" width="8.875" style="31" customWidth="1"/>
    <col min="4869" max="4870" width="9" style="31"/>
    <col min="4871" max="4871" width="2.125" style="31" customWidth="1"/>
    <col min="4872" max="4872" width="9.3125" style="31" customWidth="1"/>
    <col min="4873" max="4873" width="9.6875" style="31" bestFit="1" customWidth="1"/>
    <col min="4874" max="4874" width="12.3125" style="31" customWidth="1"/>
    <col min="4875" max="4875" width="4.875" style="31" customWidth="1"/>
    <col min="4876" max="5120" width="9" style="31"/>
    <col min="5121" max="5121" width="3.125" style="31" bestFit="1" customWidth="1"/>
    <col min="5122" max="5122" width="11.3125" style="31" bestFit="1" customWidth="1"/>
    <col min="5123" max="5123" width="11.6875" style="31" customWidth="1"/>
    <col min="5124" max="5124" width="8.875" style="31" customWidth="1"/>
    <col min="5125" max="5126" width="9" style="31"/>
    <col min="5127" max="5127" width="2.125" style="31" customWidth="1"/>
    <col min="5128" max="5128" width="9.3125" style="31" customWidth="1"/>
    <col min="5129" max="5129" width="9.6875" style="31" bestFit="1" customWidth="1"/>
    <col min="5130" max="5130" width="12.3125" style="31" customWidth="1"/>
    <col min="5131" max="5131" width="4.875" style="31" customWidth="1"/>
    <col min="5132" max="5376" width="9" style="31"/>
    <col min="5377" max="5377" width="3.125" style="31" bestFit="1" customWidth="1"/>
    <col min="5378" max="5378" width="11.3125" style="31" bestFit="1" customWidth="1"/>
    <col min="5379" max="5379" width="11.6875" style="31" customWidth="1"/>
    <col min="5380" max="5380" width="8.875" style="31" customWidth="1"/>
    <col min="5381" max="5382" width="9" style="31"/>
    <col min="5383" max="5383" width="2.125" style="31" customWidth="1"/>
    <col min="5384" max="5384" width="9.3125" style="31" customWidth="1"/>
    <col min="5385" max="5385" width="9.6875" style="31" bestFit="1" customWidth="1"/>
    <col min="5386" max="5386" width="12.3125" style="31" customWidth="1"/>
    <col min="5387" max="5387" width="4.875" style="31" customWidth="1"/>
    <col min="5388" max="5632" width="9" style="31"/>
    <col min="5633" max="5633" width="3.125" style="31" bestFit="1" customWidth="1"/>
    <col min="5634" max="5634" width="11.3125" style="31" bestFit="1" customWidth="1"/>
    <col min="5635" max="5635" width="11.6875" style="31" customWidth="1"/>
    <col min="5636" max="5636" width="8.875" style="31" customWidth="1"/>
    <col min="5637" max="5638" width="9" style="31"/>
    <col min="5639" max="5639" width="2.125" style="31" customWidth="1"/>
    <col min="5640" max="5640" width="9.3125" style="31" customWidth="1"/>
    <col min="5641" max="5641" width="9.6875" style="31" bestFit="1" customWidth="1"/>
    <col min="5642" max="5642" width="12.3125" style="31" customWidth="1"/>
    <col min="5643" max="5643" width="4.875" style="31" customWidth="1"/>
    <col min="5644" max="5888" width="9" style="31"/>
    <col min="5889" max="5889" width="3.125" style="31" bestFit="1" customWidth="1"/>
    <col min="5890" max="5890" width="11.3125" style="31" bestFit="1" customWidth="1"/>
    <col min="5891" max="5891" width="11.6875" style="31" customWidth="1"/>
    <col min="5892" max="5892" width="8.875" style="31" customWidth="1"/>
    <col min="5893" max="5894" width="9" style="31"/>
    <col min="5895" max="5895" width="2.125" style="31" customWidth="1"/>
    <col min="5896" max="5896" width="9.3125" style="31" customWidth="1"/>
    <col min="5897" max="5897" width="9.6875" style="31" bestFit="1" customWidth="1"/>
    <col min="5898" max="5898" width="12.3125" style="31" customWidth="1"/>
    <col min="5899" max="5899" width="4.875" style="31" customWidth="1"/>
    <col min="5900" max="6144" width="9" style="31"/>
    <col min="6145" max="6145" width="3.125" style="31" bestFit="1" customWidth="1"/>
    <col min="6146" max="6146" width="11.3125" style="31" bestFit="1" customWidth="1"/>
    <col min="6147" max="6147" width="11.6875" style="31" customWidth="1"/>
    <col min="6148" max="6148" width="8.875" style="31" customWidth="1"/>
    <col min="6149" max="6150" width="9" style="31"/>
    <col min="6151" max="6151" width="2.125" style="31" customWidth="1"/>
    <col min="6152" max="6152" width="9.3125" style="31" customWidth="1"/>
    <col min="6153" max="6153" width="9.6875" style="31" bestFit="1" customWidth="1"/>
    <col min="6154" max="6154" width="12.3125" style="31" customWidth="1"/>
    <col min="6155" max="6155" width="4.875" style="31" customWidth="1"/>
    <col min="6156" max="6400" width="9" style="31"/>
    <col min="6401" max="6401" width="3.125" style="31" bestFit="1" customWidth="1"/>
    <col min="6402" max="6402" width="11.3125" style="31" bestFit="1" customWidth="1"/>
    <col min="6403" max="6403" width="11.6875" style="31" customWidth="1"/>
    <col min="6404" max="6404" width="8.875" style="31" customWidth="1"/>
    <col min="6405" max="6406" width="9" style="31"/>
    <col min="6407" max="6407" width="2.125" style="31" customWidth="1"/>
    <col min="6408" max="6408" width="9.3125" style="31" customWidth="1"/>
    <col min="6409" max="6409" width="9.6875" style="31" bestFit="1" customWidth="1"/>
    <col min="6410" max="6410" width="12.3125" style="31" customWidth="1"/>
    <col min="6411" max="6411" width="4.875" style="31" customWidth="1"/>
    <col min="6412" max="6656" width="9" style="31"/>
    <col min="6657" max="6657" width="3.125" style="31" bestFit="1" customWidth="1"/>
    <col min="6658" max="6658" width="11.3125" style="31" bestFit="1" customWidth="1"/>
    <col min="6659" max="6659" width="11.6875" style="31" customWidth="1"/>
    <col min="6660" max="6660" width="8.875" style="31" customWidth="1"/>
    <col min="6661" max="6662" width="9" style="31"/>
    <col min="6663" max="6663" width="2.125" style="31" customWidth="1"/>
    <col min="6664" max="6664" width="9.3125" style="31" customWidth="1"/>
    <col min="6665" max="6665" width="9.6875" style="31" bestFit="1" customWidth="1"/>
    <col min="6666" max="6666" width="12.3125" style="31" customWidth="1"/>
    <col min="6667" max="6667" width="4.875" style="31" customWidth="1"/>
    <col min="6668" max="6912" width="9" style="31"/>
    <col min="6913" max="6913" width="3.125" style="31" bestFit="1" customWidth="1"/>
    <col min="6914" max="6914" width="11.3125" style="31" bestFit="1" customWidth="1"/>
    <col min="6915" max="6915" width="11.6875" style="31" customWidth="1"/>
    <col min="6916" max="6916" width="8.875" style="31" customWidth="1"/>
    <col min="6917" max="6918" width="9" style="31"/>
    <col min="6919" max="6919" width="2.125" style="31" customWidth="1"/>
    <col min="6920" max="6920" width="9.3125" style="31" customWidth="1"/>
    <col min="6921" max="6921" width="9.6875" style="31" bestFit="1" customWidth="1"/>
    <col min="6922" max="6922" width="12.3125" style="31" customWidth="1"/>
    <col min="6923" max="6923" width="4.875" style="31" customWidth="1"/>
    <col min="6924" max="7168" width="9" style="31"/>
    <col min="7169" max="7169" width="3.125" style="31" bestFit="1" customWidth="1"/>
    <col min="7170" max="7170" width="11.3125" style="31" bestFit="1" customWidth="1"/>
    <col min="7171" max="7171" width="11.6875" style="31" customWidth="1"/>
    <col min="7172" max="7172" width="8.875" style="31" customWidth="1"/>
    <col min="7173" max="7174" width="9" style="31"/>
    <col min="7175" max="7175" width="2.125" style="31" customWidth="1"/>
    <col min="7176" max="7176" width="9.3125" style="31" customWidth="1"/>
    <col min="7177" max="7177" width="9.6875" style="31" bestFit="1" customWidth="1"/>
    <col min="7178" max="7178" width="12.3125" style="31" customWidth="1"/>
    <col min="7179" max="7179" width="4.875" style="31" customWidth="1"/>
    <col min="7180" max="7424" width="9" style="31"/>
    <col min="7425" max="7425" width="3.125" style="31" bestFit="1" customWidth="1"/>
    <col min="7426" max="7426" width="11.3125" style="31" bestFit="1" customWidth="1"/>
    <col min="7427" max="7427" width="11.6875" style="31" customWidth="1"/>
    <col min="7428" max="7428" width="8.875" style="31" customWidth="1"/>
    <col min="7429" max="7430" width="9" style="31"/>
    <col min="7431" max="7431" width="2.125" style="31" customWidth="1"/>
    <col min="7432" max="7432" width="9.3125" style="31" customWidth="1"/>
    <col min="7433" max="7433" width="9.6875" style="31" bestFit="1" customWidth="1"/>
    <col min="7434" max="7434" width="12.3125" style="31" customWidth="1"/>
    <col min="7435" max="7435" width="4.875" style="31" customWidth="1"/>
    <col min="7436" max="7680" width="9" style="31"/>
    <col min="7681" max="7681" width="3.125" style="31" bestFit="1" customWidth="1"/>
    <col min="7682" max="7682" width="11.3125" style="31" bestFit="1" customWidth="1"/>
    <col min="7683" max="7683" width="11.6875" style="31" customWidth="1"/>
    <col min="7684" max="7684" width="8.875" style="31" customWidth="1"/>
    <col min="7685" max="7686" width="9" style="31"/>
    <col min="7687" max="7687" width="2.125" style="31" customWidth="1"/>
    <col min="7688" max="7688" width="9.3125" style="31" customWidth="1"/>
    <col min="7689" max="7689" width="9.6875" style="31" bestFit="1" customWidth="1"/>
    <col min="7690" max="7690" width="12.3125" style="31" customWidth="1"/>
    <col min="7691" max="7691" width="4.875" style="31" customWidth="1"/>
    <col min="7692" max="7936" width="9" style="31"/>
    <col min="7937" max="7937" width="3.125" style="31" bestFit="1" customWidth="1"/>
    <col min="7938" max="7938" width="11.3125" style="31" bestFit="1" customWidth="1"/>
    <col min="7939" max="7939" width="11.6875" style="31" customWidth="1"/>
    <col min="7940" max="7940" width="8.875" style="31" customWidth="1"/>
    <col min="7941" max="7942" width="9" style="31"/>
    <col min="7943" max="7943" width="2.125" style="31" customWidth="1"/>
    <col min="7944" max="7944" width="9.3125" style="31" customWidth="1"/>
    <col min="7945" max="7945" width="9.6875" style="31" bestFit="1" customWidth="1"/>
    <col min="7946" max="7946" width="12.3125" style="31" customWidth="1"/>
    <col min="7947" max="7947" width="4.875" style="31" customWidth="1"/>
    <col min="7948" max="8192" width="9" style="31"/>
    <col min="8193" max="8193" width="3.125" style="31" bestFit="1" customWidth="1"/>
    <col min="8194" max="8194" width="11.3125" style="31" bestFit="1" customWidth="1"/>
    <col min="8195" max="8195" width="11.6875" style="31" customWidth="1"/>
    <col min="8196" max="8196" width="8.875" style="31" customWidth="1"/>
    <col min="8197" max="8198" width="9" style="31"/>
    <col min="8199" max="8199" width="2.125" style="31" customWidth="1"/>
    <col min="8200" max="8200" width="9.3125" style="31" customWidth="1"/>
    <col min="8201" max="8201" width="9.6875" style="31" bestFit="1" customWidth="1"/>
    <col min="8202" max="8202" width="12.3125" style="31" customWidth="1"/>
    <col min="8203" max="8203" width="4.875" style="31" customWidth="1"/>
    <col min="8204" max="8448" width="9" style="31"/>
    <col min="8449" max="8449" width="3.125" style="31" bestFit="1" customWidth="1"/>
    <col min="8450" max="8450" width="11.3125" style="31" bestFit="1" customWidth="1"/>
    <col min="8451" max="8451" width="11.6875" style="31" customWidth="1"/>
    <col min="8452" max="8452" width="8.875" style="31" customWidth="1"/>
    <col min="8453" max="8454" width="9" style="31"/>
    <col min="8455" max="8455" width="2.125" style="31" customWidth="1"/>
    <col min="8456" max="8456" width="9.3125" style="31" customWidth="1"/>
    <col min="8457" max="8457" width="9.6875" style="31" bestFit="1" customWidth="1"/>
    <col min="8458" max="8458" width="12.3125" style="31" customWidth="1"/>
    <col min="8459" max="8459" width="4.875" style="31" customWidth="1"/>
    <col min="8460" max="8704" width="9" style="31"/>
    <col min="8705" max="8705" width="3.125" style="31" bestFit="1" customWidth="1"/>
    <col min="8706" max="8706" width="11.3125" style="31" bestFit="1" customWidth="1"/>
    <col min="8707" max="8707" width="11.6875" style="31" customWidth="1"/>
    <col min="8708" max="8708" width="8.875" style="31" customWidth="1"/>
    <col min="8709" max="8710" width="9" style="31"/>
    <col min="8711" max="8711" width="2.125" style="31" customWidth="1"/>
    <col min="8712" max="8712" width="9.3125" style="31" customWidth="1"/>
    <col min="8713" max="8713" width="9.6875" style="31" bestFit="1" customWidth="1"/>
    <col min="8714" max="8714" width="12.3125" style="31" customWidth="1"/>
    <col min="8715" max="8715" width="4.875" style="31" customWidth="1"/>
    <col min="8716" max="8960" width="9" style="31"/>
    <col min="8961" max="8961" width="3.125" style="31" bestFit="1" customWidth="1"/>
    <col min="8962" max="8962" width="11.3125" style="31" bestFit="1" customWidth="1"/>
    <col min="8963" max="8963" width="11.6875" style="31" customWidth="1"/>
    <col min="8964" max="8964" width="8.875" style="31" customWidth="1"/>
    <col min="8965" max="8966" width="9" style="31"/>
    <col min="8967" max="8967" width="2.125" style="31" customWidth="1"/>
    <col min="8968" max="8968" width="9.3125" style="31" customWidth="1"/>
    <col min="8969" max="8969" width="9.6875" style="31" bestFit="1" customWidth="1"/>
    <col min="8970" max="8970" width="12.3125" style="31" customWidth="1"/>
    <col min="8971" max="8971" width="4.875" style="31" customWidth="1"/>
    <col min="8972" max="9216" width="9" style="31"/>
    <col min="9217" max="9217" width="3.125" style="31" bestFit="1" customWidth="1"/>
    <col min="9218" max="9218" width="11.3125" style="31" bestFit="1" customWidth="1"/>
    <col min="9219" max="9219" width="11.6875" style="31" customWidth="1"/>
    <col min="9220" max="9220" width="8.875" style="31" customWidth="1"/>
    <col min="9221" max="9222" width="9" style="31"/>
    <col min="9223" max="9223" width="2.125" style="31" customWidth="1"/>
    <col min="9224" max="9224" width="9.3125" style="31" customWidth="1"/>
    <col min="9225" max="9225" width="9.6875" style="31" bestFit="1" customWidth="1"/>
    <col min="9226" max="9226" width="12.3125" style="31" customWidth="1"/>
    <col min="9227" max="9227" width="4.875" style="31" customWidth="1"/>
    <col min="9228" max="9472" width="9" style="31"/>
    <col min="9473" max="9473" width="3.125" style="31" bestFit="1" customWidth="1"/>
    <col min="9474" max="9474" width="11.3125" style="31" bestFit="1" customWidth="1"/>
    <col min="9475" max="9475" width="11.6875" style="31" customWidth="1"/>
    <col min="9476" max="9476" width="8.875" style="31" customWidth="1"/>
    <col min="9477" max="9478" width="9" style="31"/>
    <col min="9479" max="9479" width="2.125" style="31" customWidth="1"/>
    <col min="9480" max="9480" width="9.3125" style="31" customWidth="1"/>
    <col min="9481" max="9481" width="9.6875" style="31" bestFit="1" customWidth="1"/>
    <col min="9482" max="9482" width="12.3125" style="31" customWidth="1"/>
    <col min="9483" max="9483" width="4.875" style="31" customWidth="1"/>
    <col min="9484" max="9728" width="9" style="31"/>
    <col min="9729" max="9729" width="3.125" style="31" bestFit="1" customWidth="1"/>
    <col min="9730" max="9730" width="11.3125" style="31" bestFit="1" customWidth="1"/>
    <col min="9731" max="9731" width="11.6875" style="31" customWidth="1"/>
    <col min="9732" max="9732" width="8.875" style="31" customWidth="1"/>
    <col min="9733" max="9734" width="9" style="31"/>
    <col min="9735" max="9735" width="2.125" style="31" customWidth="1"/>
    <col min="9736" max="9736" width="9.3125" style="31" customWidth="1"/>
    <col min="9737" max="9737" width="9.6875" style="31" bestFit="1" customWidth="1"/>
    <col min="9738" max="9738" width="12.3125" style="31" customWidth="1"/>
    <col min="9739" max="9739" width="4.875" style="31" customWidth="1"/>
    <col min="9740" max="9984" width="9" style="31"/>
    <col min="9985" max="9985" width="3.125" style="31" bestFit="1" customWidth="1"/>
    <col min="9986" max="9986" width="11.3125" style="31" bestFit="1" customWidth="1"/>
    <col min="9987" max="9987" width="11.6875" style="31" customWidth="1"/>
    <col min="9988" max="9988" width="8.875" style="31" customWidth="1"/>
    <col min="9989" max="9990" width="9" style="31"/>
    <col min="9991" max="9991" width="2.125" style="31" customWidth="1"/>
    <col min="9992" max="9992" width="9.3125" style="31" customWidth="1"/>
    <col min="9993" max="9993" width="9.6875" style="31" bestFit="1" customWidth="1"/>
    <col min="9994" max="9994" width="12.3125" style="31" customWidth="1"/>
    <col min="9995" max="9995" width="4.875" style="31" customWidth="1"/>
    <col min="9996" max="10240" width="9" style="31"/>
    <col min="10241" max="10241" width="3.125" style="31" bestFit="1" customWidth="1"/>
    <col min="10242" max="10242" width="11.3125" style="31" bestFit="1" customWidth="1"/>
    <col min="10243" max="10243" width="11.6875" style="31" customWidth="1"/>
    <col min="10244" max="10244" width="8.875" style="31" customWidth="1"/>
    <col min="10245" max="10246" width="9" style="31"/>
    <col min="10247" max="10247" width="2.125" style="31" customWidth="1"/>
    <col min="10248" max="10248" width="9.3125" style="31" customWidth="1"/>
    <col min="10249" max="10249" width="9.6875" style="31" bestFit="1" customWidth="1"/>
    <col min="10250" max="10250" width="12.3125" style="31" customWidth="1"/>
    <col min="10251" max="10251" width="4.875" style="31" customWidth="1"/>
    <col min="10252" max="10496" width="9" style="31"/>
    <col min="10497" max="10497" width="3.125" style="31" bestFit="1" customWidth="1"/>
    <col min="10498" max="10498" width="11.3125" style="31" bestFit="1" customWidth="1"/>
    <col min="10499" max="10499" width="11.6875" style="31" customWidth="1"/>
    <col min="10500" max="10500" width="8.875" style="31" customWidth="1"/>
    <col min="10501" max="10502" width="9" style="31"/>
    <col min="10503" max="10503" width="2.125" style="31" customWidth="1"/>
    <col min="10504" max="10504" width="9.3125" style="31" customWidth="1"/>
    <col min="10505" max="10505" width="9.6875" style="31" bestFit="1" customWidth="1"/>
    <col min="10506" max="10506" width="12.3125" style="31" customWidth="1"/>
    <col min="10507" max="10507" width="4.875" style="31" customWidth="1"/>
    <col min="10508" max="10752" width="9" style="31"/>
    <col min="10753" max="10753" width="3.125" style="31" bestFit="1" customWidth="1"/>
    <col min="10754" max="10754" width="11.3125" style="31" bestFit="1" customWidth="1"/>
    <col min="10755" max="10755" width="11.6875" style="31" customWidth="1"/>
    <col min="10756" max="10756" width="8.875" style="31" customWidth="1"/>
    <col min="10757" max="10758" width="9" style="31"/>
    <col min="10759" max="10759" width="2.125" style="31" customWidth="1"/>
    <col min="10760" max="10760" width="9.3125" style="31" customWidth="1"/>
    <col min="10761" max="10761" width="9.6875" style="31" bestFit="1" customWidth="1"/>
    <col min="10762" max="10762" width="12.3125" style="31" customWidth="1"/>
    <col min="10763" max="10763" width="4.875" style="31" customWidth="1"/>
    <col min="10764" max="11008" width="9" style="31"/>
    <col min="11009" max="11009" width="3.125" style="31" bestFit="1" customWidth="1"/>
    <col min="11010" max="11010" width="11.3125" style="31" bestFit="1" customWidth="1"/>
    <col min="11011" max="11011" width="11.6875" style="31" customWidth="1"/>
    <col min="11012" max="11012" width="8.875" style="31" customWidth="1"/>
    <col min="11013" max="11014" width="9" style="31"/>
    <col min="11015" max="11015" width="2.125" style="31" customWidth="1"/>
    <col min="11016" max="11016" width="9.3125" style="31" customWidth="1"/>
    <col min="11017" max="11017" width="9.6875" style="31" bestFit="1" customWidth="1"/>
    <col min="11018" max="11018" width="12.3125" style="31" customWidth="1"/>
    <col min="11019" max="11019" width="4.875" style="31" customWidth="1"/>
    <col min="11020" max="11264" width="9" style="31"/>
    <col min="11265" max="11265" width="3.125" style="31" bestFit="1" customWidth="1"/>
    <col min="11266" max="11266" width="11.3125" style="31" bestFit="1" customWidth="1"/>
    <col min="11267" max="11267" width="11.6875" style="31" customWidth="1"/>
    <col min="11268" max="11268" width="8.875" style="31" customWidth="1"/>
    <col min="11269" max="11270" width="9" style="31"/>
    <col min="11271" max="11271" width="2.125" style="31" customWidth="1"/>
    <col min="11272" max="11272" width="9.3125" style="31" customWidth="1"/>
    <col min="11273" max="11273" width="9.6875" style="31" bestFit="1" customWidth="1"/>
    <col min="11274" max="11274" width="12.3125" style="31" customWidth="1"/>
    <col min="11275" max="11275" width="4.875" style="31" customWidth="1"/>
    <col min="11276" max="11520" width="9" style="31"/>
    <col min="11521" max="11521" width="3.125" style="31" bestFit="1" customWidth="1"/>
    <col min="11522" max="11522" width="11.3125" style="31" bestFit="1" customWidth="1"/>
    <col min="11523" max="11523" width="11.6875" style="31" customWidth="1"/>
    <col min="11524" max="11524" width="8.875" style="31" customWidth="1"/>
    <col min="11525" max="11526" width="9" style="31"/>
    <col min="11527" max="11527" width="2.125" style="31" customWidth="1"/>
    <col min="11528" max="11528" width="9.3125" style="31" customWidth="1"/>
    <col min="11529" max="11529" width="9.6875" style="31" bestFit="1" customWidth="1"/>
    <col min="11530" max="11530" width="12.3125" style="31" customWidth="1"/>
    <col min="11531" max="11531" width="4.875" style="31" customWidth="1"/>
    <col min="11532" max="11776" width="9" style="31"/>
    <col min="11777" max="11777" width="3.125" style="31" bestFit="1" customWidth="1"/>
    <col min="11778" max="11778" width="11.3125" style="31" bestFit="1" customWidth="1"/>
    <col min="11779" max="11779" width="11.6875" style="31" customWidth="1"/>
    <col min="11780" max="11780" width="8.875" style="31" customWidth="1"/>
    <col min="11781" max="11782" width="9" style="31"/>
    <col min="11783" max="11783" width="2.125" style="31" customWidth="1"/>
    <col min="11784" max="11784" width="9.3125" style="31" customWidth="1"/>
    <col min="11785" max="11785" width="9.6875" style="31" bestFit="1" customWidth="1"/>
    <col min="11786" max="11786" width="12.3125" style="31" customWidth="1"/>
    <col min="11787" max="11787" width="4.875" style="31" customWidth="1"/>
    <col min="11788" max="12032" width="9" style="31"/>
    <col min="12033" max="12033" width="3.125" style="31" bestFit="1" customWidth="1"/>
    <col min="12034" max="12034" width="11.3125" style="31" bestFit="1" customWidth="1"/>
    <col min="12035" max="12035" width="11.6875" style="31" customWidth="1"/>
    <col min="12036" max="12036" width="8.875" style="31" customWidth="1"/>
    <col min="12037" max="12038" width="9" style="31"/>
    <col min="12039" max="12039" width="2.125" style="31" customWidth="1"/>
    <col min="12040" max="12040" width="9.3125" style="31" customWidth="1"/>
    <col min="12041" max="12041" width="9.6875" style="31" bestFit="1" customWidth="1"/>
    <col min="12042" max="12042" width="12.3125" style="31" customWidth="1"/>
    <col min="12043" max="12043" width="4.875" style="31" customWidth="1"/>
    <col min="12044" max="12288" width="9" style="31"/>
    <col min="12289" max="12289" width="3.125" style="31" bestFit="1" customWidth="1"/>
    <col min="12290" max="12290" width="11.3125" style="31" bestFit="1" customWidth="1"/>
    <col min="12291" max="12291" width="11.6875" style="31" customWidth="1"/>
    <col min="12292" max="12292" width="8.875" style="31" customWidth="1"/>
    <col min="12293" max="12294" width="9" style="31"/>
    <col min="12295" max="12295" width="2.125" style="31" customWidth="1"/>
    <col min="12296" max="12296" width="9.3125" style="31" customWidth="1"/>
    <col min="12297" max="12297" width="9.6875" style="31" bestFit="1" customWidth="1"/>
    <col min="12298" max="12298" width="12.3125" style="31" customWidth="1"/>
    <col min="12299" max="12299" width="4.875" style="31" customWidth="1"/>
    <col min="12300" max="12544" width="9" style="31"/>
    <col min="12545" max="12545" width="3.125" style="31" bestFit="1" customWidth="1"/>
    <col min="12546" max="12546" width="11.3125" style="31" bestFit="1" customWidth="1"/>
    <col min="12547" max="12547" width="11.6875" style="31" customWidth="1"/>
    <col min="12548" max="12548" width="8.875" style="31" customWidth="1"/>
    <col min="12549" max="12550" width="9" style="31"/>
    <col min="12551" max="12551" width="2.125" style="31" customWidth="1"/>
    <col min="12552" max="12552" width="9.3125" style="31" customWidth="1"/>
    <col min="12553" max="12553" width="9.6875" style="31" bestFit="1" customWidth="1"/>
    <col min="12554" max="12554" width="12.3125" style="31" customWidth="1"/>
    <col min="12555" max="12555" width="4.875" style="31" customWidth="1"/>
    <col min="12556" max="12800" width="9" style="31"/>
    <col min="12801" max="12801" width="3.125" style="31" bestFit="1" customWidth="1"/>
    <col min="12802" max="12802" width="11.3125" style="31" bestFit="1" customWidth="1"/>
    <col min="12803" max="12803" width="11.6875" style="31" customWidth="1"/>
    <col min="12804" max="12804" width="8.875" style="31" customWidth="1"/>
    <col min="12805" max="12806" width="9" style="31"/>
    <col min="12807" max="12807" width="2.125" style="31" customWidth="1"/>
    <col min="12808" max="12808" width="9.3125" style="31" customWidth="1"/>
    <col min="12809" max="12809" width="9.6875" style="31" bestFit="1" customWidth="1"/>
    <col min="12810" max="12810" width="12.3125" style="31" customWidth="1"/>
    <col min="12811" max="12811" width="4.875" style="31" customWidth="1"/>
    <col min="12812" max="13056" width="9" style="31"/>
    <col min="13057" max="13057" width="3.125" style="31" bestFit="1" customWidth="1"/>
    <col min="13058" max="13058" width="11.3125" style="31" bestFit="1" customWidth="1"/>
    <col min="13059" max="13059" width="11.6875" style="31" customWidth="1"/>
    <col min="13060" max="13060" width="8.875" style="31" customWidth="1"/>
    <col min="13061" max="13062" width="9" style="31"/>
    <col min="13063" max="13063" width="2.125" style="31" customWidth="1"/>
    <col min="13064" max="13064" width="9.3125" style="31" customWidth="1"/>
    <col min="13065" max="13065" width="9.6875" style="31" bestFit="1" customWidth="1"/>
    <col min="13066" max="13066" width="12.3125" style="31" customWidth="1"/>
    <col min="13067" max="13067" width="4.875" style="31" customWidth="1"/>
    <col min="13068" max="13312" width="9" style="31"/>
    <col min="13313" max="13313" width="3.125" style="31" bestFit="1" customWidth="1"/>
    <col min="13314" max="13314" width="11.3125" style="31" bestFit="1" customWidth="1"/>
    <col min="13315" max="13315" width="11.6875" style="31" customWidth="1"/>
    <col min="13316" max="13316" width="8.875" style="31" customWidth="1"/>
    <col min="13317" max="13318" width="9" style="31"/>
    <col min="13319" max="13319" width="2.125" style="31" customWidth="1"/>
    <col min="13320" max="13320" width="9.3125" style="31" customWidth="1"/>
    <col min="13321" max="13321" width="9.6875" style="31" bestFit="1" customWidth="1"/>
    <col min="13322" max="13322" width="12.3125" style="31" customWidth="1"/>
    <col min="13323" max="13323" width="4.875" style="31" customWidth="1"/>
    <col min="13324" max="13568" width="9" style="31"/>
    <col min="13569" max="13569" width="3.125" style="31" bestFit="1" customWidth="1"/>
    <col min="13570" max="13570" width="11.3125" style="31" bestFit="1" customWidth="1"/>
    <col min="13571" max="13571" width="11.6875" style="31" customWidth="1"/>
    <col min="13572" max="13572" width="8.875" style="31" customWidth="1"/>
    <col min="13573" max="13574" width="9" style="31"/>
    <col min="13575" max="13575" width="2.125" style="31" customWidth="1"/>
    <col min="13576" max="13576" width="9.3125" style="31" customWidth="1"/>
    <col min="13577" max="13577" width="9.6875" style="31" bestFit="1" customWidth="1"/>
    <col min="13578" max="13578" width="12.3125" style="31" customWidth="1"/>
    <col min="13579" max="13579" width="4.875" style="31" customWidth="1"/>
    <col min="13580" max="13824" width="9" style="31"/>
    <col min="13825" max="13825" width="3.125" style="31" bestFit="1" customWidth="1"/>
    <col min="13826" max="13826" width="11.3125" style="31" bestFit="1" customWidth="1"/>
    <col min="13827" max="13827" width="11.6875" style="31" customWidth="1"/>
    <col min="13828" max="13828" width="8.875" style="31" customWidth="1"/>
    <col min="13829" max="13830" width="9" style="31"/>
    <col min="13831" max="13831" width="2.125" style="31" customWidth="1"/>
    <col min="13832" max="13832" width="9.3125" style="31" customWidth="1"/>
    <col min="13833" max="13833" width="9.6875" style="31" bestFit="1" customWidth="1"/>
    <col min="13834" max="13834" width="12.3125" style="31" customWidth="1"/>
    <col min="13835" max="13835" width="4.875" style="31" customWidth="1"/>
    <col min="13836" max="14080" width="9" style="31"/>
    <col min="14081" max="14081" width="3.125" style="31" bestFit="1" customWidth="1"/>
    <col min="14082" max="14082" width="11.3125" style="31" bestFit="1" customWidth="1"/>
    <col min="14083" max="14083" width="11.6875" style="31" customWidth="1"/>
    <col min="14084" max="14084" width="8.875" style="31" customWidth="1"/>
    <col min="14085" max="14086" width="9" style="31"/>
    <col min="14087" max="14087" width="2.125" style="31" customWidth="1"/>
    <col min="14088" max="14088" width="9.3125" style="31" customWidth="1"/>
    <col min="14089" max="14089" width="9.6875" style="31" bestFit="1" customWidth="1"/>
    <col min="14090" max="14090" width="12.3125" style="31" customWidth="1"/>
    <col min="14091" max="14091" width="4.875" style="31" customWidth="1"/>
    <col min="14092" max="14336" width="9" style="31"/>
    <col min="14337" max="14337" width="3.125" style="31" bestFit="1" customWidth="1"/>
    <col min="14338" max="14338" width="11.3125" style="31" bestFit="1" customWidth="1"/>
    <col min="14339" max="14339" width="11.6875" style="31" customWidth="1"/>
    <col min="14340" max="14340" width="8.875" style="31" customWidth="1"/>
    <col min="14341" max="14342" width="9" style="31"/>
    <col min="14343" max="14343" width="2.125" style="31" customWidth="1"/>
    <col min="14344" max="14344" width="9.3125" style="31" customWidth="1"/>
    <col min="14345" max="14345" width="9.6875" style="31" bestFit="1" customWidth="1"/>
    <col min="14346" max="14346" width="12.3125" style="31" customWidth="1"/>
    <col min="14347" max="14347" width="4.875" style="31" customWidth="1"/>
    <col min="14348" max="14592" width="9" style="31"/>
    <col min="14593" max="14593" width="3.125" style="31" bestFit="1" customWidth="1"/>
    <col min="14594" max="14594" width="11.3125" style="31" bestFit="1" customWidth="1"/>
    <col min="14595" max="14595" width="11.6875" style="31" customWidth="1"/>
    <col min="14596" max="14596" width="8.875" style="31" customWidth="1"/>
    <col min="14597" max="14598" width="9" style="31"/>
    <col min="14599" max="14599" width="2.125" style="31" customWidth="1"/>
    <col min="14600" max="14600" width="9.3125" style="31" customWidth="1"/>
    <col min="14601" max="14601" width="9.6875" style="31" bestFit="1" customWidth="1"/>
    <col min="14602" max="14602" width="12.3125" style="31" customWidth="1"/>
    <col min="14603" max="14603" width="4.875" style="31" customWidth="1"/>
    <col min="14604" max="14848" width="9" style="31"/>
    <col min="14849" max="14849" width="3.125" style="31" bestFit="1" customWidth="1"/>
    <col min="14850" max="14850" width="11.3125" style="31" bestFit="1" customWidth="1"/>
    <col min="14851" max="14851" width="11.6875" style="31" customWidth="1"/>
    <col min="14852" max="14852" width="8.875" style="31" customWidth="1"/>
    <col min="14853" max="14854" width="9" style="31"/>
    <col min="14855" max="14855" width="2.125" style="31" customWidth="1"/>
    <col min="14856" max="14856" width="9.3125" style="31" customWidth="1"/>
    <col min="14857" max="14857" width="9.6875" style="31" bestFit="1" customWidth="1"/>
    <col min="14858" max="14858" width="12.3125" style="31" customWidth="1"/>
    <col min="14859" max="14859" width="4.875" style="31" customWidth="1"/>
    <col min="14860" max="15104" width="9" style="31"/>
    <col min="15105" max="15105" width="3.125" style="31" bestFit="1" customWidth="1"/>
    <col min="15106" max="15106" width="11.3125" style="31" bestFit="1" customWidth="1"/>
    <col min="15107" max="15107" width="11.6875" style="31" customWidth="1"/>
    <col min="15108" max="15108" width="8.875" style="31" customWidth="1"/>
    <col min="15109" max="15110" width="9" style="31"/>
    <col min="15111" max="15111" width="2.125" style="31" customWidth="1"/>
    <col min="15112" max="15112" width="9.3125" style="31" customWidth="1"/>
    <col min="15113" max="15113" width="9.6875" style="31" bestFit="1" customWidth="1"/>
    <col min="15114" max="15114" width="12.3125" style="31" customWidth="1"/>
    <col min="15115" max="15115" width="4.875" style="31" customWidth="1"/>
    <col min="15116" max="15360" width="9" style="31"/>
    <col min="15361" max="15361" width="3.125" style="31" bestFit="1" customWidth="1"/>
    <col min="15362" max="15362" width="11.3125" style="31" bestFit="1" customWidth="1"/>
    <col min="15363" max="15363" width="11.6875" style="31" customWidth="1"/>
    <col min="15364" max="15364" width="8.875" style="31" customWidth="1"/>
    <col min="15365" max="15366" width="9" style="31"/>
    <col min="15367" max="15367" width="2.125" style="31" customWidth="1"/>
    <col min="15368" max="15368" width="9.3125" style="31" customWidth="1"/>
    <col min="15369" max="15369" width="9.6875" style="31" bestFit="1" customWidth="1"/>
    <col min="15370" max="15370" width="12.3125" style="31" customWidth="1"/>
    <col min="15371" max="15371" width="4.875" style="31" customWidth="1"/>
    <col min="15372" max="15616" width="9" style="31"/>
    <col min="15617" max="15617" width="3.125" style="31" bestFit="1" customWidth="1"/>
    <col min="15618" max="15618" width="11.3125" style="31" bestFit="1" customWidth="1"/>
    <col min="15619" max="15619" width="11.6875" style="31" customWidth="1"/>
    <col min="15620" max="15620" width="8.875" style="31" customWidth="1"/>
    <col min="15621" max="15622" width="9" style="31"/>
    <col min="15623" max="15623" width="2.125" style="31" customWidth="1"/>
    <col min="15624" max="15624" width="9.3125" style="31" customWidth="1"/>
    <col min="15625" max="15625" width="9.6875" style="31" bestFit="1" customWidth="1"/>
    <col min="15626" max="15626" width="12.3125" style="31" customWidth="1"/>
    <col min="15627" max="15627" width="4.875" style="31" customWidth="1"/>
    <col min="15628" max="15872" width="9" style="31"/>
    <col min="15873" max="15873" width="3.125" style="31" bestFit="1" customWidth="1"/>
    <col min="15874" max="15874" width="11.3125" style="31" bestFit="1" customWidth="1"/>
    <col min="15875" max="15875" width="11.6875" style="31" customWidth="1"/>
    <col min="15876" max="15876" width="8.875" style="31" customWidth="1"/>
    <col min="15877" max="15878" width="9" style="31"/>
    <col min="15879" max="15879" width="2.125" style="31" customWidth="1"/>
    <col min="15880" max="15880" width="9.3125" style="31" customWidth="1"/>
    <col min="15881" max="15881" width="9.6875" style="31" bestFit="1" customWidth="1"/>
    <col min="15882" max="15882" width="12.3125" style="31" customWidth="1"/>
    <col min="15883" max="15883" width="4.875" style="31" customWidth="1"/>
    <col min="15884" max="16128" width="9" style="31"/>
    <col min="16129" max="16129" width="3.125" style="31" bestFit="1" customWidth="1"/>
    <col min="16130" max="16130" width="11.3125" style="31" bestFit="1" customWidth="1"/>
    <col min="16131" max="16131" width="11.6875" style="31" customWidth="1"/>
    <col min="16132" max="16132" width="8.875" style="31" customWidth="1"/>
    <col min="16133" max="16134" width="9" style="31"/>
    <col min="16135" max="16135" width="2.125" style="31" customWidth="1"/>
    <col min="16136" max="16136" width="9.3125" style="31" customWidth="1"/>
    <col min="16137" max="16137" width="9.6875" style="31" bestFit="1" customWidth="1"/>
    <col min="16138" max="16138" width="12.3125" style="31" customWidth="1"/>
    <col min="16139" max="16139" width="4.875" style="31" customWidth="1"/>
    <col min="16140" max="16384" width="9" style="31"/>
  </cols>
  <sheetData>
    <row r="1" spans="1:13" ht="20.45" customHeight="1" x14ac:dyDescent="0.6">
      <c r="A1" s="264" t="s">
        <v>170</v>
      </c>
      <c r="B1" s="264"/>
      <c r="C1" s="264"/>
      <c r="D1" s="264"/>
      <c r="E1" s="264"/>
      <c r="F1" s="264"/>
      <c r="G1" s="264"/>
      <c r="H1" s="264"/>
      <c r="I1" s="264"/>
      <c r="J1" s="264"/>
    </row>
    <row r="2" spans="1:13" ht="20.45" customHeight="1" x14ac:dyDescent="0.6">
      <c r="A2" s="286" t="s">
        <v>83</v>
      </c>
      <c r="B2" s="286"/>
      <c r="C2" s="286"/>
      <c r="D2" s="286" t="s">
        <v>84</v>
      </c>
      <c r="E2" s="286"/>
      <c r="F2" s="286" t="s">
        <v>85</v>
      </c>
      <c r="G2" s="286"/>
      <c r="H2" s="286"/>
      <c r="I2" s="286" t="s">
        <v>86</v>
      </c>
      <c r="J2" s="286"/>
    </row>
    <row r="3" spans="1:13" ht="20.45" customHeight="1" x14ac:dyDescent="0.6">
      <c r="A3" s="286" t="str">
        <f>VLOOKUP(K3,'임금대장(파트)'!$A$6:$AG$41,3,0)</f>
        <v>파트타임</v>
      </c>
      <c r="B3" s="286"/>
      <c r="C3" s="286"/>
      <c r="D3" s="287" t="str">
        <f>VLOOKUP(K3,'임금대장(파트)'!$A$6:$AG$41,2,0)</f>
        <v>고순호</v>
      </c>
      <c r="E3" s="287"/>
      <c r="F3" s="287">
        <f>'임금대장(파트)'!$O$3</f>
        <v>31</v>
      </c>
      <c r="G3" s="286"/>
      <c r="H3" s="286"/>
      <c r="I3" s="288">
        <f>VLOOKUP(K3,'임금대장(파트)'!$A$6:$AG$41,16,0)</f>
        <v>0</v>
      </c>
      <c r="J3" s="288"/>
      <c r="K3" s="30">
        <v>1</v>
      </c>
    </row>
    <row r="4" spans="1:13" ht="20.45" customHeight="1" x14ac:dyDescent="0.6">
      <c r="A4" s="286" t="s">
        <v>87</v>
      </c>
      <c r="B4" s="286"/>
      <c r="C4" s="286" t="s">
        <v>5</v>
      </c>
      <c r="D4" s="289" t="str">
        <f>VLOOKUP($K3,'임금대장(파트)'!$A$6:$AG$41,5,0)</f>
        <v>일용</v>
      </c>
      <c r="E4" s="289"/>
      <c r="F4" s="114" t="s">
        <v>88</v>
      </c>
      <c r="G4" s="358">
        <f>VLOOKUP(K3,'임금대장(파트)'!$A$6:$AG$41,15,0)</f>
        <v>31</v>
      </c>
      <c r="H4" s="358"/>
      <c r="I4" s="286" t="s">
        <v>89</v>
      </c>
      <c r="J4" s="290">
        <f>VLOOKUP(K3,'임금대장(파트)'!$A$6:$AG$41,17,0)</f>
        <v>0</v>
      </c>
    </row>
    <row r="5" spans="1:13" ht="20.45" customHeight="1" x14ac:dyDescent="0.6">
      <c r="A5" s="294">
        <f>VLOOKUP($K3,'임금대장(파트)'!$A$6:$AG$41,7,0)</f>
        <v>0</v>
      </c>
      <c r="B5" s="294"/>
      <c r="C5" s="286"/>
      <c r="D5" s="289"/>
      <c r="E5" s="289"/>
      <c r="F5" s="115" t="s">
        <v>90</v>
      </c>
      <c r="G5" s="359">
        <f>VLOOKUP(K3,'임금대장(파트)'!$A$6:$AG$41,16,0)</f>
        <v>0</v>
      </c>
      <c r="H5" s="359"/>
      <c r="I5" s="286"/>
      <c r="J5" s="290"/>
    </row>
    <row r="6" spans="1:13" ht="20.45" customHeight="1" x14ac:dyDescent="0.6">
      <c r="F6" s="250"/>
      <c r="G6" s="250"/>
      <c r="H6" s="32"/>
    </row>
    <row r="7" spans="1:13" ht="20.45" customHeight="1" x14ac:dyDescent="0.6">
      <c r="A7" s="251" t="s">
        <v>91</v>
      </c>
      <c r="B7" s="69" t="s">
        <v>20</v>
      </c>
      <c r="C7" s="25">
        <f>VLOOKUP($K3,'임금대장(파트)'!$A$6:$AG$41,9,0)</f>
        <v>61100</v>
      </c>
      <c r="D7" s="33"/>
      <c r="E7" s="69"/>
      <c r="F7" s="254"/>
      <c r="G7" s="255"/>
      <c r="H7" s="25"/>
      <c r="I7" s="33"/>
      <c r="J7" s="34"/>
    </row>
    <row r="8" spans="1:13" ht="20.45" customHeight="1" x14ac:dyDescent="0.6">
      <c r="A8" s="252"/>
      <c r="B8" s="67" t="s">
        <v>21</v>
      </c>
      <c r="C8" s="35">
        <f>VLOOKUP($K3,'임금대장(파트)'!$A$6:$AG$41,10,0)</f>
        <v>0</v>
      </c>
      <c r="D8" s="36"/>
      <c r="E8" s="67"/>
      <c r="F8" s="256"/>
      <c r="G8" s="257"/>
      <c r="H8" s="35"/>
      <c r="I8" s="36"/>
      <c r="J8" s="37"/>
    </row>
    <row r="9" spans="1:13" ht="20.45" customHeight="1" x14ac:dyDescent="0.6">
      <c r="A9" s="252"/>
      <c r="B9" s="52" t="s">
        <v>92</v>
      </c>
      <c r="C9" s="35">
        <f>VLOOKUP($K3,'임금대장(파트)'!$A$6:$AG$41,11,0)</f>
        <v>0</v>
      </c>
      <c r="D9" s="36"/>
      <c r="E9" s="67"/>
      <c r="F9" s="256"/>
      <c r="G9" s="257"/>
      <c r="H9" s="35"/>
      <c r="I9" s="36"/>
      <c r="J9" s="37"/>
      <c r="L9" s="38"/>
      <c r="M9" s="38"/>
    </row>
    <row r="10" spans="1:13" ht="20.45" customHeight="1" x14ac:dyDescent="0.6">
      <c r="A10" s="252"/>
      <c r="B10" s="67" t="s">
        <v>115</v>
      </c>
      <c r="C10" s="35">
        <f>VLOOKUP($K3,'임금대장(파트)'!$A$6:$AG$41,12,0)</f>
        <v>0</v>
      </c>
      <c r="D10" s="36"/>
      <c r="E10" s="67"/>
      <c r="F10" s="256"/>
      <c r="G10" s="257"/>
      <c r="H10" s="35"/>
      <c r="I10" s="36"/>
      <c r="J10" s="37"/>
    </row>
    <row r="11" spans="1:13" ht="20.45" customHeight="1" x14ac:dyDescent="0.6">
      <c r="A11" s="252"/>
      <c r="B11" s="67" t="s">
        <v>94</v>
      </c>
      <c r="C11" s="35">
        <f>VLOOKUP($K3,'임금대장(파트)'!$A$6:$AG$41,13,0)</f>
        <v>0</v>
      </c>
      <c r="D11" s="36"/>
      <c r="E11" s="36"/>
      <c r="F11" s="258"/>
      <c r="G11" s="259"/>
      <c r="H11" s="35"/>
      <c r="I11" s="36"/>
      <c r="J11" s="37"/>
    </row>
    <row r="12" spans="1:13" ht="20.45" customHeight="1" x14ac:dyDescent="0.6">
      <c r="A12" s="252"/>
      <c r="B12" s="67" t="s">
        <v>24</v>
      </c>
      <c r="C12" s="102">
        <f>VLOOKUP($K3,'임금대장(파트)'!$A$6:$AG$41,14,0)</f>
        <v>0</v>
      </c>
      <c r="D12" s="36"/>
      <c r="E12" s="36"/>
      <c r="F12" s="258"/>
      <c r="G12" s="259"/>
      <c r="H12" s="35"/>
      <c r="I12" s="36"/>
      <c r="J12" s="37"/>
    </row>
    <row r="13" spans="1:13" ht="20.45" customHeight="1" x14ac:dyDescent="0.6">
      <c r="A13" s="252"/>
      <c r="B13" s="67"/>
      <c r="C13" s="35"/>
      <c r="D13" s="36"/>
      <c r="E13" s="36"/>
      <c r="F13" s="258"/>
      <c r="G13" s="259"/>
      <c r="H13" s="35"/>
      <c r="I13" s="36"/>
      <c r="J13" s="37"/>
    </row>
    <row r="14" spans="1:13" ht="20.45" customHeight="1" x14ac:dyDescent="0.6">
      <c r="A14" s="252"/>
      <c r="B14" s="67"/>
      <c r="C14" s="35"/>
      <c r="D14" s="36"/>
      <c r="E14" s="36"/>
      <c r="F14" s="258"/>
      <c r="G14" s="259"/>
      <c r="H14" s="35"/>
      <c r="I14" s="36"/>
      <c r="J14" s="37"/>
    </row>
    <row r="15" spans="1:13" ht="20.45" customHeight="1" x14ac:dyDescent="0.6">
      <c r="A15" s="253"/>
      <c r="B15" s="68"/>
      <c r="C15" s="39"/>
      <c r="D15" s="40"/>
      <c r="E15" s="40"/>
      <c r="F15" s="260"/>
      <c r="G15" s="261"/>
      <c r="H15" s="39"/>
      <c r="I15" s="68" t="s">
        <v>95</v>
      </c>
      <c r="J15" s="41">
        <f>SUM(C7:H13)</f>
        <v>61100</v>
      </c>
    </row>
    <row r="16" spans="1:13" ht="20.45" customHeight="1" x14ac:dyDescent="0.6">
      <c r="A16" s="251" t="s">
        <v>96</v>
      </c>
      <c r="B16" s="36" t="s">
        <v>97</v>
      </c>
      <c r="C16" s="35">
        <f>VLOOKUP($K3,'임금대장(파트)'!$A$6:$AG$41,25,0)</f>
        <v>0</v>
      </c>
      <c r="D16" s="33"/>
      <c r="E16" s="42"/>
      <c r="F16" s="262" t="s">
        <v>14</v>
      </c>
      <c r="G16" s="263"/>
      <c r="H16" s="35">
        <f>VLOOKUP($K3,'임금대장(파트)'!$A$6:$AG$41,19,0)</f>
        <v>0</v>
      </c>
      <c r="I16" s="33"/>
      <c r="J16" s="34"/>
    </row>
    <row r="17" spans="1:13" ht="20.45" customHeight="1" x14ac:dyDescent="0.6">
      <c r="A17" s="252"/>
      <c r="B17" s="36" t="s">
        <v>98</v>
      </c>
      <c r="C17" s="35">
        <f>VLOOKUP($K3,'임금대장(파트)'!$A$6:$AG$41,26,0)</f>
        <v>0</v>
      </c>
      <c r="D17" s="36"/>
      <c r="E17" s="43"/>
      <c r="F17" s="258" t="s">
        <v>12</v>
      </c>
      <c r="G17" s="259"/>
      <c r="H17" s="35">
        <f>VLOOKUP($K3,'임금대장(파트)'!$A$6:$AG$41,17,0)</f>
        <v>0</v>
      </c>
      <c r="I17" s="36"/>
      <c r="J17" s="37"/>
    </row>
    <row r="18" spans="1:13" ht="20.45" customHeight="1" x14ac:dyDescent="0.6">
      <c r="A18" s="252"/>
      <c r="B18" s="36" t="s">
        <v>99</v>
      </c>
      <c r="C18" s="35">
        <f>VLOOKUP($K3,'임금대장(파트)'!$A$6:$AG$41,27,0)</f>
        <v>0</v>
      </c>
      <c r="D18" s="36"/>
      <c r="E18" s="44"/>
      <c r="F18" s="258" t="s">
        <v>171</v>
      </c>
      <c r="G18" s="259"/>
      <c r="H18" s="35">
        <f>VLOOKUP($K3,'임금대장(파트)'!$A$6:$AG$41,31,0)</f>
        <v>61100</v>
      </c>
      <c r="I18" s="36"/>
      <c r="J18" s="37"/>
    </row>
    <row r="19" spans="1:13" ht="20.45" customHeight="1" x14ac:dyDescent="0.6">
      <c r="A19" s="252"/>
      <c r="B19" s="36" t="s">
        <v>101</v>
      </c>
      <c r="C19" s="35">
        <f>VLOOKUP($K3,'임금대장(파트)'!$A$6:$AG$41,28,0)</f>
        <v>0</v>
      </c>
      <c r="D19" s="36"/>
      <c r="E19" s="43"/>
      <c r="F19" s="258" t="s">
        <v>102</v>
      </c>
      <c r="G19" s="259"/>
      <c r="H19" s="35">
        <f>VLOOKUP($K3,'임금대장(파트)'!$A$6:$AG$41,30,0)</f>
        <v>0</v>
      </c>
      <c r="I19" s="36"/>
      <c r="J19" s="37"/>
    </row>
    <row r="20" spans="1:13" ht="20.45" customHeight="1" x14ac:dyDescent="0.6">
      <c r="A20" s="252"/>
      <c r="B20" s="36" t="s">
        <v>31</v>
      </c>
      <c r="C20" s="35">
        <f>VLOOKUP($K3,'임금대장(파트)'!$A$6:$AG$41,29,0)</f>
        <v>0</v>
      </c>
      <c r="D20" s="36"/>
      <c r="E20" s="43"/>
      <c r="F20" s="45"/>
      <c r="G20" s="46"/>
      <c r="H20" s="36"/>
      <c r="I20" s="67" t="s">
        <v>103</v>
      </c>
      <c r="J20" s="47">
        <f>SUM(C16:H21)</f>
        <v>61100</v>
      </c>
    </row>
    <row r="21" spans="1:13" ht="20.45" customHeight="1" x14ac:dyDescent="0.6">
      <c r="A21" s="253"/>
      <c r="B21" s="40"/>
      <c r="C21" s="101"/>
      <c r="D21" s="40"/>
      <c r="E21" s="48"/>
      <c r="F21" s="260"/>
      <c r="G21" s="261"/>
      <c r="H21" s="40"/>
      <c r="I21" s="68" t="s">
        <v>104</v>
      </c>
      <c r="J21" s="49">
        <f>J15-J20</f>
        <v>0</v>
      </c>
    </row>
    <row r="22" spans="1:13" ht="20.45" customHeight="1" x14ac:dyDescent="0.6">
      <c r="A22" s="50" t="s">
        <v>105</v>
      </c>
      <c r="J22" s="51" t="s">
        <v>0</v>
      </c>
    </row>
    <row r="23" spans="1:13" ht="20.45" customHeight="1" x14ac:dyDescent="0.6">
      <c r="A23" s="50"/>
      <c r="J23" s="51"/>
    </row>
    <row r="24" spans="1:13" ht="20.45" customHeight="1" x14ac:dyDescent="0.6">
      <c r="A24" s="264" t="s">
        <v>170</v>
      </c>
      <c r="B24" s="264"/>
      <c r="C24" s="264"/>
      <c r="D24" s="264"/>
      <c r="E24" s="264"/>
      <c r="F24" s="264"/>
      <c r="G24" s="264"/>
      <c r="H24" s="264"/>
      <c r="I24" s="264"/>
      <c r="J24" s="264"/>
    </row>
    <row r="25" spans="1:13" ht="20.45" customHeight="1" x14ac:dyDescent="0.6">
      <c r="A25" s="286" t="s">
        <v>83</v>
      </c>
      <c r="B25" s="286"/>
      <c r="C25" s="286"/>
      <c r="D25" s="286" t="s">
        <v>84</v>
      </c>
      <c r="E25" s="286"/>
      <c r="F25" s="286" t="s">
        <v>85</v>
      </c>
      <c r="G25" s="286"/>
      <c r="H25" s="286"/>
      <c r="I25" s="286" t="s">
        <v>86</v>
      </c>
      <c r="J25" s="286"/>
    </row>
    <row r="26" spans="1:13" ht="20.45" customHeight="1" x14ac:dyDescent="0.6">
      <c r="A26" s="286" t="str">
        <f>VLOOKUP(K26,'임금대장(파트)'!$A$6:$AG$41,3,0)</f>
        <v>파트타임</v>
      </c>
      <c r="B26" s="286"/>
      <c r="C26" s="286"/>
      <c r="D26" s="287" t="str">
        <f>VLOOKUP(K26,'임금대장(파트)'!$A$6:$AG$41,2,0)</f>
        <v>김나현</v>
      </c>
      <c r="E26" s="287"/>
      <c r="F26" s="287">
        <f>'임금대장(파트)'!$O$3</f>
        <v>31</v>
      </c>
      <c r="G26" s="286"/>
      <c r="H26" s="286"/>
      <c r="I26" s="288">
        <f>VLOOKUP(K26,'임금대장(파트)'!$A$6:$AG$41,16,0)</f>
        <v>0</v>
      </c>
      <c r="J26" s="288"/>
      <c r="K26" s="30">
        <v>2</v>
      </c>
    </row>
    <row r="27" spans="1:13" ht="20.45" customHeight="1" x14ac:dyDescent="0.6">
      <c r="A27" s="286" t="s">
        <v>87</v>
      </c>
      <c r="B27" s="286"/>
      <c r="C27" s="286" t="s">
        <v>5</v>
      </c>
      <c r="D27" s="289" t="str">
        <f>VLOOKUP($K26,'임금대장(파트)'!$A$6:$AG$41,5,0)</f>
        <v>일용</v>
      </c>
      <c r="E27" s="289"/>
      <c r="F27" s="114" t="s">
        <v>88</v>
      </c>
      <c r="G27" s="358">
        <f>VLOOKUP(K26,'임금대장(파트)'!$A$6:$AG$41,15,0)</f>
        <v>31</v>
      </c>
      <c r="H27" s="358"/>
      <c r="I27" s="286" t="s">
        <v>89</v>
      </c>
      <c r="J27" s="290">
        <f>VLOOKUP(K26,'임금대장(파트)'!$A$6:$AG$41,17,0)</f>
        <v>0</v>
      </c>
    </row>
    <row r="28" spans="1:13" ht="20.45" customHeight="1" x14ac:dyDescent="0.6">
      <c r="A28" s="294">
        <f>VLOOKUP($K26,'임금대장(파트)'!$A$6:$AG$41,7,0)</f>
        <v>0</v>
      </c>
      <c r="B28" s="294"/>
      <c r="C28" s="286"/>
      <c r="D28" s="289"/>
      <c r="E28" s="289"/>
      <c r="F28" s="115" t="s">
        <v>90</v>
      </c>
      <c r="G28" s="359">
        <f>VLOOKUP(K26,'임금대장(파트)'!$A$6:$AG$41,16,0)</f>
        <v>0</v>
      </c>
      <c r="H28" s="359"/>
      <c r="I28" s="286"/>
      <c r="J28" s="290"/>
    </row>
    <row r="29" spans="1:13" ht="20.45" customHeight="1" x14ac:dyDescent="0.6">
      <c r="F29" s="250"/>
      <c r="G29" s="250"/>
      <c r="H29" s="32"/>
    </row>
    <row r="30" spans="1:13" ht="20.45" customHeight="1" x14ac:dyDescent="0.6">
      <c r="A30" s="251" t="s">
        <v>91</v>
      </c>
      <c r="B30" s="69" t="s">
        <v>20</v>
      </c>
      <c r="C30" s="25">
        <f>VLOOKUP($K26,'임금대장(파트)'!$A$6:$AG$41,9,0)</f>
        <v>37600</v>
      </c>
      <c r="D30" s="33"/>
      <c r="E30" s="69"/>
      <c r="F30" s="254"/>
      <c r="G30" s="255"/>
      <c r="H30" s="25"/>
      <c r="I30" s="33"/>
      <c r="J30" s="34"/>
    </row>
    <row r="31" spans="1:13" ht="20.45" customHeight="1" x14ac:dyDescent="0.6">
      <c r="A31" s="252"/>
      <c r="B31" s="67" t="s">
        <v>21</v>
      </c>
      <c r="C31" s="35">
        <f>VLOOKUP($K26,'임금대장(파트)'!$A$6:$AG$41,10,0)</f>
        <v>0</v>
      </c>
      <c r="D31" s="36"/>
      <c r="E31" s="67"/>
      <c r="F31" s="256"/>
      <c r="G31" s="257"/>
      <c r="H31" s="35"/>
      <c r="I31" s="36"/>
      <c r="J31" s="37"/>
    </row>
    <row r="32" spans="1:13" ht="20.45" customHeight="1" x14ac:dyDescent="0.6">
      <c r="A32" s="252"/>
      <c r="B32" s="52" t="s">
        <v>92</v>
      </c>
      <c r="C32" s="35">
        <f>VLOOKUP($K26,'임금대장(파트)'!$A$6:$AG$41,11,0)</f>
        <v>0</v>
      </c>
      <c r="D32" s="36"/>
      <c r="E32" s="67"/>
      <c r="F32" s="256"/>
      <c r="G32" s="257"/>
      <c r="H32" s="35"/>
      <c r="I32" s="36"/>
      <c r="J32" s="37"/>
      <c r="L32" s="38"/>
      <c r="M32" s="38"/>
    </row>
    <row r="33" spans="1:10" ht="20.45" customHeight="1" x14ac:dyDescent="0.6">
      <c r="A33" s="252"/>
      <c r="B33" s="67" t="s">
        <v>115</v>
      </c>
      <c r="C33" s="35">
        <f>VLOOKUP($K26,'임금대장(파트)'!$A$6:$AG$41,12,0)</f>
        <v>0</v>
      </c>
      <c r="D33" s="36"/>
      <c r="E33" s="67"/>
      <c r="F33" s="256"/>
      <c r="G33" s="257"/>
      <c r="H33" s="35"/>
      <c r="I33" s="36"/>
      <c r="J33" s="37"/>
    </row>
    <row r="34" spans="1:10" ht="20.45" customHeight="1" x14ac:dyDescent="0.6">
      <c r="A34" s="252"/>
      <c r="B34" s="67" t="s">
        <v>94</v>
      </c>
      <c r="C34" s="35">
        <f>VLOOKUP($K26,'임금대장(파트)'!$A$6:$AG$41,13,0)</f>
        <v>0</v>
      </c>
      <c r="D34" s="36"/>
      <c r="E34" s="36"/>
      <c r="F34" s="258"/>
      <c r="G34" s="259"/>
      <c r="H34" s="35"/>
      <c r="I34" s="36"/>
      <c r="J34" s="37"/>
    </row>
    <row r="35" spans="1:10" ht="20.45" customHeight="1" x14ac:dyDescent="0.6">
      <c r="A35" s="252"/>
      <c r="B35" s="67" t="s">
        <v>24</v>
      </c>
      <c r="C35" s="102">
        <f>VLOOKUP($K26,'임금대장(파트)'!$A$6:$AG$41,14,0)</f>
        <v>0</v>
      </c>
      <c r="D35" s="36"/>
      <c r="E35" s="36"/>
      <c r="F35" s="258"/>
      <c r="G35" s="259"/>
      <c r="H35" s="35"/>
      <c r="I35" s="36"/>
      <c r="J35" s="37"/>
    </row>
    <row r="36" spans="1:10" ht="20.45" customHeight="1" x14ac:dyDescent="0.6">
      <c r="A36" s="252"/>
      <c r="B36" s="67"/>
      <c r="C36" s="35"/>
      <c r="D36" s="36"/>
      <c r="E36" s="36"/>
      <c r="F36" s="258"/>
      <c r="G36" s="259"/>
      <c r="H36" s="35"/>
      <c r="I36" s="36"/>
      <c r="J36" s="37"/>
    </row>
    <row r="37" spans="1:10" ht="20.45" customHeight="1" x14ac:dyDescent="0.6">
      <c r="A37" s="252"/>
      <c r="B37" s="67"/>
      <c r="C37" s="35"/>
      <c r="D37" s="36"/>
      <c r="E37" s="36"/>
      <c r="F37" s="258"/>
      <c r="G37" s="259"/>
      <c r="H37" s="35"/>
      <c r="I37" s="36"/>
      <c r="J37" s="37"/>
    </row>
    <row r="38" spans="1:10" ht="20.45" customHeight="1" x14ac:dyDescent="0.6">
      <c r="A38" s="253"/>
      <c r="B38" s="68"/>
      <c r="C38" s="39"/>
      <c r="D38" s="40"/>
      <c r="E38" s="40"/>
      <c r="F38" s="260"/>
      <c r="G38" s="261"/>
      <c r="H38" s="39"/>
      <c r="I38" s="68" t="s">
        <v>95</v>
      </c>
      <c r="J38" s="41">
        <f>SUM(C30:H36)</f>
        <v>37600</v>
      </c>
    </row>
    <row r="39" spans="1:10" ht="20.45" customHeight="1" x14ac:dyDescent="0.6">
      <c r="A39" s="251" t="s">
        <v>96</v>
      </c>
      <c r="B39" s="36" t="s">
        <v>97</v>
      </c>
      <c r="C39" s="35">
        <f>VLOOKUP($K26,'임금대장(파트)'!$A$6:$AG$41,25,0)</f>
        <v>0</v>
      </c>
      <c r="D39" s="33"/>
      <c r="E39" s="42"/>
      <c r="F39" s="262" t="s">
        <v>14</v>
      </c>
      <c r="G39" s="263"/>
      <c r="H39" s="35">
        <f>VLOOKUP($K26,'임금대장(파트)'!$A$6:$AG$41,19,0)</f>
        <v>0</v>
      </c>
      <c r="I39" s="33"/>
      <c r="J39" s="34"/>
    </row>
    <row r="40" spans="1:10" ht="20.45" customHeight="1" x14ac:dyDescent="0.6">
      <c r="A40" s="252"/>
      <c r="B40" s="36" t="s">
        <v>98</v>
      </c>
      <c r="C40" s="35">
        <f>VLOOKUP($K26,'임금대장(파트)'!$A$6:$AG$41,26,0)</f>
        <v>0</v>
      </c>
      <c r="D40" s="36"/>
      <c r="E40" s="43"/>
      <c r="F40" s="258" t="s">
        <v>12</v>
      </c>
      <c r="G40" s="259"/>
      <c r="H40" s="35">
        <f>VLOOKUP($K26,'임금대장(파트)'!$A$6:$AG$41,17,0)</f>
        <v>0</v>
      </c>
      <c r="I40" s="36"/>
      <c r="J40" s="37"/>
    </row>
    <row r="41" spans="1:10" ht="20.45" customHeight="1" x14ac:dyDescent="0.6">
      <c r="A41" s="252"/>
      <c r="B41" s="36" t="s">
        <v>99</v>
      </c>
      <c r="C41" s="35">
        <f>VLOOKUP($K26,'임금대장(파트)'!$A$6:$AG$41,27,0)</f>
        <v>0</v>
      </c>
      <c r="D41" s="36"/>
      <c r="E41" s="44"/>
      <c r="F41" s="258" t="s">
        <v>171</v>
      </c>
      <c r="G41" s="259"/>
      <c r="H41" s="35">
        <f>VLOOKUP($K26,'임금대장(파트)'!$A$6:$AG$41,31,0)</f>
        <v>37600</v>
      </c>
      <c r="I41" s="36"/>
      <c r="J41" s="37"/>
    </row>
    <row r="42" spans="1:10" ht="20.45" customHeight="1" x14ac:dyDescent="0.6">
      <c r="A42" s="252"/>
      <c r="B42" s="36" t="s">
        <v>101</v>
      </c>
      <c r="C42" s="35">
        <f>VLOOKUP($K26,'임금대장(파트)'!$A$6:$AG$41,28,0)</f>
        <v>0</v>
      </c>
      <c r="D42" s="36"/>
      <c r="E42" s="43"/>
      <c r="F42" s="258" t="s">
        <v>102</v>
      </c>
      <c r="G42" s="259"/>
      <c r="H42" s="35">
        <f>VLOOKUP($K26,'임금대장(파트)'!$A$6:$AG$41,30,0)</f>
        <v>0</v>
      </c>
      <c r="I42" s="36"/>
      <c r="J42" s="37"/>
    </row>
    <row r="43" spans="1:10" ht="20.45" customHeight="1" x14ac:dyDescent="0.6">
      <c r="A43" s="252"/>
      <c r="B43" s="36" t="s">
        <v>31</v>
      </c>
      <c r="C43" s="35">
        <f>VLOOKUP($K26,'임금대장(파트)'!$A$6:$AG$41,29,0)</f>
        <v>0</v>
      </c>
      <c r="D43" s="36"/>
      <c r="E43" s="43"/>
      <c r="F43" s="45"/>
      <c r="G43" s="46"/>
      <c r="H43" s="36"/>
      <c r="I43" s="67" t="s">
        <v>103</v>
      </c>
      <c r="J43" s="47">
        <f>SUM(C39:H44)</f>
        <v>37600</v>
      </c>
    </row>
    <row r="44" spans="1:10" ht="20.45" customHeight="1" x14ac:dyDescent="0.6">
      <c r="A44" s="253"/>
      <c r="B44" s="40"/>
      <c r="C44" s="101"/>
      <c r="D44" s="40"/>
      <c r="E44" s="48"/>
      <c r="F44" s="260"/>
      <c r="G44" s="261"/>
      <c r="H44" s="40"/>
      <c r="I44" s="68" t="s">
        <v>104</v>
      </c>
      <c r="J44" s="49">
        <f>J38-J43</f>
        <v>0</v>
      </c>
    </row>
    <row r="45" spans="1:10" ht="20.45" customHeight="1" x14ac:dyDescent="0.6">
      <c r="A45" s="50" t="s">
        <v>105</v>
      </c>
      <c r="J45" s="51" t="s">
        <v>0</v>
      </c>
    </row>
    <row r="46" spans="1:10" ht="20.45" customHeight="1" x14ac:dyDescent="0.6">
      <c r="A46" s="50"/>
      <c r="J46" s="51"/>
    </row>
    <row r="47" spans="1:10" ht="20.45" customHeight="1" x14ac:dyDescent="0.6">
      <c r="A47" s="264" t="s">
        <v>170</v>
      </c>
      <c r="B47" s="264"/>
      <c r="C47" s="264"/>
      <c r="D47" s="264"/>
      <c r="E47" s="264"/>
      <c r="F47" s="264"/>
      <c r="G47" s="264"/>
      <c r="H47" s="264"/>
      <c r="I47" s="264"/>
      <c r="J47" s="264"/>
    </row>
    <row r="48" spans="1:10" ht="20.45" customHeight="1" x14ac:dyDescent="0.6">
      <c r="A48" s="286" t="s">
        <v>83</v>
      </c>
      <c r="B48" s="286"/>
      <c r="C48" s="286"/>
      <c r="D48" s="286" t="s">
        <v>84</v>
      </c>
      <c r="E48" s="286"/>
      <c r="F48" s="286" t="s">
        <v>85</v>
      </c>
      <c r="G48" s="286"/>
      <c r="H48" s="286"/>
      <c r="I48" s="286" t="s">
        <v>86</v>
      </c>
      <c r="J48" s="286"/>
    </row>
    <row r="49" spans="1:13" ht="20.45" customHeight="1" x14ac:dyDescent="0.6">
      <c r="A49" s="286" t="str">
        <f>VLOOKUP(K49,'임금대장(파트)'!$A$6:$AG$41,3,0)</f>
        <v>파트타임</v>
      </c>
      <c r="B49" s="286"/>
      <c r="C49" s="286"/>
      <c r="D49" s="287" t="str">
        <f>VLOOKUP(K49,'임금대장(파트)'!$A$6:$AG$41,2,0)</f>
        <v>박선을</v>
      </c>
      <c r="E49" s="287"/>
      <c r="F49" s="287">
        <f>'임금대장(파트)'!$O$3</f>
        <v>31</v>
      </c>
      <c r="G49" s="286"/>
      <c r="H49" s="286"/>
      <c r="I49" s="288">
        <f>VLOOKUP(K49,'임금대장(파트)'!$A$6:$AG$41,16,0)</f>
        <v>0</v>
      </c>
      <c r="J49" s="288"/>
      <c r="K49" s="30">
        <v>3</v>
      </c>
    </row>
    <row r="50" spans="1:13" ht="20.45" customHeight="1" x14ac:dyDescent="0.6">
      <c r="A50" s="286" t="s">
        <v>87</v>
      </c>
      <c r="B50" s="286"/>
      <c r="C50" s="286" t="s">
        <v>5</v>
      </c>
      <c r="D50" s="289">
        <f>VLOOKUP($K49,'임금대장(파트)'!$A$6:$AG$41,5,0)</f>
        <v>43831</v>
      </c>
      <c r="E50" s="289"/>
      <c r="F50" s="114" t="s">
        <v>88</v>
      </c>
      <c r="G50" s="358">
        <f>VLOOKUP(K49,'임금대장(파트)'!$A$6:$AG$41,15,0)</f>
        <v>31</v>
      </c>
      <c r="H50" s="358"/>
      <c r="I50" s="286" t="s">
        <v>89</v>
      </c>
      <c r="J50" s="290">
        <f>VLOOKUP(K49,'임금대장(파트)'!$A$6:$AG$41,17,0)</f>
        <v>0</v>
      </c>
    </row>
    <row r="51" spans="1:13" ht="20.45" customHeight="1" x14ac:dyDescent="0.6">
      <c r="A51" s="294">
        <f>VLOOKUP($K49,'임금대장(파트)'!$A$6:$AG$41,7,0)</f>
        <v>0</v>
      </c>
      <c r="B51" s="294"/>
      <c r="C51" s="286"/>
      <c r="D51" s="289"/>
      <c r="E51" s="289"/>
      <c r="F51" s="115" t="s">
        <v>90</v>
      </c>
      <c r="G51" s="359">
        <f>VLOOKUP(K49,'임금대장(파트)'!$A$6:$AG$41,16,0)</f>
        <v>0</v>
      </c>
      <c r="H51" s="359"/>
      <c r="I51" s="286"/>
      <c r="J51" s="290"/>
    </row>
    <row r="52" spans="1:13" ht="20.45" customHeight="1" x14ac:dyDescent="0.6">
      <c r="F52" s="250"/>
      <c r="G52" s="250"/>
      <c r="H52" s="32"/>
    </row>
    <row r="53" spans="1:13" ht="20.45" customHeight="1" x14ac:dyDescent="0.6">
      <c r="A53" s="251" t="s">
        <v>91</v>
      </c>
      <c r="B53" s="69" t="s">
        <v>20</v>
      </c>
      <c r="C53" s="25">
        <f>VLOOKUP($K49,'임금대장(파트)'!$A$6:$AG$41,9,0)</f>
        <v>531100</v>
      </c>
      <c r="D53" s="33"/>
      <c r="E53" s="69"/>
      <c r="F53" s="254"/>
      <c r="G53" s="255"/>
      <c r="H53" s="25"/>
      <c r="I53" s="33"/>
      <c r="J53" s="34"/>
    </row>
    <row r="54" spans="1:13" ht="20.45" customHeight="1" x14ac:dyDescent="0.6">
      <c r="A54" s="252"/>
      <c r="B54" s="67" t="s">
        <v>21</v>
      </c>
      <c r="C54" s="35">
        <f>VLOOKUP($K49,'임금대장(파트)'!$A$6:$AG$41,10,0)</f>
        <v>0</v>
      </c>
      <c r="D54" s="36"/>
      <c r="E54" s="67"/>
      <c r="F54" s="256"/>
      <c r="G54" s="257"/>
      <c r="H54" s="35"/>
      <c r="I54" s="36"/>
      <c r="J54" s="37"/>
    </row>
    <row r="55" spans="1:13" ht="20.45" customHeight="1" x14ac:dyDescent="0.6">
      <c r="A55" s="252"/>
      <c r="B55" s="52" t="s">
        <v>92</v>
      </c>
      <c r="C55" s="35">
        <f>VLOOKUP($K49,'임금대장(파트)'!$A$6:$AG$41,11,0)</f>
        <v>0</v>
      </c>
      <c r="D55" s="36"/>
      <c r="E55" s="67"/>
      <c r="F55" s="256"/>
      <c r="G55" s="257"/>
      <c r="H55" s="35"/>
      <c r="I55" s="36"/>
      <c r="J55" s="37"/>
      <c r="L55" s="38"/>
      <c r="M55" s="38"/>
    </row>
    <row r="56" spans="1:13" ht="20.45" customHeight="1" x14ac:dyDescent="0.6">
      <c r="A56" s="252"/>
      <c r="B56" s="67" t="s">
        <v>115</v>
      </c>
      <c r="C56" s="35">
        <f>VLOOKUP($K49,'임금대장(파트)'!$A$6:$AG$41,12,0)</f>
        <v>0</v>
      </c>
      <c r="D56" s="36"/>
      <c r="E56" s="67"/>
      <c r="F56" s="256"/>
      <c r="G56" s="257"/>
      <c r="H56" s="35"/>
      <c r="I56" s="36"/>
      <c r="J56" s="37"/>
    </row>
    <row r="57" spans="1:13" ht="20.45" customHeight="1" x14ac:dyDescent="0.6">
      <c r="A57" s="252"/>
      <c r="B57" s="67" t="s">
        <v>94</v>
      </c>
      <c r="C57" s="35">
        <f>VLOOKUP($K49,'임금대장(파트)'!$A$6:$AG$41,13,0)</f>
        <v>0</v>
      </c>
      <c r="D57" s="36"/>
      <c r="E57" s="36"/>
      <c r="F57" s="258"/>
      <c r="G57" s="259"/>
      <c r="H57" s="35"/>
      <c r="I57" s="36"/>
      <c r="J57" s="37"/>
    </row>
    <row r="58" spans="1:13" ht="20.45" customHeight="1" x14ac:dyDescent="0.6">
      <c r="A58" s="252"/>
      <c r="B58" s="67" t="s">
        <v>24</v>
      </c>
      <c r="C58" s="102">
        <f>VLOOKUP($K49,'임금대장(파트)'!$A$6:$AG$41,14,0)</f>
        <v>0</v>
      </c>
      <c r="D58" s="36"/>
      <c r="E58" s="36"/>
      <c r="F58" s="258"/>
      <c r="G58" s="259"/>
      <c r="H58" s="35"/>
      <c r="I58" s="36"/>
      <c r="J58" s="37"/>
    </row>
    <row r="59" spans="1:13" ht="20.45" customHeight="1" x14ac:dyDescent="0.6">
      <c r="A59" s="252"/>
      <c r="B59" s="67"/>
      <c r="C59" s="35"/>
      <c r="D59" s="36"/>
      <c r="E59" s="36"/>
      <c r="F59" s="258"/>
      <c r="G59" s="259"/>
      <c r="H59" s="35"/>
      <c r="I59" s="36"/>
      <c r="J59" s="37"/>
    </row>
    <row r="60" spans="1:13" ht="20.45" customHeight="1" x14ac:dyDescent="0.6">
      <c r="A60" s="252"/>
      <c r="B60" s="67"/>
      <c r="C60" s="35"/>
      <c r="D60" s="36"/>
      <c r="E60" s="36"/>
      <c r="F60" s="258"/>
      <c r="G60" s="259"/>
      <c r="H60" s="35"/>
      <c r="I60" s="36"/>
      <c r="J60" s="37"/>
    </row>
    <row r="61" spans="1:13" ht="20.45" customHeight="1" x14ac:dyDescent="0.6">
      <c r="A61" s="253"/>
      <c r="B61" s="68"/>
      <c r="C61" s="39"/>
      <c r="D61" s="40"/>
      <c r="E61" s="40"/>
      <c r="F61" s="260"/>
      <c r="G61" s="261"/>
      <c r="H61" s="39"/>
      <c r="I61" s="68" t="s">
        <v>95</v>
      </c>
      <c r="J61" s="41">
        <f>SUM(C53:H59)</f>
        <v>531100</v>
      </c>
    </row>
    <row r="62" spans="1:13" ht="20.45" customHeight="1" x14ac:dyDescent="0.6">
      <c r="A62" s="251" t="s">
        <v>96</v>
      </c>
      <c r="B62" s="36" t="s">
        <v>97</v>
      </c>
      <c r="C62" s="35">
        <f>VLOOKUP($K49,'임금대장(파트)'!$A$6:$AG$41,25,0)</f>
        <v>0</v>
      </c>
      <c r="D62" s="33"/>
      <c r="E62" s="42"/>
      <c r="F62" s="262" t="s">
        <v>14</v>
      </c>
      <c r="G62" s="263"/>
      <c r="H62" s="35">
        <f>VLOOKUP($K49,'임금대장(파트)'!$A$6:$AG$41,19,0)</f>
        <v>0</v>
      </c>
      <c r="I62" s="33"/>
      <c r="J62" s="34"/>
    </row>
    <row r="63" spans="1:13" ht="20.45" customHeight="1" x14ac:dyDescent="0.6">
      <c r="A63" s="252"/>
      <c r="B63" s="36" t="s">
        <v>98</v>
      </c>
      <c r="C63" s="35">
        <f>VLOOKUP($K49,'임금대장(파트)'!$A$6:$AG$41,26,0)</f>
        <v>0</v>
      </c>
      <c r="D63" s="36"/>
      <c r="E63" s="43"/>
      <c r="F63" s="258" t="s">
        <v>12</v>
      </c>
      <c r="G63" s="259"/>
      <c r="H63" s="35">
        <f>VLOOKUP($K49,'임금대장(파트)'!$A$6:$AG$41,17,0)</f>
        <v>0</v>
      </c>
      <c r="I63" s="36"/>
      <c r="J63" s="37"/>
    </row>
    <row r="64" spans="1:13" ht="20.45" customHeight="1" x14ac:dyDescent="0.6">
      <c r="A64" s="252"/>
      <c r="B64" s="36" t="s">
        <v>99</v>
      </c>
      <c r="C64" s="35">
        <f>VLOOKUP($K49,'임금대장(파트)'!$A$6:$AG$41,27,0)</f>
        <v>0</v>
      </c>
      <c r="D64" s="36"/>
      <c r="E64" s="44"/>
      <c r="F64" s="258" t="s">
        <v>171</v>
      </c>
      <c r="G64" s="259"/>
      <c r="H64" s="35">
        <f>VLOOKUP($K49,'임금대장(파트)'!$A$6:$AG$41,31,0)</f>
        <v>343100</v>
      </c>
      <c r="I64" s="36"/>
      <c r="J64" s="37"/>
    </row>
    <row r="65" spans="1:13" ht="20.45" customHeight="1" x14ac:dyDescent="0.6">
      <c r="A65" s="252"/>
      <c r="B65" s="36" t="s">
        <v>101</v>
      </c>
      <c r="C65" s="35">
        <f>VLOOKUP($K49,'임금대장(파트)'!$A$6:$AG$41,28,0)</f>
        <v>0</v>
      </c>
      <c r="D65" s="36"/>
      <c r="E65" s="43"/>
      <c r="F65" s="258" t="s">
        <v>102</v>
      </c>
      <c r="G65" s="259"/>
      <c r="H65" s="35">
        <f>VLOOKUP($K49,'임금대장(파트)'!$A$6:$AG$41,30,0)</f>
        <v>4240</v>
      </c>
      <c r="I65" s="36"/>
      <c r="J65" s="37"/>
    </row>
    <row r="66" spans="1:13" ht="20.45" customHeight="1" x14ac:dyDescent="0.6">
      <c r="A66" s="252"/>
      <c r="B66" s="36" t="s">
        <v>31</v>
      </c>
      <c r="C66" s="35">
        <f>VLOOKUP($K49,'임금대장(파트)'!$A$6:$AG$41,29,0)</f>
        <v>0</v>
      </c>
      <c r="D66" s="36"/>
      <c r="E66" s="43"/>
      <c r="F66" s="45"/>
      <c r="G66" s="46"/>
      <c r="H66" s="36"/>
      <c r="I66" s="67" t="s">
        <v>103</v>
      </c>
      <c r="J66" s="47">
        <f>SUM(C62:H67)</f>
        <v>347340</v>
      </c>
    </row>
    <row r="67" spans="1:13" ht="20.45" customHeight="1" x14ac:dyDescent="0.6">
      <c r="A67" s="253"/>
      <c r="B67" s="40"/>
      <c r="C67" s="101"/>
      <c r="D67" s="40"/>
      <c r="E67" s="48"/>
      <c r="F67" s="260"/>
      <c r="G67" s="261"/>
      <c r="H67" s="40"/>
      <c r="I67" s="68" t="s">
        <v>104</v>
      </c>
      <c r="J67" s="49">
        <f>J61-J66</f>
        <v>183760</v>
      </c>
    </row>
    <row r="68" spans="1:13" ht="20.45" customHeight="1" x14ac:dyDescent="0.6">
      <c r="A68" s="50" t="s">
        <v>105</v>
      </c>
      <c r="J68" s="51" t="s">
        <v>0</v>
      </c>
    </row>
    <row r="69" spans="1:13" ht="20.45" customHeight="1" x14ac:dyDescent="0.6">
      <c r="A69" s="50"/>
      <c r="J69" s="51"/>
    </row>
    <row r="70" spans="1:13" ht="20.45" customHeight="1" x14ac:dyDescent="0.6">
      <c r="A70" s="264" t="s">
        <v>170</v>
      </c>
      <c r="B70" s="264"/>
      <c r="C70" s="264"/>
      <c r="D70" s="264"/>
      <c r="E70" s="264"/>
      <c r="F70" s="264"/>
      <c r="G70" s="264"/>
      <c r="H70" s="264"/>
      <c r="I70" s="264"/>
      <c r="J70" s="264"/>
    </row>
    <row r="71" spans="1:13" ht="20.45" customHeight="1" x14ac:dyDescent="0.6">
      <c r="A71" s="286" t="s">
        <v>83</v>
      </c>
      <c r="B71" s="286"/>
      <c r="C71" s="286"/>
      <c r="D71" s="286" t="s">
        <v>84</v>
      </c>
      <c r="E71" s="286"/>
      <c r="F71" s="286" t="s">
        <v>85</v>
      </c>
      <c r="G71" s="286"/>
      <c r="H71" s="286"/>
      <c r="I71" s="286" t="s">
        <v>86</v>
      </c>
      <c r="J71" s="286"/>
    </row>
    <row r="72" spans="1:13" ht="20.45" customHeight="1" x14ac:dyDescent="0.6">
      <c r="A72" s="286" t="str">
        <f>VLOOKUP(K72,'임금대장(파트)'!$A$6:$AG$41,3,0)</f>
        <v>파트타임</v>
      </c>
      <c r="B72" s="286"/>
      <c r="C72" s="286"/>
      <c r="D72" s="287" t="str">
        <f>VLOOKUP(K72,'임금대장(파트)'!$A$6:$AG$41,2,0)</f>
        <v>배민준</v>
      </c>
      <c r="E72" s="287"/>
      <c r="F72" s="287">
        <f>'임금대장(파트)'!$O$3</f>
        <v>31</v>
      </c>
      <c r="G72" s="286"/>
      <c r="H72" s="286"/>
      <c r="I72" s="288">
        <f>VLOOKUP(K72,'임금대장(파트)'!$A$6:$AG$41,16,0)</f>
        <v>0</v>
      </c>
      <c r="J72" s="288"/>
      <c r="K72" s="30">
        <v>4</v>
      </c>
    </row>
    <row r="73" spans="1:13" ht="20.45" customHeight="1" x14ac:dyDescent="0.6">
      <c r="A73" s="286" t="s">
        <v>87</v>
      </c>
      <c r="B73" s="286"/>
      <c r="C73" s="286" t="s">
        <v>5</v>
      </c>
      <c r="D73" s="289">
        <f>VLOOKUP($K72,'임금대장(파트)'!$A$6:$AG$41,5,0)</f>
        <v>43831</v>
      </c>
      <c r="E73" s="289"/>
      <c r="F73" s="114" t="s">
        <v>88</v>
      </c>
      <c r="G73" s="358">
        <f>VLOOKUP(K72,'임금대장(파트)'!$A$6:$AG$41,15,0)</f>
        <v>31</v>
      </c>
      <c r="H73" s="358"/>
      <c r="I73" s="286" t="s">
        <v>89</v>
      </c>
      <c r="J73" s="290">
        <f>VLOOKUP(K72,'임금대장(파트)'!$A$6:$AG$41,17,0)</f>
        <v>0</v>
      </c>
    </row>
    <row r="74" spans="1:13" ht="20.45" customHeight="1" x14ac:dyDescent="0.6">
      <c r="A74" s="294">
        <f>VLOOKUP($K72,'임금대장(파트)'!$A$6:$AG$41,7,0)</f>
        <v>0</v>
      </c>
      <c r="B74" s="294"/>
      <c r="C74" s="286"/>
      <c r="D74" s="289"/>
      <c r="E74" s="289"/>
      <c r="F74" s="115" t="s">
        <v>90</v>
      </c>
      <c r="G74" s="359">
        <f>VLOOKUP(K72,'임금대장(파트)'!$A$6:$AG$41,16,0)</f>
        <v>0</v>
      </c>
      <c r="H74" s="359"/>
      <c r="I74" s="286"/>
      <c r="J74" s="290"/>
    </row>
    <row r="75" spans="1:13" ht="20.45" customHeight="1" x14ac:dyDescent="0.6">
      <c r="F75" s="250"/>
      <c r="G75" s="250"/>
      <c r="H75" s="32"/>
    </row>
    <row r="76" spans="1:13" ht="20.45" customHeight="1" x14ac:dyDescent="0.6">
      <c r="A76" s="251" t="s">
        <v>91</v>
      </c>
      <c r="B76" s="69" t="s">
        <v>20</v>
      </c>
      <c r="C76" s="25">
        <f>VLOOKUP($K72,'임금대장(파트)'!$A$6:$AG$41,9,0)</f>
        <v>263200</v>
      </c>
      <c r="D76" s="33"/>
      <c r="E76" s="69"/>
      <c r="F76" s="254"/>
      <c r="G76" s="255"/>
      <c r="H76" s="25"/>
      <c r="I76" s="33"/>
      <c r="J76" s="34"/>
    </row>
    <row r="77" spans="1:13" ht="20.45" customHeight="1" x14ac:dyDescent="0.6">
      <c r="A77" s="252"/>
      <c r="B77" s="67" t="s">
        <v>21</v>
      </c>
      <c r="C77" s="35">
        <f>VLOOKUP($K72,'임금대장(파트)'!$A$6:$AG$41,10,0)</f>
        <v>0</v>
      </c>
      <c r="D77" s="36"/>
      <c r="E77" s="67"/>
      <c r="F77" s="256"/>
      <c r="G77" s="257"/>
      <c r="H77" s="35"/>
      <c r="I77" s="36"/>
      <c r="J77" s="37"/>
    </row>
    <row r="78" spans="1:13" ht="20.45" customHeight="1" x14ac:dyDescent="0.6">
      <c r="A78" s="252"/>
      <c r="B78" s="52" t="s">
        <v>92</v>
      </c>
      <c r="C78" s="35">
        <f>VLOOKUP($K72,'임금대장(파트)'!$A$6:$AG$41,11,0)</f>
        <v>0</v>
      </c>
      <c r="D78" s="36"/>
      <c r="E78" s="67"/>
      <c r="F78" s="256"/>
      <c r="G78" s="257"/>
      <c r="H78" s="35"/>
      <c r="I78" s="36"/>
      <c r="J78" s="37"/>
      <c r="L78" s="38"/>
      <c r="M78" s="38"/>
    </row>
    <row r="79" spans="1:13" ht="20.45" customHeight="1" x14ac:dyDescent="0.6">
      <c r="A79" s="252"/>
      <c r="B79" s="67" t="s">
        <v>115</v>
      </c>
      <c r="C79" s="35">
        <f>VLOOKUP($K72,'임금대장(파트)'!$A$6:$AG$41,12,0)</f>
        <v>0</v>
      </c>
      <c r="D79" s="36"/>
      <c r="E79" s="67"/>
      <c r="F79" s="256"/>
      <c r="G79" s="257"/>
      <c r="H79" s="35"/>
      <c r="I79" s="36"/>
      <c r="J79" s="37"/>
    </row>
    <row r="80" spans="1:13" ht="20.45" customHeight="1" x14ac:dyDescent="0.6">
      <c r="A80" s="252"/>
      <c r="B80" s="67" t="s">
        <v>94</v>
      </c>
      <c r="C80" s="35">
        <f>VLOOKUP($K72,'임금대장(파트)'!$A$6:$AG$41,13,0)</f>
        <v>0</v>
      </c>
      <c r="D80" s="36"/>
      <c r="E80" s="36"/>
      <c r="F80" s="258"/>
      <c r="G80" s="259"/>
      <c r="H80" s="35"/>
      <c r="I80" s="36"/>
      <c r="J80" s="37"/>
    </row>
    <row r="81" spans="1:11" ht="20.45" customHeight="1" x14ac:dyDescent="0.6">
      <c r="A81" s="252"/>
      <c r="B81" s="67" t="s">
        <v>24</v>
      </c>
      <c r="C81" s="102">
        <f>VLOOKUP($K72,'임금대장(파트)'!$A$6:$AG$41,14,0)</f>
        <v>0</v>
      </c>
      <c r="D81" s="36"/>
      <c r="E81" s="36"/>
      <c r="F81" s="258"/>
      <c r="G81" s="259"/>
      <c r="H81" s="35"/>
      <c r="I81" s="36"/>
      <c r="J81" s="37"/>
    </row>
    <row r="82" spans="1:11" ht="20.45" customHeight="1" x14ac:dyDescent="0.6">
      <c r="A82" s="252"/>
      <c r="B82" s="67"/>
      <c r="C82" s="35"/>
      <c r="D82" s="36"/>
      <c r="E82" s="36"/>
      <c r="F82" s="258"/>
      <c r="G82" s="259"/>
      <c r="H82" s="35"/>
      <c r="I82" s="36"/>
      <c r="J82" s="37"/>
    </row>
    <row r="83" spans="1:11" ht="20.45" customHeight="1" x14ac:dyDescent="0.6">
      <c r="A83" s="252"/>
      <c r="B83" s="67"/>
      <c r="C83" s="35"/>
      <c r="D83" s="36"/>
      <c r="E83" s="36"/>
      <c r="F83" s="258"/>
      <c r="G83" s="259"/>
      <c r="H83" s="35"/>
      <c r="I83" s="36"/>
      <c r="J83" s="37"/>
    </row>
    <row r="84" spans="1:11" ht="20.45" customHeight="1" x14ac:dyDescent="0.6">
      <c r="A84" s="253"/>
      <c r="B84" s="68"/>
      <c r="C84" s="39"/>
      <c r="D84" s="40"/>
      <c r="E84" s="40"/>
      <c r="F84" s="260"/>
      <c r="G84" s="261"/>
      <c r="H84" s="39"/>
      <c r="I84" s="68" t="s">
        <v>95</v>
      </c>
      <c r="J84" s="41">
        <f>SUM(C76:H82)</f>
        <v>263200</v>
      </c>
    </row>
    <row r="85" spans="1:11" ht="20.45" customHeight="1" x14ac:dyDescent="0.6">
      <c r="A85" s="251" t="s">
        <v>96</v>
      </c>
      <c r="B85" s="36" t="s">
        <v>97</v>
      </c>
      <c r="C85" s="35">
        <f>VLOOKUP($K72,'임금대장(파트)'!$A$6:$AG$41,25,0)</f>
        <v>0</v>
      </c>
      <c r="D85" s="33"/>
      <c r="E85" s="42"/>
      <c r="F85" s="262" t="s">
        <v>14</v>
      </c>
      <c r="G85" s="263"/>
      <c r="H85" s="35">
        <f>VLOOKUP($K72,'임금대장(파트)'!$A$6:$AG$41,19,0)</f>
        <v>0</v>
      </c>
      <c r="I85" s="33"/>
      <c r="J85" s="34"/>
    </row>
    <row r="86" spans="1:11" ht="20.45" customHeight="1" x14ac:dyDescent="0.6">
      <c r="A86" s="252"/>
      <c r="B86" s="36" t="s">
        <v>98</v>
      </c>
      <c r="C86" s="35">
        <f>VLOOKUP($K72,'임금대장(파트)'!$A$6:$AG$41,26,0)</f>
        <v>0</v>
      </c>
      <c r="D86" s="36"/>
      <c r="E86" s="43"/>
      <c r="F86" s="258" t="s">
        <v>12</v>
      </c>
      <c r="G86" s="259"/>
      <c r="H86" s="35">
        <f>VLOOKUP($K72,'임금대장(파트)'!$A$6:$AG$41,17,0)</f>
        <v>0</v>
      </c>
      <c r="I86" s="36"/>
      <c r="J86" s="37"/>
    </row>
    <row r="87" spans="1:11" ht="20.45" customHeight="1" x14ac:dyDescent="0.6">
      <c r="A87" s="252"/>
      <c r="B87" s="36" t="s">
        <v>99</v>
      </c>
      <c r="C87" s="35">
        <f>VLOOKUP($K72,'임금대장(파트)'!$A$6:$AG$41,27,0)</f>
        <v>0</v>
      </c>
      <c r="D87" s="36"/>
      <c r="E87" s="44"/>
      <c r="F87" s="258" t="s">
        <v>171</v>
      </c>
      <c r="G87" s="259"/>
      <c r="H87" s="35">
        <f>VLOOKUP($K72,'임금대장(파트)'!$A$6:$AG$41,31,0)</f>
        <v>263200</v>
      </c>
      <c r="I87" s="36"/>
      <c r="J87" s="37"/>
    </row>
    <row r="88" spans="1:11" ht="20.45" customHeight="1" x14ac:dyDescent="0.6">
      <c r="A88" s="252"/>
      <c r="B88" s="36" t="s">
        <v>101</v>
      </c>
      <c r="C88" s="35">
        <f>VLOOKUP($K72,'임금대장(파트)'!$A$6:$AG$41,28,0)</f>
        <v>0</v>
      </c>
      <c r="D88" s="36"/>
      <c r="E88" s="43"/>
      <c r="F88" s="258" t="s">
        <v>102</v>
      </c>
      <c r="G88" s="259"/>
      <c r="H88" s="35">
        <f>VLOOKUP($K72,'임금대장(파트)'!$A$6:$AG$41,30,0)</f>
        <v>0</v>
      </c>
      <c r="I88" s="36"/>
      <c r="J88" s="37"/>
    </row>
    <row r="89" spans="1:11" ht="20.45" customHeight="1" x14ac:dyDescent="0.6">
      <c r="A89" s="252"/>
      <c r="B89" s="36" t="s">
        <v>31</v>
      </c>
      <c r="C89" s="35">
        <f>VLOOKUP($K72,'임금대장(파트)'!$A$6:$AG$41,29,0)</f>
        <v>0</v>
      </c>
      <c r="D89" s="36"/>
      <c r="E89" s="43"/>
      <c r="F89" s="45"/>
      <c r="G89" s="46"/>
      <c r="H89" s="36"/>
      <c r="I89" s="67" t="s">
        <v>103</v>
      </c>
      <c r="J89" s="47">
        <f>SUM(C85:H90)</f>
        <v>263200</v>
      </c>
    </row>
    <row r="90" spans="1:11" ht="20.45" customHeight="1" x14ac:dyDescent="0.6">
      <c r="A90" s="253"/>
      <c r="B90" s="40"/>
      <c r="C90" s="101"/>
      <c r="D90" s="40"/>
      <c r="E90" s="48"/>
      <c r="F90" s="260"/>
      <c r="G90" s="261"/>
      <c r="H90" s="40"/>
      <c r="I90" s="68" t="s">
        <v>104</v>
      </c>
      <c r="J90" s="49">
        <f>J84-J89</f>
        <v>0</v>
      </c>
    </row>
    <row r="91" spans="1:11" ht="20.45" customHeight="1" x14ac:dyDescent="0.6">
      <c r="A91" s="50" t="s">
        <v>105</v>
      </c>
      <c r="J91" s="51" t="s">
        <v>0</v>
      </c>
    </row>
    <row r="92" spans="1:11" ht="20.45" customHeight="1" x14ac:dyDescent="0.6">
      <c r="A92" s="50"/>
      <c r="J92" s="51"/>
    </row>
    <row r="93" spans="1:11" ht="20.45" customHeight="1" x14ac:dyDescent="0.6">
      <c r="A93" s="264" t="s">
        <v>170</v>
      </c>
      <c r="B93" s="264"/>
      <c r="C93" s="264"/>
      <c r="D93" s="264"/>
      <c r="E93" s="264"/>
      <c r="F93" s="264"/>
      <c r="G93" s="264"/>
      <c r="H93" s="264"/>
      <c r="I93" s="264"/>
      <c r="J93" s="264"/>
    </row>
    <row r="94" spans="1:11" ht="20.45" customHeight="1" x14ac:dyDescent="0.6">
      <c r="A94" s="286" t="s">
        <v>83</v>
      </c>
      <c r="B94" s="286"/>
      <c r="C94" s="286"/>
      <c r="D94" s="286" t="s">
        <v>84</v>
      </c>
      <c r="E94" s="286"/>
      <c r="F94" s="286" t="s">
        <v>85</v>
      </c>
      <c r="G94" s="286"/>
      <c r="H94" s="286"/>
      <c r="I94" s="286" t="s">
        <v>86</v>
      </c>
      <c r="J94" s="286"/>
    </row>
    <row r="95" spans="1:11" ht="20.45" customHeight="1" x14ac:dyDescent="0.6">
      <c r="A95" s="286" t="str">
        <f>VLOOKUP(K95,'임금대장(파트)'!$A$6:$AG$41,3,0)</f>
        <v>파트타임</v>
      </c>
      <c r="B95" s="286"/>
      <c r="C95" s="286"/>
      <c r="D95" s="287" t="str">
        <f>VLOOKUP(K95,'임금대장(파트)'!$A$6:$AG$41,2,0)</f>
        <v>배상범</v>
      </c>
      <c r="E95" s="287"/>
      <c r="F95" s="287">
        <f>'임금대장(파트)'!$O$3</f>
        <v>31</v>
      </c>
      <c r="G95" s="286"/>
      <c r="H95" s="286"/>
      <c r="I95" s="288">
        <f>VLOOKUP(K95,'임금대장(파트)'!$A$6:$AG$41,16,0)</f>
        <v>0</v>
      </c>
      <c r="J95" s="288"/>
      <c r="K95" s="30">
        <v>5</v>
      </c>
    </row>
    <row r="96" spans="1:11" ht="20.45" customHeight="1" x14ac:dyDescent="0.6">
      <c r="A96" s="286" t="s">
        <v>87</v>
      </c>
      <c r="B96" s="286"/>
      <c r="C96" s="286" t="s">
        <v>5</v>
      </c>
      <c r="D96" s="289" t="str">
        <f>VLOOKUP($K95,'임금대장(파트)'!$A$6:$AG$41,5,0)</f>
        <v>일용</v>
      </c>
      <c r="E96" s="289"/>
      <c r="F96" s="114" t="s">
        <v>88</v>
      </c>
      <c r="G96" s="358">
        <f>VLOOKUP(K95,'임금대장(파트)'!$A$6:$AG$41,15,0)</f>
        <v>31</v>
      </c>
      <c r="H96" s="358"/>
      <c r="I96" s="286" t="s">
        <v>89</v>
      </c>
      <c r="J96" s="290">
        <f>VLOOKUP(K95,'임금대장(파트)'!$A$6:$AG$41,17,0)</f>
        <v>0</v>
      </c>
    </row>
    <row r="97" spans="1:13" ht="20.45" customHeight="1" x14ac:dyDescent="0.6">
      <c r="A97" s="294">
        <f>VLOOKUP($K95,'임금대장(파트)'!$A$6:$AG$41,7,0)</f>
        <v>0</v>
      </c>
      <c r="B97" s="294"/>
      <c r="C97" s="286"/>
      <c r="D97" s="289"/>
      <c r="E97" s="289"/>
      <c r="F97" s="115" t="s">
        <v>90</v>
      </c>
      <c r="G97" s="359">
        <f>VLOOKUP(K95,'임금대장(파트)'!$A$6:$AG$41,16,0)</f>
        <v>0</v>
      </c>
      <c r="H97" s="359"/>
      <c r="I97" s="286"/>
      <c r="J97" s="290"/>
    </row>
    <row r="98" spans="1:13" ht="20.45" customHeight="1" x14ac:dyDescent="0.6">
      <c r="F98" s="250"/>
      <c r="G98" s="250"/>
      <c r="H98" s="32"/>
    </row>
    <row r="99" spans="1:13" ht="20.45" customHeight="1" x14ac:dyDescent="0.6">
      <c r="A99" s="251" t="s">
        <v>91</v>
      </c>
      <c r="B99" s="69" t="s">
        <v>20</v>
      </c>
      <c r="C99" s="25">
        <f>VLOOKUP($K95,'임금대장(파트)'!$A$6:$AG$41,9,0)</f>
        <v>98700</v>
      </c>
      <c r="D99" s="33"/>
      <c r="E99" s="69"/>
      <c r="F99" s="254"/>
      <c r="G99" s="255"/>
      <c r="H99" s="25"/>
      <c r="I99" s="33"/>
      <c r="J99" s="34"/>
    </row>
    <row r="100" spans="1:13" ht="20.45" customHeight="1" x14ac:dyDescent="0.6">
      <c r="A100" s="252"/>
      <c r="B100" s="67" t="s">
        <v>21</v>
      </c>
      <c r="C100" s="35">
        <f>VLOOKUP($K95,'임금대장(파트)'!$A$6:$AG$41,10,0)</f>
        <v>0</v>
      </c>
      <c r="D100" s="36"/>
      <c r="E100" s="67"/>
      <c r="F100" s="256"/>
      <c r="G100" s="257"/>
      <c r="H100" s="35"/>
      <c r="I100" s="36"/>
      <c r="J100" s="37"/>
    </row>
    <row r="101" spans="1:13" ht="20.45" customHeight="1" x14ac:dyDescent="0.6">
      <c r="A101" s="252"/>
      <c r="B101" s="52" t="s">
        <v>92</v>
      </c>
      <c r="C101" s="35">
        <f>VLOOKUP($K95,'임금대장(파트)'!$A$6:$AG$41,11,0)</f>
        <v>0</v>
      </c>
      <c r="D101" s="36"/>
      <c r="E101" s="67"/>
      <c r="F101" s="256"/>
      <c r="G101" s="257"/>
      <c r="H101" s="35"/>
      <c r="I101" s="36"/>
      <c r="J101" s="37"/>
      <c r="L101" s="38"/>
      <c r="M101" s="38"/>
    </row>
    <row r="102" spans="1:13" ht="20.45" customHeight="1" x14ac:dyDescent="0.6">
      <c r="A102" s="252"/>
      <c r="B102" s="67" t="s">
        <v>115</v>
      </c>
      <c r="C102" s="35">
        <f>VLOOKUP($K95,'임금대장(파트)'!$A$6:$AG$41,12,0)</f>
        <v>0</v>
      </c>
      <c r="D102" s="36"/>
      <c r="E102" s="67"/>
      <c r="F102" s="256"/>
      <c r="G102" s="257"/>
      <c r="H102" s="35"/>
      <c r="I102" s="36"/>
      <c r="J102" s="37"/>
    </row>
    <row r="103" spans="1:13" ht="20.45" customHeight="1" x14ac:dyDescent="0.6">
      <c r="A103" s="252"/>
      <c r="B103" s="67" t="s">
        <v>94</v>
      </c>
      <c r="C103" s="35">
        <f>VLOOKUP($K95,'임금대장(파트)'!$A$6:$AG$41,13,0)</f>
        <v>0</v>
      </c>
      <c r="D103" s="36"/>
      <c r="E103" s="36"/>
      <c r="F103" s="258"/>
      <c r="G103" s="259"/>
      <c r="H103" s="35"/>
      <c r="I103" s="36"/>
      <c r="J103" s="37"/>
    </row>
    <row r="104" spans="1:13" ht="20.45" customHeight="1" x14ac:dyDescent="0.6">
      <c r="A104" s="252"/>
      <c r="B104" s="67" t="s">
        <v>24</v>
      </c>
      <c r="C104" s="102">
        <f>VLOOKUP($K95,'임금대장(파트)'!$A$6:$AG$41,14,0)</f>
        <v>0</v>
      </c>
      <c r="D104" s="36"/>
      <c r="E104" s="36"/>
      <c r="F104" s="258"/>
      <c r="G104" s="259"/>
      <c r="H104" s="35"/>
      <c r="I104" s="36"/>
      <c r="J104" s="37"/>
    </row>
    <row r="105" spans="1:13" ht="20.45" customHeight="1" x14ac:dyDescent="0.6">
      <c r="A105" s="252"/>
      <c r="B105" s="67"/>
      <c r="C105" s="35"/>
      <c r="D105" s="36"/>
      <c r="E105" s="36"/>
      <c r="F105" s="258"/>
      <c r="G105" s="259"/>
      <c r="H105" s="35"/>
      <c r="I105" s="36"/>
      <c r="J105" s="37"/>
    </row>
    <row r="106" spans="1:13" ht="20.45" customHeight="1" x14ac:dyDescent="0.6">
      <c r="A106" s="252"/>
      <c r="B106" s="67"/>
      <c r="C106" s="35"/>
      <c r="D106" s="36"/>
      <c r="E106" s="36"/>
      <c r="F106" s="258"/>
      <c r="G106" s="259"/>
      <c r="H106" s="35"/>
      <c r="I106" s="36"/>
      <c r="J106" s="37"/>
    </row>
    <row r="107" spans="1:13" ht="20.45" customHeight="1" x14ac:dyDescent="0.6">
      <c r="A107" s="253"/>
      <c r="B107" s="68"/>
      <c r="C107" s="39"/>
      <c r="D107" s="40"/>
      <c r="E107" s="40"/>
      <c r="F107" s="260"/>
      <c r="G107" s="261"/>
      <c r="H107" s="39"/>
      <c r="I107" s="68" t="s">
        <v>95</v>
      </c>
      <c r="J107" s="41">
        <f>SUM(C99:H105)</f>
        <v>98700</v>
      </c>
    </row>
    <row r="108" spans="1:13" ht="20.45" customHeight="1" x14ac:dyDescent="0.6">
      <c r="A108" s="251" t="s">
        <v>96</v>
      </c>
      <c r="B108" s="36" t="s">
        <v>97</v>
      </c>
      <c r="C108" s="35">
        <f>VLOOKUP($K95,'임금대장(파트)'!$A$6:$AG$41,25,0)</f>
        <v>0</v>
      </c>
      <c r="D108" s="33"/>
      <c r="E108" s="42"/>
      <c r="F108" s="262" t="s">
        <v>14</v>
      </c>
      <c r="G108" s="263"/>
      <c r="H108" s="35">
        <f>VLOOKUP($K95,'임금대장(파트)'!$A$6:$AG$41,19,0)</f>
        <v>0</v>
      </c>
      <c r="I108" s="33"/>
      <c r="J108" s="34"/>
    </row>
    <row r="109" spans="1:13" ht="20.45" customHeight="1" x14ac:dyDescent="0.6">
      <c r="A109" s="252"/>
      <c r="B109" s="36" t="s">
        <v>98</v>
      </c>
      <c r="C109" s="35">
        <f>VLOOKUP($K95,'임금대장(파트)'!$A$6:$AG$41,26,0)</f>
        <v>0</v>
      </c>
      <c r="D109" s="36"/>
      <c r="E109" s="43"/>
      <c r="F109" s="258" t="s">
        <v>12</v>
      </c>
      <c r="G109" s="259"/>
      <c r="H109" s="35">
        <f>VLOOKUP($K95,'임금대장(파트)'!$A$6:$AG$41,17,0)</f>
        <v>0</v>
      </c>
      <c r="I109" s="36"/>
      <c r="J109" s="37"/>
    </row>
    <row r="110" spans="1:13" ht="20.45" customHeight="1" x14ac:dyDescent="0.6">
      <c r="A110" s="252"/>
      <c r="B110" s="36" t="s">
        <v>99</v>
      </c>
      <c r="C110" s="35">
        <f>VLOOKUP($K95,'임금대장(파트)'!$A$6:$AG$41,27,0)</f>
        <v>0</v>
      </c>
      <c r="D110" s="36"/>
      <c r="E110" s="44"/>
      <c r="F110" s="258" t="s">
        <v>171</v>
      </c>
      <c r="G110" s="259"/>
      <c r="H110" s="35">
        <f>VLOOKUP($K95,'임금대장(파트)'!$A$6:$AG$41,31,0)</f>
        <v>98700</v>
      </c>
      <c r="I110" s="36"/>
      <c r="J110" s="37"/>
    </row>
    <row r="111" spans="1:13" ht="20.45" customHeight="1" x14ac:dyDescent="0.6">
      <c r="A111" s="252"/>
      <c r="B111" s="36" t="s">
        <v>101</v>
      </c>
      <c r="C111" s="35">
        <f>VLOOKUP($K95,'임금대장(파트)'!$A$6:$AG$41,28,0)</f>
        <v>0</v>
      </c>
      <c r="D111" s="36"/>
      <c r="E111" s="43"/>
      <c r="F111" s="258" t="s">
        <v>102</v>
      </c>
      <c r="G111" s="259"/>
      <c r="H111" s="35">
        <f>VLOOKUP($K95,'임금대장(파트)'!$A$6:$AG$41,30,0)</f>
        <v>0</v>
      </c>
      <c r="I111" s="36"/>
      <c r="J111" s="37"/>
    </row>
    <row r="112" spans="1:13" ht="20.45" customHeight="1" x14ac:dyDescent="0.6">
      <c r="A112" s="252"/>
      <c r="B112" s="36" t="s">
        <v>31</v>
      </c>
      <c r="C112" s="35">
        <f>VLOOKUP($K95,'임금대장(파트)'!$A$6:$AG$41,29,0)</f>
        <v>0</v>
      </c>
      <c r="D112" s="36"/>
      <c r="E112" s="43"/>
      <c r="F112" s="45"/>
      <c r="G112" s="46"/>
      <c r="H112" s="36"/>
      <c r="I112" s="67" t="s">
        <v>103</v>
      </c>
      <c r="J112" s="47">
        <f>SUM(C108:H113)</f>
        <v>98700</v>
      </c>
    </row>
    <row r="113" spans="1:13" ht="20.45" customHeight="1" x14ac:dyDescent="0.6">
      <c r="A113" s="253"/>
      <c r="B113" s="40"/>
      <c r="C113" s="101"/>
      <c r="D113" s="40"/>
      <c r="E113" s="48"/>
      <c r="F113" s="260"/>
      <c r="G113" s="261"/>
      <c r="H113" s="40"/>
      <c r="I113" s="68" t="s">
        <v>104</v>
      </c>
      <c r="J113" s="49">
        <f>J107-J112</f>
        <v>0</v>
      </c>
    </row>
    <row r="114" spans="1:13" ht="20.45" customHeight="1" x14ac:dyDescent="0.6">
      <c r="A114" s="50" t="s">
        <v>105</v>
      </c>
      <c r="J114" s="51" t="s">
        <v>0</v>
      </c>
    </row>
    <row r="115" spans="1:13" ht="20.45" customHeight="1" x14ac:dyDescent="0.6">
      <c r="A115" s="50"/>
      <c r="J115" s="51"/>
    </row>
    <row r="116" spans="1:13" ht="20.45" customHeight="1" x14ac:dyDescent="0.6">
      <c r="A116" s="264" t="s">
        <v>170</v>
      </c>
      <c r="B116" s="264"/>
      <c r="C116" s="264"/>
      <c r="D116" s="264"/>
      <c r="E116" s="264"/>
      <c r="F116" s="264"/>
      <c r="G116" s="264"/>
      <c r="H116" s="264"/>
      <c r="I116" s="264"/>
      <c r="J116" s="264"/>
    </row>
    <row r="117" spans="1:13" ht="20.45" customHeight="1" x14ac:dyDescent="0.6">
      <c r="A117" s="286" t="s">
        <v>83</v>
      </c>
      <c r="B117" s="286"/>
      <c r="C117" s="286"/>
      <c r="D117" s="286" t="s">
        <v>84</v>
      </c>
      <c r="E117" s="286"/>
      <c r="F117" s="286" t="s">
        <v>85</v>
      </c>
      <c r="G117" s="286"/>
      <c r="H117" s="286"/>
      <c r="I117" s="286" t="s">
        <v>86</v>
      </c>
      <c r="J117" s="286"/>
    </row>
    <row r="118" spans="1:13" ht="20.45" customHeight="1" x14ac:dyDescent="0.6">
      <c r="A118" s="286" t="str">
        <f>VLOOKUP(K118,'임금대장(파트)'!$A$6:$AG$41,3,0)</f>
        <v>파트타임</v>
      </c>
      <c r="B118" s="286"/>
      <c r="C118" s="286"/>
      <c r="D118" s="287" t="str">
        <f>VLOOKUP(K118,'임금대장(파트)'!$A$6:$AG$41,2,0)</f>
        <v>서혜민</v>
      </c>
      <c r="E118" s="287"/>
      <c r="F118" s="287">
        <f>'임금대장(파트)'!$O$3</f>
        <v>31</v>
      </c>
      <c r="G118" s="286"/>
      <c r="H118" s="286"/>
      <c r="I118" s="288">
        <f>VLOOKUP(K118,'임금대장(파트)'!$A$6:$AG$41,16,0)</f>
        <v>0</v>
      </c>
      <c r="J118" s="288"/>
      <c r="K118" s="30">
        <v>6</v>
      </c>
    </row>
    <row r="119" spans="1:13" ht="20.45" customHeight="1" x14ac:dyDescent="0.6">
      <c r="A119" s="286" t="s">
        <v>87</v>
      </c>
      <c r="B119" s="286"/>
      <c r="C119" s="286" t="s">
        <v>5</v>
      </c>
      <c r="D119" s="289">
        <f>VLOOKUP($K118,'임금대장(파트)'!$A$6:$AG$41,5,0)</f>
        <v>43831</v>
      </c>
      <c r="E119" s="289"/>
      <c r="F119" s="114" t="s">
        <v>88</v>
      </c>
      <c r="G119" s="358">
        <f>VLOOKUP(K118,'임금대장(파트)'!$A$6:$AG$41,15,0)</f>
        <v>31</v>
      </c>
      <c r="H119" s="358"/>
      <c r="I119" s="286" t="s">
        <v>89</v>
      </c>
      <c r="J119" s="290">
        <f>VLOOKUP(K118,'임금대장(파트)'!$A$6:$AG$41,17,0)</f>
        <v>0</v>
      </c>
    </row>
    <row r="120" spans="1:13" ht="20.45" customHeight="1" x14ac:dyDescent="0.6">
      <c r="A120" s="294">
        <f>VLOOKUP($K118,'임금대장(파트)'!$A$6:$AG$41,7,0)</f>
        <v>0</v>
      </c>
      <c r="B120" s="294"/>
      <c r="C120" s="286"/>
      <c r="D120" s="289"/>
      <c r="E120" s="289"/>
      <c r="F120" s="115" t="s">
        <v>90</v>
      </c>
      <c r="G120" s="359">
        <f>VLOOKUP(K118,'임금대장(파트)'!$A$6:$AG$41,16,0)</f>
        <v>0</v>
      </c>
      <c r="H120" s="359"/>
      <c r="I120" s="286"/>
      <c r="J120" s="290"/>
    </row>
    <row r="121" spans="1:13" ht="20.45" customHeight="1" x14ac:dyDescent="0.6">
      <c r="F121" s="250"/>
      <c r="G121" s="250"/>
      <c r="H121" s="32"/>
    </row>
    <row r="122" spans="1:13" ht="20.45" customHeight="1" x14ac:dyDescent="0.6">
      <c r="A122" s="251" t="s">
        <v>91</v>
      </c>
      <c r="B122" s="69" t="s">
        <v>20</v>
      </c>
      <c r="C122" s="25">
        <f>VLOOKUP($K118,'임금대장(파트)'!$A$6:$AG$41,9,0)</f>
        <v>592200</v>
      </c>
      <c r="D122" s="33"/>
      <c r="E122" s="69"/>
      <c r="F122" s="254"/>
      <c r="G122" s="255"/>
      <c r="H122" s="25"/>
      <c r="I122" s="33"/>
      <c r="J122" s="34"/>
    </row>
    <row r="123" spans="1:13" ht="20.45" customHeight="1" x14ac:dyDescent="0.6">
      <c r="A123" s="252"/>
      <c r="B123" s="67" t="s">
        <v>21</v>
      </c>
      <c r="C123" s="35">
        <f>VLOOKUP($K118,'임금대장(파트)'!$A$6:$AG$41,10,0)</f>
        <v>0</v>
      </c>
      <c r="D123" s="36"/>
      <c r="E123" s="67"/>
      <c r="F123" s="256"/>
      <c r="G123" s="257"/>
      <c r="H123" s="35"/>
      <c r="I123" s="36"/>
      <c r="J123" s="37"/>
    </row>
    <row r="124" spans="1:13" ht="20.45" customHeight="1" x14ac:dyDescent="0.6">
      <c r="A124" s="252"/>
      <c r="B124" s="52" t="s">
        <v>92</v>
      </c>
      <c r="C124" s="35">
        <f>VLOOKUP($K118,'임금대장(파트)'!$A$6:$AG$41,11,0)</f>
        <v>0</v>
      </c>
      <c r="D124" s="36"/>
      <c r="E124" s="67"/>
      <c r="F124" s="256"/>
      <c r="G124" s="257"/>
      <c r="H124" s="35"/>
      <c r="I124" s="36"/>
      <c r="J124" s="37"/>
    </row>
    <row r="125" spans="1:13" ht="20.45" customHeight="1" x14ac:dyDescent="0.6">
      <c r="A125" s="252"/>
      <c r="B125" s="67" t="s">
        <v>115</v>
      </c>
      <c r="C125" s="35">
        <f>VLOOKUP($K118,'임금대장(파트)'!$A$6:$AG$41,12,0)</f>
        <v>0</v>
      </c>
      <c r="D125" s="36"/>
      <c r="E125" s="67"/>
      <c r="F125" s="256"/>
      <c r="G125" s="257"/>
      <c r="H125" s="35"/>
      <c r="I125" s="36"/>
      <c r="J125" s="37"/>
      <c r="L125" s="38"/>
      <c r="M125" s="38"/>
    </row>
    <row r="126" spans="1:13" ht="20.45" customHeight="1" x14ac:dyDescent="0.6">
      <c r="A126" s="252"/>
      <c r="B126" s="67" t="s">
        <v>94</v>
      </c>
      <c r="C126" s="35">
        <f>VLOOKUP($K118,'임금대장(파트)'!$A$6:$AG$41,13,0)</f>
        <v>0</v>
      </c>
      <c r="D126" s="36"/>
      <c r="E126" s="36"/>
      <c r="F126" s="258"/>
      <c r="G126" s="259"/>
      <c r="H126" s="35"/>
      <c r="I126" s="36"/>
      <c r="J126" s="37"/>
    </row>
    <row r="127" spans="1:13" ht="20.45" customHeight="1" x14ac:dyDescent="0.6">
      <c r="A127" s="252"/>
      <c r="B127" s="67" t="s">
        <v>24</v>
      </c>
      <c r="C127" s="102">
        <f>VLOOKUP($K118,'임금대장(파트)'!$A$6:$AG$41,14,0)</f>
        <v>0</v>
      </c>
      <c r="D127" s="36"/>
      <c r="E127" s="36"/>
      <c r="F127" s="258"/>
      <c r="G127" s="259"/>
      <c r="H127" s="35"/>
      <c r="I127" s="36"/>
      <c r="J127" s="37"/>
    </row>
    <row r="128" spans="1:13" s="30" customFormat="1" ht="20.45" customHeight="1" x14ac:dyDescent="0.6">
      <c r="A128" s="252"/>
      <c r="B128" s="67"/>
      <c r="C128" s="35"/>
      <c r="D128" s="36"/>
      <c r="E128" s="36"/>
      <c r="F128" s="258"/>
      <c r="G128" s="259"/>
      <c r="H128" s="35"/>
      <c r="I128" s="36"/>
      <c r="J128" s="37"/>
      <c r="L128" s="31"/>
      <c r="M128" s="31"/>
    </row>
    <row r="129" spans="1:13" s="30" customFormat="1" ht="20.45" customHeight="1" x14ac:dyDescent="0.6">
      <c r="A129" s="252"/>
      <c r="B129" s="67"/>
      <c r="C129" s="35"/>
      <c r="D129" s="36"/>
      <c r="E129" s="36"/>
      <c r="F129" s="258"/>
      <c r="G129" s="259"/>
      <c r="H129" s="35"/>
      <c r="I129" s="36"/>
      <c r="J129" s="37"/>
      <c r="L129" s="31"/>
      <c r="M129" s="31"/>
    </row>
    <row r="130" spans="1:13" s="30" customFormat="1" ht="20.45" customHeight="1" x14ac:dyDescent="0.6">
      <c r="A130" s="253"/>
      <c r="B130" s="68"/>
      <c r="C130" s="39"/>
      <c r="D130" s="40"/>
      <c r="E130" s="40"/>
      <c r="F130" s="260"/>
      <c r="G130" s="261"/>
      <c r="H130" s="39"/>
      <c r="I130" s="68" t="s">
        <v>95</v>
      </c>
      <c r="J130" s="41">
        <f>SUM(C122:H128)</f>
        <v>592200</v>
      </c>
      <c r="L130" s="31"/>
      <c r="M130" s="31"/>
    </row>
    <row r="131" spans="1:13" s="30" customFormat="1" ht="20.45" customHeight="1" x14ac:dyDescent="0.6">
      <c r="A131" s="251" t="s">
        <v>96</v>
      </c>
      <c r="B131" s="36" t="s">
        <v>97</v>
      </c>
      <c r="C131" s="35">
        <f>VLOOKUP($K118,'임금대장(파트)'!$A$6:$AG$41,25,0)</f>
        <v>0</v>
      </c>
      <c r="D131" s="33"/>
      <c r="E131" s="42"/>
      <c r="F131" s="262" t="s">
        <v>14</v>
      </c>
      <c r="G131" s="263"/>
      <c r="H131" s="35">
        <f>VLOOKUP($K118,'임금대장(파트)'!$A$6:$AG$41,19,0)</f>
        <v>0</v>
      </c>
      <c r="I131" s="33"/>
      <c r="J131" s="34"/>
      <c r="L131" s="31"/>
      <c r="M131" s="31"/>
    </row>
    <row r="132" spans="1:13" s="30" customFormat="1" ht="20.45" customHeight="1" x14ac:dyDescent="0.6">
      <c r="A132" s="252"/>
      <c r="B132" s="36" t="s">
        <v>98</v>
      </c>
      <c r="C132" s="35">
        <f>VLOOKUP($K118,'임금대장(파트)'!$A$6:$AG$41,26,0)</f>
        <v>0</v>
      </c>
      <c r="D132" s="36"/>
      <c r="E132" s="43"/>
      <c r="F132" s="258" t="s">
        <v>12</v>
      </c>
      <c r="G132" s="259"/>
      <c r="H132" s="35">
        <f>VLOOKUP($K118,'임금대장(파트)'!$A$6:$AG$41,17,0)</f>
        <v>0</v>
      </c>
      <c r="I132" s="36"/>
      <c r="J132" s="37"/>
      <c r="L132" s="31"/>
      <c r="M132" s="31"/>
    </row>
    <row r="133" spans="1:13" s="30" customFormat="1" ht="20.45" customHeight="1" x14ac:dyDescent="0.6">
      <c r="A133" s="252"/>
      <c r="B133" s="36" t="s">
        <v>99</v>
      </c>
      <c r="C133" s="35">
        <f>VLOOKUP($K118,'임금대장(파트)'!$A$6:$AG$41,27,0)</f>
        <v>0</v>
      </c>
      <c r="D133" s="36"/>
      <c r="E133" s="44"/>
      <c r="F133" s="258" t="s">
        <v>171</v>
      </c>
      <c r="G133" s="259"/>
      <c r="H133" s="35">
        <f>VLOOKUP($K118,'임금대장(파트)'!$A$6:$AG$41,31,0)</f>
        <v>380700</v>
      </c>
      <c r="I133" s="36"/>
      <c r="J133" s="37"/>
      <c r="L133" s="31"/>
      <c r="M133" s="31"/>
    </row>
    <row r="134" spans="1:13" s="30" customFormat="1" ht="20.45" customHeight="1" x14ac:dyDescent="0.6">
      <c r="A134" s="252"/>
      <c r="B134" s="36" t="s">
        <v>101</v>
      </c>
      <c r="C134" s="35">
        <f>VLOOKUP($K118,'임금대장(파트)'!$A$6:$AG$41,28,0)</f>
        <v>0</v>
      </c>
      <c r="D134" s="36"/>
      <c r="E134" s="43"/>
      <c r="F134" s="258" t="s">
        <v>102</v>
      </c>
      <c r="G134" s="259"/>
      <c r="H134" s="35">
        <f>VLOOKUP($K118,'임금대장(파트)'!$A$6:$AG$41,30,0)</f>
        <v>4730</v>
      </c>
      <c r="I134" s="36"/>
      <c r="J134" s="37"/>
      <c r="L134" s="31"/>
      <c r="M134" s="31"/>
    </row>
    <row r="135" spans="1:13" s="30" customFormat="1" ht="20.45" customHeight="1" x14ac:dyDescent="0.6">
      <c r="A135" s="252"/>
      <c r="B135" s="36" t="s">
        <v>31</v>
      </c>
      <c r="C135" s="35">
        <f>VLOOKUP($K118,'임금대장(파트)'!$A$6:$AG$41,29,0)</f>
        <v>0</v>
      </c>
      <c r="D135" s="36"/>
      <c r="E135" s="43"/>
      <c r="F135" s="45"/>
      <c r="G135" s="46"/>
      <c r="H135" s="36"/>
      <c r="I135" s="67" t="s">
        <v>103</v>
      </c>
      <c r="J135" s="47">
        <f>SUM(C131:H136)</f>
        <v>385430</v>
      </c>
      <c r="L135" s="31"/>
      <c r="M135" s="31"/>
    </row>
    <row r="136" spans="1:13" s="30" customFormat="1" ht="20.45" customHeight="1" x14ac:dyDescent="0.6">
      <c r="A136" s="253"/>
      <c r="B136" s="40"/>
      <c r="C136" s="101"/>
      <c r="D136" s="40"/>
      <c r="E136" s="48"/>
      <c r="F136" s="260"/>
      <c r="G136" s="261"/>
      <c r="H136" s="40"/>
      <c r="I136" s="68" t="s">
        <v>104</v>
      </c>
      <c r="J136" s="49">
        <f>J130-J135</f>
        <v>206770</v>
      </c>
      <c r="L136" s="31"/>
      <c r="M136" s="31"/>
    </row>
    <row r="137" spans="1:13" s="30" customFormat="1" ht="20.45" customHeight="1" x14ac:dyDescent="0.6">
      <c r="A137" s="50" t="s">
        <v>105</v>
      </c>
      <c r="B137" s="31"/>
      <c r="C137" s="31"/>
      <c r="D137" s="31"/>
      <c r="E137" s="31"/>
      <c r="F137" s="31"/>
      <c r="G137" s="31"/>
      <c r="H137" s="31"/>
      <c r="I137" s="31"/>
      <c r="J137" s="51" t="s">
        <v>0</v>
      </c>
      <c r="L137" s="31"/>
      <c r="M137" s="31"/>
    </row>
    <row r="138" spans="1:13" s="30" customFormat="1" ht="20.45" customHeight="1" x14ac:dyDescent="0.6">
      <c r="A138" s="50"/>
      <c r="B138" s="31"/>
      <c r="C138" s="31"/>
      <c r="D138" s="31"/>
      <c r="E138" s="31"/>
      <c r="F138" s="31"/>
      <c r="G138" s="31"/>
      <c r="H138" s="31"/>
      <c r="I138" s="31"/>
      <c r="J138" s="51"/>
      <c r="L138" s="31"/>
      <c r="M138" s="31"/>
    </row>
    <row r="139" spans="1:13" ht="20.45" customHeight="1" x14ac:dyDescent="0.6">
      <c r="A139" s="264" t="s">
        <v>170</v>
      </c>
      <c r="B139" s="264"/>
      <c r="C139" s="264"/>
      <c r="D139" s="264"/>
      <c r="E139" s="264"/>
      <c r="F139" s="264"/>
      <c r="G139" s="264"/>
      <c r="H139" s="264"/>
      <c r="I139" s="264"/>
      <c r="J139" s="264"/>
    </row>
    <row r="140" spans="1:13" ht="20.45" customHeight="1" x14ac:dyDescent="0.6">
      <c r="A140" s="286" t="s">
        <v>83</v>
      </c>
      <c r="B140" s="286"/>
      <c r="C140" s="286"/>
      <c r="D140" s="286" t="s">
        <v>84</v>
      </c>
      <c r="E140" s="286"/>
      <c r="F140" s="286" t="s">
        <v>85</v>
      </c>
      <c r="G140" s="286"/>
      <c r="H140" s="286"/>
      <c r="I140" s="286" t="s">
        <v>86</v>
      </c>
      <c r="J140" s="286"/>
    </row>
    <row r="141" spans="1:13" ht="20.45" customHeight="1" x14ac:dyDescent="0.6">
      <c r="A141" s="286" t="str">
        <f>VLOOKUP(K141,'임금대장(파트)'!$A$6:$AG$41,3,0)</f>
        <v>파트타임</v>
      </c>
      <c r="B141" s="286"/>
      <c r="C141" s="286"/>
      <c r="D141" s="287" t="str">
        <f>VLOOKUP(K141,'임금대장(파트)'!$A$6:$AG$41,2,0)</f>
        <v>손다은</v>
      </c>
      <c r="E141" s="287"/>
      <c r="F141" s="287">
        <f>'임금대장(파트)'!$O$3</f>
        <v>31</v>
      </c>
      <c r="G141" s="286"/>
      <c r="H141" s="286"/>
      <c r="I141" s="288">
        <f>VLOOKUP(K141,'임금대장(파트)'!$A$6:$AG$41,16,0)</f>
        <v>0</v>
      </c>
      <c r="J141" s="288"/>
      <c r="K141" s="30">
        <v>7</v>
      </c>
    </row>
    <row r="142" spans="1:13" ht="20.45" customHeight="1" x14ac:dyDescent="0.6">
      <c r="A142" s="286" t="s">
        <v>87</v>
      </c>
      <c r="B142" s="286"/>
      <c r="C142" s="286" t="s">
        <v>5</v>
      </c>
      <c r="D142" s="289">
        <f>VLOOKUP($K141,'임금대장(파트)'!$A$6:$AG$41,5,0)</f>
        <v>43831</v>
      </c>
      <c r="E142" s="289"/>
      <c r="F142" s="114" t="s">
        <v>88</v>
      </c>
      <c r="G142" s="358">
        <f>VLOOKUP(K141,'임금대장(파트)'!$A$6:$AG$41,15,0)</f>
        <v>31</v>
      </c>
      <c r="H142" s="358"/>
      <c r="I142" s="286" t="s">
        <v>89</v>
      </c>
      <c r="J142" s="290">
        <f>VLOOKUP(K141,'임금대장(파트)'!$A$6:$AG$41,17,0)</f>
        <v>0</v>
      </c>
    </row>
    <row r="143" spans="1:13" ht="20.45" customHeight="1" x14ac:dyDescent="0.6">
      <c r="A143" s="294">
        <f>VLOOKUP($K141,'임금대장(파트)'!$A$6:$AG$41,7,0)</f>
        <v>0</v>
      </c>
      <c r="B143" s="294"/>
      <c r="C143" s="286"/>
      <c r="D143" s="289"/>
      <c r="E143" s="289"/>
      <c r="F143" s="115" t="s">
        <v>90</v>
      </c>
      <c r="G143" s="359">
        <f>VLOOKUP(K141,'임금대장(파트)'!$A$6:$AG$41,16,0)</f>
        <v>0</v>
      </c>
      <c r="H143" s="359"/>
      <c r="I143" s="286"/>
      <c r="J143" s="290"/>
    </row>
    <row r="144" spans="1:13" ht="20.45" customHeight="1" x14ac:dyDescent="0.6">
      <c r="F144" s="250"/>
      <c r="G144" s="250"/>
      <c r="H144" s="32"/>
    </row>
    <row r="145" spans="1:13" ht="20.45" customHeight="1" x14ac:dyDescent="0.6">
      <c r="A145" s="251" t="s">
        <v>91</v>
      </c>
      <c r="B145" s="69" t="s">
        <v>20</v>
      </c>
      <c r="C145" s="25">
        <f>VLOOKUP($K141,'임금대장(파트)'!$A$6:$AG$41,9,0)</f>
        <v>606300</v>
      </c>
      <c r="D145" s="33"/>
      <c r="E145" s="69"/>
      <c r="F145" s="254"/>
      <c r="G145" s="255"/>
      <c r="H145" s="25"/>
      <c r="I145" s="33"/>
      <c r="J145" s="34"/>
    </row>
    <row r="146" spans="1:13" ht="20.45" customHeight="1" x14ac:dyDescent="0.6">
      <c r="A146" s="252"/>
      <c r="B146" s="67" t="s">
        <v>21</v>
      </c>
      <c r="C146" s="35">
        <f>VLOOKUP($K141,'임금대장(파트)'!$A$6:$AG$41,10,0)</f>
        <v>0</v>
      </c>
      <c r="D146" s="36"/>
      <c r="E146" s="67"/>
      <c r="F146" s="256"/>
      <c r="G146" s="257"/>
      <c r="H146" s="35"/>
      <c r="I146" s="36"/>
      <c r="J146" s="37"/>
    </row>
    <row r="147" spans="1:13" ht="20.45" customHeight="1" x14ac:dyDescent="0.6">
      <c r="A147" s="252"/>
      <c r="B147" s="52" t="s">
        <v>92</v>
      </c>
      <c r="C147" s="35">
        <f>VLOOKUP($K141,'임금대장(파트)'!$A$6:$AG$41,11,0)</f>
        <v>0</v>
      </c>
      <c r="D147" s="36"/>
      <c r="E147" s="67"/>
      <c r="F147" s="256"/>
      <c r="G147" s="257"/>
      <c r="H147" s="35"/>
      <c r="I147" s="36"/>
      <c r="J147" s="37"/>
      <c r="L147" s="38"/>
      <c r="M147" s="38"/>
    </row>
    <row r="148" spans="1:13" ht="20.45" customHeight="1" x14ac:dyDescent="0.6">
      <c r="A148" s="252"/>
      <c r="B148" s="67" t="s">
        <v>115</v>
      </c>
      <c r="C148" s="35">
        <f>VLOOKUP($K141,'임금대장(파트)'!$A$6:$AG$41,12,0)</f>
        <v>0</v>
      </c>
      <c r="D148" s="36"/>
      <c r="E148" s="67"/>
      <c r="F148" s="256"/>
      <c r="G148" s="257"/>
      <c r="H148" s="35"/>
      <c r="I148" s="36"/>
      <c r="J148" s="37"/>
    </row>
    <row r="149" spans="1:13" ht="20.45" customHeight="1" x14ac:dyDescent="0.6">
      <c r="A149" s="252"/>
      <c r="B149" s="67" t="s">
        <v>94</v>
      </c>
      <c r="C149" s="35">
        <f>VLOOKUP($K141,'임금대장(파트)'!$A$6:$AG$41,13,0)</f>
        <v>0</v>
      </c>
      <c r="D149" s="36"/>
      <c r="E149" s="36"/>
      <c r="F149" s="258"/>
      <c r="G149" s="259"/>
      <c r="H149" s="35"/>
      <c r="I149" s="36"/>
      <c r="J149" s="37"/>
    </row>
    <row r="150" spans="1:13" ht="20.45" customHeight="1" x14ac:dyDescent="0.6">
      <c r="A150" s="252"/>
      <c r="B150" s="67" t="s">
        <v>24</v>
      </c>
      <c r="C150" s="102">
        <f>VLOOKUP($K141,'임금대장(파트)'!$A$6:$AG$41,14,0)</f>
        <v>0</v>
      </c>
      <c r="D150" s="36"/>
      <c r="E150" s="36"/>
      <c r="F150" s="258"/>
      <c r="G150" s="259"/>
      <c r="H150" s="35"/>
      <c r="I150" s="36"/>
      <c r="J150" s="37"/>
    </row>
    <row r="151" spans="1:13" ht="20.45" customHeight="1" x14ac:dyDescent="0.6">
      <c r="A151" s="252"/>
      <c r="B151" s="67"/>
      <c r="C151" s="35"/>
      <c r="D151" s="36"/>
      <c r="E151" s="36"/>
      <c r="F151" s="258"/>
      <c r="G151" s="259"/>
      <c r="H151" s="35"/>
      <c r="I151" s="36"/>
      <c r="J151" s="37"/>
    </row>
    <row r="152" spans="1:13" ht="20.45" customHeight="1" x14ac:dyDescent="0.6">
      <c r="A152" s="252"/>
      <c r="B152" s="67"/>
      <c r="C152" s="35"/>
      <c r="D152" s="36"/>
      <c r="E152" s="36"/>
      <c r="F152" s="258"/>
      <c r="G152" s="259"/>
      <c r="H152" s="35"/>
      <c r="I152" s="36"/>
      <c r="J152" s="37"/>
    </row>
    <row r="153" spans="1:13" ht="20.45" customHeight="1" x14ac:dyDescent="0.6">
      <c r="A153" s="253"/>
      <c r="B153" s="68"/>
      <c r="C153" s="39"/>
      <c r="D153" s="40"/>
      <c r="E153" s="40"/>
      <c r="F153" s="260"/>
      <c r="G153" s="261"/>
      <c r="H153" s="39"/>
      <c r="I153" s="68" t="s">
        <v>95</v>
      </c>
      <c r="J153" s="41">
        <f>SUM(C145:H151)</f>
        <v>606300</v>
      </c>
    </row>
    <row r="154" spans="1:13" ht="20.45" customHeight="1" x14ac:dyDescent="0.6">
      <c r="A154" s="251" t="s">
        <v>96</v>
      </c>
      <c r="B154" s="36" t="s">
        <v>97</v>
      </c>
      <c r="C154" s="35">
        <f>VLOOKUP($K141,'임금대장(파트)'!$A$6:$AG$41,25,0)</f>
        <v>0</v>
      </c>
      <c r="D154" s="33"/>
      <c r="E154" s="42"/>
      <c r="F154" s="262" t="s">
        <v>14</v>
      </c>
      <c r="G154" s="263"/>
      <c r="H154" s="35">
        <f>VLOOKUP($K141,'임금대장(파트)'!$A$6:$AG$41,19,0)</f>
        <v>0</v>
      </c>
      <c r="I154" s="33"/>
      <c r="J154" s="34"/>
    </row>
    <row r="155" spans="1:13" ht="20.45" customHeight="1" x14ac:dyDescent="0.6">
      <c r="A155" s="252"/>
      <c r="B155" s="36" t="s">
        <v>98</v>
      </c>
      <c r="C155" s="35">
        <f>VLOOKUP($K141,'임금대장(파트)'!$A$6:$AG$41,26,0)</f>
        <v>0</v>
      </c>
      <c r="D155" s="36"/>
      <c r="E155" s="43"/>
      <c r="F155" s="258" t="s">
        <v>12</v>
      </c>
      <c r="G155" s="259"/>
      <c r="H155" s="35">
        <f>VLOOKUP($K141,'임금대장(파트)'!$A$6:$AG$41,17,0)</f>
        <v>0</v>
      </c>
      <c r="I155" s="36"/>
      <c r="J155" s="37"/>
    </row>
    <row r="156" spans="1:13" ht="20.45" customHeight="1" x14ac:dyDescent="0.6">
      <c r="A156" s="252"/>
      <c r="B156" s="36" t="s">
        <v>99</v>
      </c>
      <c r="C156" s="35">
        <f>VLOOKUP($K141,'임금대장(파트)'!$A$6:$AG$41,27,0)</f>
        <v>0</v>
      </c>
      <c r="D156" s="36"/>
      <c r="E156" s="44"/>
      <c r="F156" s="258" t="s">
        <v>171</v>
      </c>
      <c r="G156" s="259"/>
      <c r="H156" s="35">
        <f>VLOOKUP($K141,'임금대장(파트)'!$A$6:$AG$41,31,0)</f>
        <v>418300</v>
      </c>
      <c r="I156" s="36"/>
      <c r="J156" s="37"/>
    </row>
    <row r="157" spans="1:13" ht="20.45" customHeight="1" x14ac:dyDescent="0.6">
      <c r="A157" s="252"/>
      <c r="B157" s="36" t="s">
        <v>101</v>
      </c>
      <c r="C157" s="35">
        <f>VLOOKUP($K141,'임금대장(파트)'!$A$6:$AG$41,28,0)</f>
        <v>0</v>
      </c>
      <c r="D157" s="36"/>
      <c r="E157" s="43"/>
      <c r="F157" s="258" t="s">
        <v>102</v>
      </c>
      <c r="G157" s="259"/>
      <c r="H157" s="35">
        <f>VLOOKUP($K141,'임금대장(파트)'!$A$6:$AG$41,30,0)</f>
        <v>4850</v>
      </c>
      <c r="I157" s="36"/>
      <c r="J157" s="37"/>
    </row>
    <row r="158" spans="1:13" ht="20.45" customHeight="1" x14ac:dyDescent="0.6">
      <c r="A158" s="252"/>
      <c r="B158" s="36" t="s">
        <v>31</v>
      </c>
      <c r="C158" s="35">
        <f>VLOOKUP($K141,'임금대장(파트)'!$A$6:$AG$41,29,0)</f>
        <v>0</v>
      </c>
      <c r="D158" s="36"/>
      <c r="E158" s="43"/>
      <c r="F158" s="45"/>
      <c r="G158" s="46"/>
      <c r="H158" s="36"/>
      <c r="I158" s="67" t="s">
        <v>103</v>
      </c>
      <c r="J158" s="47">
        <f>SUM(C154:H159)</f>
        <v>423150</v>
      </c>
    </row>
    <row r="159" spans="1:13" ht="20.45" customHeight="1" x14ac:dyDescent="0.6">
      <c r="A159" s="253"/>
      <c r="B159" s="40"/>
      <c r="C159" s="101"/>
      <c r="D159" s="40"/>
      <c r="E159" s="48"/>
      <c r="F159" s="260"/>
      <c r="G159" s="261"/>
      <c r="H159" s="40"/>
      <c r="I159" s="68" t="s">
        <v>104</v>
      </c>
      <c r="J159" s="49">
        <f>J153-J158</f>
        <v>183150</v>
      </c>
    </row>
    <row r="160" spans="1:13" ht="20.45" customHeight="1" x14ac:dyDescent="0.6">
      <c r="A160" s="50" t="s">
        <v>105</v>
      </c>
      <c r="J160" s="51" t="s">
        <v>0</v>
      </c>
    </row>
    <row r="161" spans="1:13" ht="20.45" customHeight="1" x14ac:dyDescent="0.6">
      <c r="A161" s="50"/>
      <c r="J161" s="51"/>
    </row>
    <row r="162" spans="1:13" ht="20.45" customHeight="1" x14ac:dyDescent="0.6">
      <c r="A162" s="264" t="s">
        <v>170</v>
      </c>
      <c r="B162" s="264"/>
      <c r="C162" s="264"/>
      <c r="D162" s="264"/>
      <c r="E162" s="264"/>
      <c r="F162" s="264"/>
      <c r="G162" s="264"/>
      <c r="H162" s="264"/>
      <c r="I162" s="264"/>
      <c r="J162" s="264"/>
    </row>
    <row r="163" spans="1:13" ht="20.45" customHeight="1" x14ac:dyDescent="0.6">
      <c r="A163" s="286" t="s">
        <v>83</v>
      </c>
      <c r="B163" s="286"/>
      <c r="C163" s="286"/>
      <c r="D163" s="286" t="s">
        <v>84</v>
      </c>
      <c r="E163" s="286"/>
      <c r="F163" s="286" t="s">
        <v>85</v>
      </c>
      <c r="G163" s="286"/>
      <c r="H163" s="286"/>
      <c r="I163" s="286" t="s">
        <v>86</v>
      </c>
      <c r="J163" s="286"/>
    </row>
    <row r="164" spans="1:13" ht="20.45" customHeight="1" x14ac:dyDescent="0.6">
      <c r="A164" s="286" t="str">
        <f>VLOOKUP(K164,'임금대장(파트)'!$A$6:$AG$41,3,0)</f>
        <v>파트타임</v>
      </c>
      <c r="B164" s="286"/>
      <c r="C164" s="286"/>
      <c r="D164" s="287" t="str">
        <f>VLOOKUP(K164,'임금대장(파트)'!$A$6:$AG$41,2,0)</f>
        <v>양기환</v>
      </c>
      <c r="E164" s="287"/>
      <c r="F164" s="287">
        <f>'임금대장(파트)'!$O$3</f>
        <v>31</v>
      </c>
      <c r="G164" s="286"/>
      <c r="H164" s="286"/>
      <c r="I164" s="288">
        <f>VLOOKUP(K164,'임금대장(파트)'!$A$6:$AG$41,16,0)</f>
        <v>0</v>
      </c>
      <c r="J164" s="288"/>
      <c r="K164" s="30">
        <v>8</v>
      </c>
    </row>
    <row r="165" spans="1:13" ht="20.45" customHeight="1" x14ac:dyDescent="0.6">
      <c r="A165" s="286" t="s">
        <v>87</v>
      </c>
      <c r="B165" s="286"/>
      <c r="C165" s="286" t="s">
        <v>5</v>
      </c>
      <c r="D165" s="289">
        <f>VLOOKUP($K164,'임금대장(파트)'!$A$6:$AG$41,5,0)</f>
        <v>43831</v>
      </c>
      <c r="E165" s="289"/>
      <c r="F165" s="114" t="s">
        <v>88</v>
      </c>
      <c r="G165" s="358">
        <f>VLOOKUP(K164,'임금대장(파트)'!$A$6:$AG$41,15,0)</f>
        <v>31</v>
      </c>
      <c r="H165" s="358"/>
      <c r="I165" s="286" t="s">
        <v>89</v>
      </c>
      <c r="J165" s="290">
        <f>VLOOKUP(K164,'임금대장(파트)'!$A$6:$AG$41,17,0)</f>
        <v>0</v>
      </c>
    </row>
    <row r="166" spans="1:13" ht="20.45" customHeight="1" x14ac:dyDescent="0.6">
      <c r="A166" s="294">
        <f>VLOOKUP($K164,'임금대장(파트)'!$A$6:$AG$41,7,0)</f>
        <v>0</v>
      </c>
      <c r="B166" s="294"/>
      <c r="C166" s="286"/>
      <c r="D166" s="289"/>
      <c r="E166" s="289"/>
      <c r="F166" s="115" t="s">
        <v>90</v>
      </c>
      <c r="G166" s="359">
        <f>VLOOKUP(K164,'임금대장(파트)'!$A$6:$AG$41,16,0)</f>
        <v>0</v>
      </c>
      <c r="H166" s="359"/>
      <c r="I166" s="286"/>
      <c r="J166" s="290"/>
    </row>
    <row r="167" spans="1:13" ht="20.45" customHeight="1" x14ac:dyDescent="0.6">
      <c r="F167" s="250"/>
      <c r="G167" s="250"/>
      <c r="H167" s="32"/>
    </row>
    <row r="168" spans="1:13" ht="20.45" customHeight="1" x14ac:dyDescent="0.6">
      <c r="A168" s="251" t="s">
        <v>91</v>
      </c>
      <c r="B168" s="69" t="s">
        <v>20</v>
      </c>
      <c r="C168" s="25">
        <f>VLOOKUP($K164,'임금대장(파트)'!$A$6:$AG$41,9,0)</f>
        <v>455900</v>
      </c>
      <c r="D168" s="33"/>
      <c r="E168" s="69"/>
      <c r="F168" s="254"/>
      <c r="G168" s="255"/>
      <c r="H168" s="25"/>
      <c r="I168" s="33"/>
      <c r="J168" s="34"/>
    </row>
    <row r="169" spans="1:13" ht="20.45" customHeight="1" x14ac:dyDescent="0.6">
      <c r="A169" s="252"/>
      <c r="B169" s="67" t="s">
        <v>21</v>
      </c>
      <c r="C169" s="35">
        <f>VLOOKUP($K164,'임금대장(파트)'!$A$6:$AG$41,10,0)</f>
        <v>0</v>
      </c>
      <c r="D169" s="36"/>
      <c r="E169" s="67"/>
      <c r="F169" s="256"/>
      <c r="G169" s="257"/>
      <c r="H169" s="35"/>
      <c r="I169" s="36"/>
      <c r="J169" s="37"/>
    </row>
    <row r="170" spans="1:13" ht="20.45" customHeight="1" x14ac:dyDescent="0.6">
      <c r="A170" s="252"/>
      <c r="B170" s="52" t="s">
        <v>92</v>
      </c>
      <c r="C170" s="35">
        <f>VLOOKUP($K164,'임금대장(파트)'!$A$6:$AG$41,11,0)</f>
        <v>0</v>
      </c>
      <c r="D170" s="36"/>
      <c r="E170" s="67"/>
      <c r="F170" s="256"/>
      <c r="G170" s="257"/>
      <c r="H170" s="35"/>
      <c r="I170" s="36"/>
      <c r="J170" s="37"/>
      <c r="L170" s="38"/>
      <c r="M170" s="38"/>
    </row>
    <row r="171" spans="1:13" ht="20.45" customHeight="1" x14ac:dyDescent="0.6">
      <c r="A171" s="252"/>
      <c r="B171" s="67" t="s">
        <v>115</v>
      </c>
      <c r="C171" s="35">
        <f>VLOOKUP($K164,'임금대장(파트)'!$A$6:$AG$41,12,0)</f>
        <v>0</v>
      </c>
      <c r="D171" s="36"/>
      <c r="E171" s="67"/>
      <c r="F171" s="256"/>
      <c r="G171" s="257"/>
      <c r="H171" s="35"/>
      <c r="I171" s="36"/>
      <c r="J171" s="37"/>
    </row>
    <row r="172" spans="1:13" ht="20.45" customHeight="1" x14ac:dyDescent="0.6">
      <c r="A172" s="252"/>
      <c r="B172" s="67" t="s">
        <v>94</v>
      </c>
      <c r="C172" s="35">
        <f>VLOOKUP($K164,'임금대장(파트)'!$A$6:$AG$41,13,0)</f>
        <v>0</v>
      </c>
      <c r="D172" s="36"/>
      <c r="E172" s="36"/>
      <c r="F172" s="258"/>
      <c r="G172" s="259"/>
      <c r="H172" s="35"/>
      <c r="I172" s="36"/>
      <c r="J172" s="37"/>
    </row>
    <row r="173" spans="1:13" ht="20.45" customHeight="1" x14ac:dyDescent="0.6">
      <c r="A173" s="252"/>
      <c r="B173" s="67" t="s">
        <v>24</v>
      </c>
      <c r="C173" s="102">
        <f>VLOOKUP($K164,'임금대장(파트)'!$A$6:$AG$41,14,0)</f>
        <v>0</v>
      </c>
      <c r="D173" s="36"/>
      <c r="E173" s="36"/>
      <c r="F173" s="258"/>
      <c r="G173" s="259"/>
      <c r="H173" s="35"/>
      <c r="I173" s="36"/>
      <c r="J173" s="37"/>
    </row>
    <row r="174" spans="1:13" ht="20.45" customHeight="1" x14ac:dyDescent="0.6">
      <c r="A174" s="252"/>
      <c r="B174" s="67"/>
      <c r="C174" s="35"/>
      <c r="D174" s="36"/>
      <c r="E174" s="36"/>
      <c r="F174" s="258"/>
      <c r="G174" s="259"/>
      <c r="H174" s="35"/>
      <c r="I174" s="36"/>
      <c r="J174" s="37"/>
    </row>
    <row r="175" spans="1:13" ht="20.45" customHeight="1" x14ac:dyDescent="0.6">
      <c r="A175" s="252"/>
      <c r="B175" s="67"/>
      <c r="C175" s="35"/>
      <c r="D175" s="36"/>
      <c r="E175" s="36"/>
      <c r="F175" s="258"/>
      <c r="G175" s="259"/>
      <c r="H175" s="35"/>
      <c r="I175" s="36"/>
      <c r="J175" s="37"/>
    </row>
    <row r="176" spans="1:13" ht="20.45" customHeight="1" x14ac:dyDescent="0.6">
      <c r="A176" s="253"/>
      <c r="B176" s="68"/>
      <c r="C176" s="39"/>
      <c r="D176" s="40"/>
      <c r="E176" s="40"/>
      <c r="F176" s="260"/>
      <c r="G176" s="261"/>
      <c r="H176" s="39"/>
      <c r="I176" s="68" t="s">
        <v>95</v>
      </c>
      <c r="J176" s="41">
        <f>SUM(C168:H174)</f>
        <v>455900</v>
      </c>
    </row>
    <row r="177" spans="1:11" ht="20.45" customHeight="1" x14ac:dyDescent="0.6">
      <c r="A177" s="251" t="s">
        <v>96</v>
      </c>
      <c r="B177" s="36" t="s">
        <v>97</v>
      </c>
      <c r="C177" s="35">
        <f>VLOOKUP($K164,'임금대장(파트)'!$A$6:$AG$41,25,0)</f>
        <v>0</v>
      </c>
      <c r="D177" s="33"/>
      <c r="E177" s="42"/>
      <c r="F177" s="262" t="s">
        <v>14</v>
      </c>
      <c r="G177" s="263"/>
      <c r="H177" s="35">
        <f>VLOOKUP($K164,'임금대장(파트)'!$A$6:$AG$41,19,0)</f>
        <v>0</v>
      </c>
      <c r="I177" s="33"/>
      <c r="J177" s="34"/>
    </row>
    <row r="178" spans="1:11" ht="20.45" customHeight="1" x14ac:dyDescent="0.6">
      <c r="A178" s="252"/>
      <c r="B178" s="36" t="s">
        <v>98</v>
      </c>
      <c r="C178" s="35">
        <f>VLOOKUP($K164,'임금대장(파트)'!$A$6:$AG$41,26,0)</f>
        <v>0</v>
      </c>
      <c r="D178" s="36"/>
      <c r="E178" s="43"/>
      <c r="F178" s="258" t="s">
        <v>12</v>
      </c>
      <c r="G178" s="259"/>
      <c r="H178" s="35">
        <f>VLOOKUP($K164,'임금대장(파트)'!$A$6:$AG$41,17,0)</f>
        <v>0</v>
      </c>
      <c r="I178" s="36"/>
      <c r="J178" s="37"/>
    </row>
    <row r="179" spans="1:11" ht="20.45" customHeight="1" x14ac:dyDescent="0.6">
      <c r="A179" s="252"/>
      <c r="B179" s="36" t="s">
        <v>99</v>
      </c>
      <c r="C179" s="35">
        <f>VLOOKUP($K164,'임금대장(파트)'!$A$6:$AG$41,27,0)</f>
        <v>0</v>
      </c>
      <c r="D179" s="36"/>
      <c r="E179" s="44"/>
      <c r="F179" s="258" t="s">
        <v>171</v>
      </c>
      <c r="G179" s="259"/>
      <c r="H179" s="35">
        <f>VLOOKUP($K164,'임금대장(파트)'!$A$6:$AG$41,31,0)</f>
        <v>455900</v>
      </c>
      <c r="I179" s="36"/>
      <c r="J179" s="37"/>
    </row>
    <row r="180" spans="1:11" ht="20.45" customHeight="1" x14ac:dyDescent="0.6">
      <c r="A180" s="252"/>
      <c r="B180" s="36" t="s">
        <v>101</v>
      </c>
      <c r="C180" s="35">
        <f>VLOOKUP($K164,'임금대장(파트)'!$A$6:$AG$41,28,0)</f>
        <v>0</v>
      </c>
      <c r="D180" s="36"/>
      <c r="E180" s="43"/>
      <c r="F180" s="258" t="s">
        <v>102</v>
      </c>
      <c r="G180" s="259"/>
      <c r="H180" s="35">
        <f>VLOOKUP($K164,'임금대장(파트)'!$A$6:$AG$41,30,0)</f>
        <v>3640</v>
      </c>
      <c r="I180" s="36"/>
      <c r="J180" s="37"/>
    </row>
    <row r="181" spans="1:11" ht="20.45" customHeight="1" x14ac:dyDescent="0.6">
      <c r="A181" s="252"/>
      <c r="B181" s="36" t="s">
        <v>31</v>
      </c>
      <c r="C181" s="35">
        <f>VLOOKUP($K164,'임금대장(파트)'!$A$6:$AG$41,29,0)</f>
        <v>0</v>
      </c>
      <c r="D181" s="36"/>
      <c r="E181" s="43"/>
      <c r="F181" s="45"/>
      <c r="G181" s="46"/>
      <c r="H181" s="36"/>
      <c r="I181" s="67" t="s">
        <v>103</v>
      </c>
      <c r="J181" s="47">
        <f>SUM(C177:H182)</f>
        <v>459540</v>
      </c>
    </row>
    <row r="182" spans="1:11" ht="20.45" customHeight="1" x14ac:dyDescent="0.6">
      <c r="A182" s="253"/>
      <c r="B182" s="40"/>
      <c r="C182" s="101"/>
      <c r="D182" s="40"/>
      <c r="E182" s="48"/>
      <c r="F182" s="260"/>
      <c r="G182" s="261"/>
      <c r="H182" s="40"/>
      <c r="I182" s="68" t="s">
        <v>104</v>
      </c>
      <c r="J182" s="49">
        <f>J176-J181</f>
        <v>-3640</v>
      </c>
    </row>
    <row r="183" spans="1:11" ht="20.45" customHeight="1" x14ac:dyDescent="0.6">
      <c r="A183" s="50" t="s">
        <v>105</v>
      </c>
      <c r="J183" s="51" t="s">
        <v>0</v>
      </c>
    </row>
    <row r="184" spans="1:11" ht="20.45" customHeight="1" x14ac:dyDescent="0.6">
      <c r="A184" s="50"/>
      <c r="J184" s="51"/>
    </row>
    <row r="185" spans="1:11" ht="20.45" customHeight="1" x14ac:dyDescent="0.6">
      <c r="A185" s="264" t="s">
        <v>170</v>
      </c>
      <c r="B185" s="264"/>
      <c r="C185" s="264"/>
      <c r="D185" s="264"/>
      <c r="E185" s="264"/>
      <c r="F185" s="264"/>
      <c r="G185" s="264"/>
      <c r="H185" s="264"/>
      <c r="I185" s="264"/>
      <c r="J185" s="264"/>
    </row>
    <row r="186" spans="1:11" ht="20.45" customHeight="1" x14ac:dyDescent="0.6">
      <c r="A186" s="286" t="s">
        <v>83</v>
      </c>
      <c r="B186" s="286"/>
      <c r="C186" s="286"/>
      <c r="D186" s="286" t="s">
        <v>84</v>
      </c>
      <c r="E186" s="286"/>
      <c r="F186" s="286" t="s">
        <v>85</v>
      </c>
      <c r="G186" s="286"/>
      <c r="H186" s="286"/>
      <c r="I186" s="286" t="s">
        <v>86</v>
      </c>
      <c r="J186" s="286"/>
    </row>
    <row r="187" spans="1:11" ht="20.45" customHeight="1" x14ac:dyDescent="0.6">
      <c r="A187" s="286" t="str">
        <f>VLOOKUP(K187,'임금대장(파트)'!$A$6:$AG$41,3,0)</f>
        <v>파트타임</v>
      </c>
      <c r="B187" s="286"/>
      <c r="C187" s="286"/>
      <c r="D187" s="287" t="str">
        <f>VLOOKUP(K187,'임금대장(파트)'!$A$6:$AG$41,2,0)</f>
        <v>오유민</v>
      </c>
      <c r="E187" s="287"/>
      <c r="F187" s="287">
        <f>'임금대장(파트)'!$O$3</f>
        <v>31</v>
      </c>
      <c r="G187" s="286"/>
      <c r="H187" s="286"/>
      <c r="I187" s="288">
        <f>VLOOKUP(K187,'임금대장(파트)'!$A$6:$AG$41,16,0)</f>
        <v>0</v>
      </c>
      <c r="J187" s="288"/>
      <c r="K187" s="30">
        <v>9</v>
      </c>
    </row>
    <row r="188" spans="1:11" ht="20.45" customHeight="1" x14ac:dyDescent="0.6">
      <c r="A188" s="286" t="s">
        <v>87</v>
      </c>
      <c r="B188" s="286"/>
      <c r="C188" s="286" t="s">
        <v>5</v>
      </c>
      <c r="D188" s="289">
        <f>VLOOKUP($K187,'임금대장(파트)'!$A$6:$AG$41,5,0)</f>
        <v>43831</v>
      </c>
      <c r="E188" s="289"/>
      <c r="F188" s="114" t="s">
        <v>88</v>
      </c>
      <c r="G188" s="358">
        <f>VLOOKUP(K187,'임금대장(파트)'!$A$6:$AG$41,15,0)</f>
        <v>31</v>
      </c>
      <c r="H188" s="358"/>
      <c r="I188" s="286" t="s">
        <v>89</v>
      </c>
      <c r="J188" s="290">
        <f>VLOOKUP(K187,'임금대장(파트)'!$A$6:$AG$41,17,0)</f>
        <v>0</v>
      </c>
    </row>
    <row r="189" spans="1:11" ht="20.45" customHeight="1" x14ac:dyDescent="0.6">
      <c r="A189" s="294">
        <f>VLOOKUP($K187,'임금대장(파트)'!$A$6:$AG$41,7,0)</f>
        <v>0</v>
      </c>
      <c r="B189" s="294"/>
      <c r="C189" s="286"/>
      <c r="D189" s="289"/>
      <c r="E189" s="289"/>
      <c r="F189" s="115" t="s">
        <v>90</v>
      </c>
      <c r="G189" s="359">
        <f>VLOOKUP(K187,'임금대장(파트)'!$A$6:$AG$41,16,0)</f>
        <v>0</v>
      </c>
      <c r="H189" s="359"/>
      <c r="I189" s="286"/>
      <c r="J189" s="290"/>
    </row>
    <row r="190" spans="1:11" ht="20.45" customHeight="1" x14ac:dyDescent="0.6">
      <c r="F190" s="250"/>
      <c r="G190" s="250"/>
      <c r="H190" s="32"/>
    </row>
    <row r="191" spans="1:11" ht="20.45" customHeight="1" x14ac:dyDescent="0.6">
      <c r="A191" s="251" t="s">
        <v>91</v>
      </c>
      <c r="B191" s="69" t="s">
        <v>20</v>
      </c>
      <c r="C191" s="25">
        <f>VLOOKUP($K187,'임금대장(파트)'!$A$6:$AG$41,9,0)</f>
        <v>733200</v>
      </c>
      <c r="D191" s="33"/>
      <c r="E191" s="69"/>
      <c r="F191" s="254"/>
      <c r="G191" s="255"/>
      <c r="H191" s="25"/>
      <c r="I191" s="33"/>
      <c r="J191" s="34"/>
    </row>
    <row r="192" spans="1:11" ht="20.45" customHeight="1" x14ac:dyDescent="0.6">
      <c r="A192" s="252"/>
      <c r="B192" s="67" t="s">
        <v>21</v>
      </c>
      <c r="C192" s="35">
        <f>VLOOKUP($K187,'임금대장(파트)'!$A$6:$AG$41,10,0)</f>
        <v>0</v>
      </c>
      <c r="D192" s="36"/>
      <c r="E192" s="67"/>
      <c r="F192" s="256"/>
      <c r="G192" s="257"/>
      <c r="H192" s="35"/>
      <c r="I192" s="36"/>
      <c r="J192" s="37"/>
    </row>
    <row r="193" spans="1:13" ht="20.45" customHeight="1" x14ac:dyDescent="0.6">
      <c r="A193" s="252"/>
      <c r="B193" s="52" t="s">
        <v>92</v>
      </c>
      <c r="C193" s="35">
        <f>VLOOKUP($K187,'임금대장(파트)'!$A$6:$AG$41,11,0)</f>
        <v>0</v>
      </c>
      <c r="D193" s="36"/>
      <c r="E193" s="67"/>
      <c r="F193" s="256"/>
      <c r="G193" s="257"/>
      <c r="H193" s="35"/>
      <c r="I193" s="36"/>
      <c r="J193" s="37"/>
      <c r="L193" s="38"/>
      <c r="M193" s="38"/>
    </row>
    <row r="194" spans="1:13" ht="20.45" customHeight="1" x14ac:dyDescent="0.6">
      <c r="A194" s="252"/>
      <c r="B194" s="67" t="s">
        <v>115</v>
      </c>
      <c r="C194" s="35">
        <f>VLOOKUP($K187,'임금대장(파트)'!$A$6:$AG$41,12,0)</f>
        <v>0</v>
      </c>
      <c r="D194" s="36"/>
      <c r="E194" s="67"/>
      <c r="F194" s="256"/>
      <c r="G194" s="257"/>
      <c r="H194" s="35"/>
      <c r="I194" s="36"/>
      <c r="J194" s="37"/>
    </row>
    <row r="195" spans="1:13" ht="20.45" customHeight="1" x14ac:dyDescent="0.6">
      <c r="A195" s="252"/>
      <c r="B195" s="67" t="s">
        <v>94</v>
      </c>
      <c r="C195" s="35">
        <f>VLOOKUP($K187,'임금대장(파트)'!$A$6:$AG$41,13,0)</f>
        <v>0</v>
      </c>
      <c r="D195" s="36"/>
      <c r="E195" s="36"/>
      <c r="F195" s="258"/>
      <c r="G195" s="259"/>
      <c r="H195" s="35"/>
      <c r="I195" s="36"/>
      <c r="J195" s="37"/>
    </row>
    <row r="196" spans="1:13" ht="20.45" customHeight="1" x14ac:dyDescent="0.6">
      <c r="A196" s="252"/>
      <c r="B196" s="67" t="s">
        <v>24</v>
      </c>
      <c r="C196" s="102">
        <f>VLOOKUP($K187,'임금대장(파트)'!$A$6:$AG$41,14,0)</f>
        <v>0</v>
      </c>
      <c r="D196" s="36"/>
      <c r="E196" s="36"/>
      <c r="F196" s="258"/>
      <c r="G196" s="259"/>
      <c r="H196" s="35"/>
      <c r="I196" s="36"/>
      <c r="J196" s="37"/>
    </row>
    <row r="197" spans="1:13" ht="20.45" customHeight="1" x14ac:dyDescent="0.6">
      <c r="A197" s="252"/>
      <c r="B197" s="67"/>
      <c r="C197" s="35"/>
      <c r="D197" s="36"/>
      <c r="E197" s="36"/>
      <c r="F197" s="258"/>
      <c r="G197" s="259"/>
      <c r="H197" s="35"/>
      <c r="I197" s="36"/>
      <c r="J197" s="37"/>
    </row>
    <row r="198" spans="1:13" ht="20.45" customHeight="1" x14ac:dyDescent="0.6">
      <c r="A198" s="252"/>
      <c r="B198" s="67"/>
      <c r="C198" s="35"/>
      <c r="D198" s="36"/>
      <c r="E198" s="36"/>
      <c r="F198" s="258"/>
      <c r="G198" s="259"/>
      <c r="H198" s="35"/>
      <c r="I198" s="36"/>
      <c r="J198" s="37"/>
    </row>
    <row r="199" spans="1:13" ht="20.45" customHeight="1" x14ac:dyDescent="0.6">
      <c r="A199" s="253"/>
      <c r="B199" s="68"/>
      <c r="C199" s="39"/>
      <c r="D199" s="40"/>
      <c r="E199" s="40"/>
      <c r="F199" s="260"/>
      <c r="G199" s="261"/>
      <c r="H199" s="39"/>
      <c r="I199" s="68" t="s">
        <v>95</v>
      </c>
      <c r="J199" s="41">
        <f>SUM(C191:H197)</f>
        <v>733200</v>
      </c>
    </row>
    <row r="200" spans="1:13" ht="20.45" customHeight="1" x14ac:dyDescent="0.6">
      <c r="A200" s="251" t="s">
        <v>96</v>
      </c>
      <c r="B200" s="36" t="s">
        <v>97</v>
      </c>
      <c r="C200" s="35">
        <f>VLOOKUP($K187,'임금대장(파트)'!$A$6:$AG$41,25,0)</f>
        <v>0</v>
      </c>
      <c r="D200" s="33"/>
      <c r="E200" s="42"/>
      <c r="F200" s="262" t="s">
        <v>14</v>
      </c>
      <c r="G200" s="263"/>
      <c r="H200" s="35">
        <f>VLOOKUP($K187,'임금대장(파트)'!$A$6:$AG$41,19,0)</f>
        <v>0</v>
      </c>
      <c r="I200" s="33"/>
      <c r="J200" s="34"/>
    </row>
    <row r="201" spans="1:13" ht="20.45" customHeight="1" x14ac:dyDescent="0.6">
      <c r="A201" s="252"/>
      <c r="B201" s="36" t="s">
        <v>98</v>
      </c>
      <c r="C201" s="35">
        <f>VLOOKUP($K187,'임금대장(파트)'!$A$6:$AG$41,26,0)</f>
        <v>0</v>
      </c>
      <c r="D201" s="36"/>
      <c r="E201" s="43"/>
      <c r="F201" s="258" t="s">
        <v>12</v>
      </c>
      <c r="G201" s="259"/>
      <c r="H201" s="35">
        <f>VLOOKUP($K187,'임금대장(파트)'!$A$6:$AG$41,17,0)</f>
        <v>0</v>
      </c>
      <c r="I201" s="36"/>
      <c r="J201" s="37"/>
    </row>
    <row r="202" spans="1:13" ht="20.45" customHeight="1" x14ac:dyDescent="0.6">
      <c r="A202" s="252"/>
      <c r="B202" s="36" t="s">
        <v>99</v>
      </c>
      <c r="C202" s="35">
        <f>VLOOKUP($K187,'임금대장(파트)'!$A$6:$AG$41,27,0)</f>
        <v>0</v>
      </c>
      <c r="D202" s="36"/>
      <c r="E202" s="44"/>
      <c r="F202" s="258" t="s">
        <v>171</v>
      </c>
      <c r="G202" s="259"/>
      <c r="H202" s="35">
        <f>VLOOKUP($K187,'임금대장(파트)'!$A$6:$AG$41,31,0)</f>
        <v>592200</v>
      </c>
      <c r="I202" s="36"/>
      <c r="J202" s="37"/>
    </row>
    <row r="203" spans="1:13" ht="20.45" customHeight="1" x14ac:dyDescent="0.6">
      <c r="A203" s="252"/>
      <c r="B203" s="36" t="s">
        <v>101</v>
      </c>
      <c r="C203" s="35">
        <f>VLOOKUP($K187,'임금대장(파트)'!$A$6:$AG$41,28,0)</f>
        <v>0</v>
      </c>
      <c r="D203" s="36"/>
      <c r="E203" s="43"/>
      <c r="F203" s="258" t="s">
        <v>102</v>
      </c>
      <c r="G203" s="259"/>
      <c r="H203" s="35">
        <f>VLOOKUP($K187,'임금대장(파트)'!$A$6:$AG$41,30,0)</f>
        <v>5860</v>
      </c>
      <c r="I203" s="36"/>
      <c r="J203" s="37"/>
    </row>
    <row r="204" spans="1:13" ht="20.45" customHeight="1" x14ac:dyDescent="0.6">
      <c r="A204" s="252"/>
      <c r="B204" s="36" t="s">
        <v>31</v>
      </c>
      <c r="C204" s="35">
        <f>VLOOKUP($K187,'임금대장(파트)'!$A$6:$AG$41,29,0)</f>
        <v>0</v>
      </c>
      <c r="D204" s="36"/>
      <c r="E204" s="43"/>
      <c r="F204" s="45"/>
      <c r="G204" s="46"/>
      <c r="H204" s="36"/>
      <c r="I204" s="67" t="s">
        <v>103</v>
      </c>
      <c r="J204" s="47">
        <f>SUM(C200:H205)</f>
        <v>598060</v>
      </c>
    </row>
    <row r="205" spans="1:13" ht="20.45" customHeight="1" x14ac:dyDescent="0.6">
      <c r="A205" s="253"/>
      <c r="B205" s="40"/>
      <c r="C205" s="101"/>
      <c r="D205" s="40"/>
      <c r="E205" s="48"/>
      <c r="F205" s="260"/>
      <c r="G205" s="261"/>
      <c r="H205" s="40"/>
      <c r="I205" s="68" t="s">
        <v>104</v>
      </c>
      <c r="J205" s="49">
        <f>J199-J204</f>
        <v>135140</v>
      </c>
    </row>
    <row r="206" spans="1:13" ht="20.45" customHeight="1" x14ac:dyDescent="0.6">
      <c r="A206" s="50" t="s">
        <v>105</v>
      </c>
      <c r="J206" s="51" t="s">
        <v>0</v>
      </c>
    </row>
    <row r="207" spans="1:13" ht="20.45" customHeight="1" x14ac:dyDescent="0.6">
      <c r="A207" s="50"/>
      <c r="J207" s="51"/>
    </row>
    <row r="208" spans="1:13" ht="20.45" customHeight="1" x14ac:dyDescent="0.6">
      <c r="A208" s="264" t="s">
        <v>170</v>
      </c>
      <c r="B208" s="264"/>
      <c r="C208" s="264"/>
      <c r="D208" s="264"/>
      <c r="E208" s="264"/>
      <c r="F208" s="264"/>
      <c r="G208" s="264"/>
      <c r="H208" s="264"/>
      <c r="I208" s="264"/>
      <c r="J208" s="264"/>
    </row>
    <row r="209" spans="1:13" ht="20.45" customHeight="1" x14ac:dyDescent="0.6">
      <c r="A209" s="286" t="s">
        <v>83</v>
      </c>
      <c r="B209" s="286"/>
      <c r="C209" s="286"/>
      <c r="D209" s="286" t="s">
        <v>84</v>
      </c>
      <c r="E209" s="286"/>
      <c r="F209" s="286" t="s">
        <v>85</v>
      </c>
      <c r="G209" s="286"/>
      <c r="H209" s="286"/>
      <c r="I209" s="286" t="s">
        <v>86</v>
      </c>
      <c r="J209" s="286"/>
    </row>
    <row r="210" spans="1:13" ht="20.45" customHeight="1" x14ac:dyDescent="0.6">
      <c r="A210" s="286" t="str">
        <f>VLOOKUP(K210,'임금대장(파트)'!$A$6:$AG$41,3,0)</f>
        <v>파트타임</v>
      </c>
      <c r="B210" s="286"/>
      <c r="C210" s="286"/>
      <c r="D210" s="287" t="str">
        <f>VLOOKUP(K210,'임금대장(파트)'!$A$6:$AG$41,2,0)</f>
        <v>유경하</v>
      </c>
      <c r="E210" s="287"/>
      <c r="F210" s="287">
        <f>'임금대장(파트)'!$O$3</f>
        <v>31</v>
      </c>
      <c r="G210" s="286"/>
      <c r="H210" s="286"/>
      <c r="I210" s="288">
        <f>VLOOKUP(K210,'임금대장(파트)'!$A$6:$AG$41,16,0)</f>
        <v>0</v>
      </c>
      <c r="J210" s="288"/>
      <c r="K210" s="30">
        <v>10</v>
      </c>
    </row>
    <row r="211" spans="1:13" ht="20.45" customHeight="1" x14ac:dyDescent="0.6">
      <c r="A211" s="286" t="s">
        <v>87</v>
      </c>
      <c r="B211" s="286"/>
      <c r="C211" s="286" t="s">
        <v>5</v>
      </c>
      <c r="D211" s="289">
        <f>VLOOKUP($K210,'임금대장(파트)'!$A$6:$AG$41,5,0)</f>
        <v>43831</v>
      </c>
      <c r="E211" s="289"/>
      <c r="F211" s="114" t="s">
        <v>88</v>
      </c>
      <c r="G211" s="358">
        <f>VLOOKUP(K210,'임금대장(파트)'!$A$6:$AG$41,15,0)</f>
        <v>31</v>
      </c>
      <c r="H211" s="358"/>
      <c r="I211" s="286" t="s">
        <v>89</v>
      </c>
      <c r="J211" s="290">
        <f>VLOOKUP(K210,'임금대장(파트)'!$A$6:$AG$41,17,0)</f>
        <v>0</v>
      </c>
    </row>
    <row r="212" spans="1:13" ht="20.45" customHeight="1" x14ac:dyDescent="0.6">
      <c r="A212" s="294">
        <f>VLOOKUP($K210,'임금대장(파트)'!$A$6:$AG$41,7,0)</f>
        <v>0</v>
      </c>
      <c r="B212" s="294"/>
      <c r="C212" s="286"/>
      <c r="D212" s="289"/>
      <c r="E212" s="289"/>
      <c r="F212" s="115" t="s">
        <v>90</v>
      </c>
      <c r="G212" s="359">
        <f>VLOOKUP(K210,'임금대장(파트)'!$A$6:$AG$41,16,0)</f>
        <v>0</v>
      </c>
      <c r="H212" s="359"/>
      <c r="I212" s="286"/>
      <c r="J212" s="290"/>
    </row>
    <row r="213" spans="1:13" ht="20.45" customHeight="1" x14ac:dyDescent="0.6">
      <c r="F213" s="250"/>
      <c r="G213" s="250"/>
      <c r="H213" s="32"/>
    </row>
    <row r="214" spans="1:13" ht="20.45" customHeight="1" x14ac:dyDescent="0.6">
      <c r="A214" s="251" t="s">
        <v>91</v>
      </c>
      <c r="B214" s="69" t="s">
        <v>20</v>
      </c>
      <c r="C214" s="25">
        <f>VLOOKUP($K210,'임금대장(파트)'!$A$6:$AG$41,9,0)</f>
        <v>639200</v>
      </c>
      <c r="D214" s="33"/>
      <c r="E214" s="69"/>
      <c r="F214" s="254"/>
      <c r="G214" s="255"/>
      <c r="H214" s="25"/>
      <c r="I214" s="33"/>
      <c r="J214" s="34"/>
    </row>
    <row r="215" spans="1:13" ht="20.45" customHeight="1" x14ac:dyDescent="0.6">
      <c r="A215" s="252"/>
      <c r="B215" s="67" t="s">
        <v>21</v>
      </c>
      <c r="C215" s="35">
        <f>VLOOKUP($K210,'임금대장(파트)'!$A$6:$AG$41,10,0)</f>
        <v>0</v>
      </c>
      <c r="D215" s="36"/>
      <c r="E215" s="67"/>
      <c r="F215" s="256"/>
      <c r="G215" s="257"/>
      <c r="H215" s="35"/>
      <c r="I215" s="36"/>
      <c r="J215" s="37"/>
    </row>
    <row r="216" spans="1:13" ht="20.45" customHeight="1" x14ac:dyDescent="0.6">
      <c r="A216" s="252"/>
      <c r="B216" s="52" t="s">
        <v>92</v>
      </c>
      <c r="C216" s="35">
        <f>VLOOKUP($K210,'임금대장(파트)'!$A$6:$AG$41,11,0)</f>
        <v>0</v>
      </c>
      <c r="D216" s="36"/>
      <c r="E216" s="67"/>
      <c r="F216" s="256"/>
      <c r="G216" s="257"/>
      <c r="H216" s="35"/>
      <c r="I216" s="36"/>
      <c r="J216" s="37"/>
      <c r="L216" s="38"/>
      <c r="M216" s="38"/>
    </row>
    <row r="217" spans="1:13" ht="20.45" customHeight="1" x14ac:dyDescent="0.6">
      <c r="A217" s="252"/>
      <c r="B217" s="67" t="s">
        <v>115</v>
      </c>
      <c r="C217" s="35">
        <f>VLOOKUP($K210,'임금대장(파트)'!$A$6:$AG$41,12,0)</f>
        <v>0</v>
      </c>
      <c r="D217" s="36"/>
      <c r="E217" s="67"/>
      <c r="F217" s="256"/>
      <c r="G217" s="257"/>
      <c r="H217" s="35"/>
      <c r="I217" s="36"/>
      <c r="J217" s="37"/>
    </row>
    <row r="218" spans="1:13" ht="20.45" customHeight="1" x14ac:dyDescent="0.6">
      <c r="A218" s="252"/>
      <c r="B218" s="67" t="s">
        <v>94</v>
      </c>
      <c r="C218" s="35">
        <f>VLOOKUP($K210,'임금대장(파트)'!$A$6:$AG$41,13,0)</f>
        <v>0</v>
      </c>
      <c r="D218" s="36"/>
      <c r="E218" s="36"/>
      <c r="F218" s="258"/>
      <c r="G218" s="259"/>
      <c r="H218" s="35"/>
      <c r="I218" s="36"/>
      <c r="J218" s="37"/>
    </row>
    <row r="219" spans="1:13" ht="20.45" customHeight="1" x14ac:dyDescent="0.6">
      <c r="A219" s="252"/>
      <c r="B219" s="67" t="s">
        <v>24</v>
      </c>
      <c r="C219" s="102">
        <f>VLOOKUP($K210,'임금대장(파트)'!$A$6:$AG$41,14,0)</f>
        <v>0</v>
      </c>
      <c r="D219" s="36"/>
      <c r="E219" s="36"/>
      <c r="F219" s="258"/>
      <c r="G219" s="259"/>
      <c r="H219" s="35"/>
      <c r="I219" s="36"/>
      <c r="J219" s="37"/>
    </row>
    <row r="220" spans="1:13" ht="20.45" customHeight="1" x14ac:dyDescent="0.6">
      <c r="A220" s="252"/>
      <c r="B220" s="67"/>
      <c r="C220" s="35"/>
      <c r="D220" s="36"/>
      <c r="E220" s="36"/>
      <c r="F220" s="258"/>
      <c r="G220" s="259"/>
      <c r="H220" s="35"/>
      <c r="I220" s="36"/>
      <c r="J220" s="37"/>
    </row>
    <row r="221" spans="1:13" ht="20.45" customHeight="1" x14ac:dyDescent="0.6">
      <c r="A221" s="252"/>
      <c r="B221" s="67"/>
      <c r="C221" s="35"/>
      <c r="D221" s="36"/>
      <c r="E221" s="36"/>
      <c r="F221" s="258"/>
      <c r="G221" s="259"/>
      <c r="H221" s="35"/>
      <c r="I221" s="36"/>
      <c r="J221" s="37"/>
    </row>
    <row r="222" spans="1:13" ht="20.45" customHeight="1" x14ac:dyDescent="0.6">
      <c r="A222" s="253"/>
      <c r="B222" s="68"/>
      <c r="C222" s="39"/>
      <c r="D222" s="40"/>
      <c r="E222" s="40"/>
      <c r="F222" s="260"/>
      <c r="G222" s="261"/>
      <c r="H222" s="39"/>
      <c r="I222" s="68" t="s">
        <v>95</v>
      </c>
      <c r="J222" s="41">
        <f>SUM(C214:H220)</f>
        <v>639200</v>
      </c>
    </row>
    <row r="223" spans="1:13" ht="20.45" customHeight="1" x14ac:dyDescent="0.6">
      <c r="A223" s="251" t="s">
        <v>96</v>
      </c>
      <c r="B223" s="36" t="s">
        <v>97</v>
      </c>
      <c r="C223" s="35">
        <f>VLOOKUP($K210,'임금대장(파트)'!$A$6:$AG$41,25,0)</f>
        <v>0</v>
      </c>
      <c r="D223" s="33"/>
      <c r="E223" s="42"/>
      <c r="F223" s="262" t="s">
        <v>14</v>
      </c>
      <c r="G223" s="263"/>
      <c r="H223" s="35">
        <f>VLOOKUP($K210,'임금대장(파트)'!$A$6:$AG$41,19,0)</f>
        <v>0</v>
      </c>
      <c r="I223" s="33"/>
      <c r="J223" s="34"/>
    </row>
    <row r="224" spans="1:13" ht="20.45" customHeight="1" x14ac:dyDescent="0.6">
      <c r="A224" s="252"/>
      <c r="B224" s="36" t="s">
        <v>98</v>
      </c>
      <c r="C224" s="35">
        <f>VLOOKUP($K210,'임금대장(파트)'!$A$6:$AG$41,26,0)</f>
        <v>0</v>
      </c>
      <c r="D224" s="36"/>
      <c r="E224" s="43"/>
      <c r="F224" s="258" t="s">
        <v>12</v>
      </c>
      <c r="G224" s="259"/>
      <c r="H224" s="35">
        <f>VLOOKUP($K210,'임금대장(파트)'!$A$6:$AG$41,17,0)</f>
        <v>0</v>
      </c>
      <c r="I224" s="36"/>
      <c r="J224" s="37"/>
    </row>
    <row r="225" spans="1:13" ht="20.45" customHeight="1" x14ac:dyDescent="0.6">
      <c r="A225" s="252"/>
      <c r="B225" s="36" t="s">
        <v>99</v>
      </c>
      <c r="C225" s="35">
        <f>VLOOKUP($K210,'임금대장(파트)'!$A$6:$AG$41,27,0)</f>
        <v>0</v>
      </c>
      <c r="D225" s="36"/>
      <c r="E225" s="44"/>
      <c r="F225" s="258" t="s">
        <v>171</v>
      </c>
      <c r="G225" s="259"/>
      <c r="H225" s="35">
        <f>VLOOKUP($K210,'임금대장(파트)'!$A$6:$AG$41,31,0)</f>
        <v>493500</v>
      </c>
      <c r="I225" s="36"/>
      <c r="J225" s="37"/>
    </row>
    <row r="226" spans="1:13" ht="20.45" customHeight="1" x14ac:dyDescent="0.6">
      <c r="A226" s="252"/>
      <c r="B226" s="36" t="s">
        <v>101</v>
      </c>
      <c r="C226" s="35">
        <f>VLOOKUP($K210,'임금대장(파트)'!$A$6:$AG$41,28,0)</f>
        <v>0</v>
      </c>
      <c r="D226" s="36"/>
      <c r="E226" s="43"/>
      <c r="F226" s="258" t="s">
        <v>102</v>
      </c>
      <c r="G226" s="259"/>
      <c r="H226" s="35">
        <f>VLOOKUP($K210,'임금대장(파트)'!$A$6:$AG$41,30,0)</f>
        <v>5110</v>
      </c>
      <c r="I226" s="36"/>
      <c r="J226" s="37"/>
    </row>
    <row r="227" spans="1:13" ht="20.45" customHeight="1" x14ac:dyDescent="0.6">
      <c r="A227" s="252"/>
      <c r="B227" s="36" t="s">
        <v>31</v>
      </c>
      <c r="C227" s="35">
        <f>VLOOKUP($K210,'임금대장(파트)'!$A$6:$AG$41,29,0)</f>
        <v>0</v>
      </c>
      <c r="D227" s="36"/>
      <c r="E227" s="43"/>
      <c r="F227" s="45"/>
      <c r="G227" s="46"/>
      <c r="H227" s="36"/>
      <c r="I227" s="67" t="s">
        <v>103</v>
      </c>
      <c r="J227" s="47">
        <f>SUM(C223:H228)</f>
        <v>498610</v>
      </c>
    </row>
    <row r="228" spans="1:13" ht="20.45" customHeight="1" x14ac:dyDescent="0.6">
      <c r="A228" s="253"/>
      <c r="B228" s="40"/>
      <c r="C228" s="101"/>
      <c r="D228" s="40"/>
      <c r="E228" s="48"/>
      <c r="F228" s="260"/>
      <c r="G228" s="261"/>
      <c r="H228" s="40"/>
      <c r="I228" s="68" t="s">
        <v>104</v>
      </c>
      <c r="J228" s="49">
        <f>J222-J227</f>
        <v>140590</v>
      </c>
    </row>
    <row r="229" spans="1:13" ht="20.45" customHeight="1" x14ac:dyDescent="0.6">
      <c r="A229" s="50" t="s">
        <v>105</v>
      </c>
      <c r="J229" s="51" t="s">
        <v>0</v>
      </c>
    </row>
    <row r="230" spans="1:13" ht="20.45" customHeight="1" x14ac:dyDescent="0.6">
      <c r="A230" s="50"/>
      <c r="J230" s="51"/>
    </row>
    <row r="231" spans="1:13" ht="20.45" customHeight="1" x14ac:dyDescent="0.6">
      <c r="A231" s="264" t="s">
        <v>170</v>
      </c>
      <c r="B231" s="264"/>
      <c r="C231" s="264"/>
      <c r="D231" s="264"/>
      <c r="E231" s="264"/>
      <c r="F231" s="264"/>
      <c r="G231" s="264"/>
      <c r="H231" s="264"/>
      <c r="I231" s="264"/>
      <c r="J231" s="264"/>
    </row>
    <row r="232" spans="1:13" ht="20.45" customHeight="1" x14ac:dyDescent="0.6">
      <c r="A232" s="286" t="s">
        <v>83</v>
      </c>
      <c r="B232" s="286"/>
      <c r="C232" s="286"/>
      <c r="D232" s="286" t="s">
        <v>84</v>
      </c>
      <c r="E232" s="286"/>
      <c r="F232" s="286" t="s">
        <v>85</v>
      </c>
      <c r="G232" s="286"/>
      <c r="H232" s="286"/>
      <c r="I232" s="286" t="s">
        <v>86</v>
      </c>
      <c r="J232" s="286"/>
    </row>
    <row r="233" spans="1:13" ht="20.45" customHeight="1" x14ac:dyDescent="0.6">
      <c r="A233" s="286" t="str">
        <f>VLOOKUP(K233,'임금대장(파트)'!$A$6:$AG$41,3,0)</f>
        <v>파트타임</v>
      </c>
      <c r="B233" s="286"/>
      <c r="C233" s="286"/>
      <c r="D233" s="287" t="str">
        <f>VLOOKUP(K233,'임금대장(파트)'!$A$6:$AG$41,2,0)</f>
        <v>이나영</v>
      </c>
      <c r="E233" s="287"/>
      <c r="F233" s="287">
        <f>'임금대장(파트)'!$O$3</f>
        <v>31</v>
      </c>
      <c r="G233" s="286"/>
      <c r="H233" s="286"/>
      <c r="I233" s="288">
        <f>VLOOKUP(K233,'임금대장(파트)'!$A$6:$AG$41,16,0)</f>
        <v>0</v>
      </c>
      <c r="J233" s="288"/>
      <c r="K233" s="30">
        <v>11</v>
      </c>
    </row>
    <row r="234" spans="1:13" ht="20.45" customHeight="1" x14ac:dyDescent="0.6">
      <c r="A234" s="286" t="s">
        <v>87</v>
      </c>
      <c r="B234" s="286"/>
      <c r="C234" s="286" t="s">
        <v>5</v>
      </c>
      <c r="D234" s="289" t="str">
        <f>VLOOKUP($K233,'임금대장(파트)'!$A$6:$AG$41,5,0)</f>
        <v>일용</v>
      </c>
      <c r="E234" s="289"/>
      <c r="F234" s="114" t="s">
        <v>88</v>
      </c>
      <c r="G234" s="358">
        <f>VLOOKUP(K233,'임금대장(파트)'!$A$6:$AG$41,15,0)</f>
        <v>31</v>
      </c>
      <c r="H234" s="358"/>
      <c r="I234" s="286" t="s">
        <v>89</v>
      </c>
      <c r="J234" s="290">
        <f>VLOOKUP(K233,'임금대장(파트)'!$A$6:$AG$41,17,0)</f>
        <v>0</v>
      </c>
    </row>
    <row r="235" spans="1:13" ht="20.45" customHeight="1" x14ac:dyDescent="0.6">
      <c r="A235" s="294">
        <f>VLOOKUP($K233,'임금대장(파트)'!$A$6:$AG$41,7,0)</f>
        <v>0</v>
      </c>
      <c r="B235" s="294"/>
      <c r="C235" s="286"/>
      <c r="D235" s="289"/>
      <c r="E235" s="289"/>
      <c r="F235" s="115" t="s">
        <v>90</v>
      </c>
      <c r="G235" s="359">
        <f>VLOOKUP(K233,'임금대장(파트)'!$A$6:$AG$41,16,0)</f>
        <v>0</v>
      </c>
      <c r="H235" s="359"/>
      <c r="I235" s="286"/>
      <c r="J235" s="290"/>
    </row>
    <row r="236" spans="1:13" ht="20.45" customHeight="1" x14ac:dyDescent="0.6">
      <c r="F236" s="250"/>
      <c r="G236" s="250"/>
      <c r="H236" s="32"/>
    </row>
    <row r="237" spans="1:13" ht="20.45" customHeight="1" x14ac:dyDescent="0.6">
      <c r="A237" s="251" t="s">
        <v>91</v>
      </c>
      <c r="B237" s="69" t="s">
        <v>20</v>
      </c>
      <c r="C237" s="25">
        <f>VLOOKUP($K233,'임금대장(파트)'!$A$6:$AG$41,9,0)</f>
        <v>122200</v>
      </c>
      <c r="D237" s="33"/>
      <c r="E237" s="69"/>
      <c r="F237" s="254"/>
      <c r="G237" s="255"/>
      <c r="H237" s="25"/>
      <c r="I237" s="33"/>
      <c r="J237" s="34"/>
    </row>
    <row r="238" spans="1:13" ht="20.45" customHeight="1" x14ac:dyDescent="0.6">
      <c r="A238" s="252"/>
      <c r="B238" s="67" t="s">
        <v>21</v>
      </c>
      <c r="C238" s="35">
        <f>VLOOKUP($K233,'임금대장(파트)'!$A$6:$AG$41,10,0)</f>
        <v>0</v>
      </c>
      <c r="D238" s="36"/>
      <c r="E238" s="67"/>
      <c r="F238" s="256"/>
      <c r="G238" s="257"/>
      <c r="H238" s="35"/>
      <c r="I238" s="36"/>
      <c r="J238" s="37"/>
    </row>
    <row r="239" spans="1:13" ht="20.45" customHeight="1" x14ac:dyDescent="0.6">
      <c r="A239" s="252"/>
      <c r="B239" s="52" t="s">
        <v>92</v>
      </c>
      <c r="C239" s="35">
        <f>VLOOKUP($K233,'임금대장(파트)'!$A$6:$AG$41,11,0)</f>
        <v>0</v>
      </c>
      <c r="D239" s="36"/>
      <c r="E239" s="67"/>
      <c r="F239" s="256"/>
      <c r="G239" s="257"/>
      <c r="H239" s="35"/>
      <c r="I239" s="36"/>
      <c r="J239" s="37"/>
      <c r="L239" s="38"/>
      <c r="M239" s="38"/>
    </row>
    <row r="240" spans="1:13" ht="20.45" customHeight="1" x14ac:dyDescent="0.6">
      <c r="A240" s="252"/>
      <c r="B240" s="67" t="s">
        <v>115</v>
      </c>
      <c r="C240" s="35">
        <f>VLOOKUP($K233,'임금대장(파트)'!$A$6:$AG$41,12,0)</f>
        <v>0</v>
      </c>
      <c r="D240" s="36"/>
      <c r="E240" s="67"/>
      <c r="F240" s="256"/>
      <c r="G240" s="257"/>
      <c r="H240" s="35"/>
      <c r="I240" s="36"/>
      <c r="J240" s="37"/>
    </row>
    <row r="241" spans="1:11" ht="20.45" customHeight="1" x14ac:dyDescent="0.6">
      <c r="A241" s="252"/>
      <c r="B241" s="67" t="s">
        <v>94</v>
      </c>
      <c r="C241" s="35">
        <f>VLOOKUP($K233,'임금대장(파트)'!$A$6:$AG$41,13,0)</f>
        <v>0</v>
      </c>
      <c r="D241" s="36"/>
      <c r="E241" s="36"/>
      <c r="F241" s="258"/>
      <c r="G241" s="259"/>
      <c r="H241" s="35"/>
      <c r="I241" s="36"/>
      <c r="J241" s="37"/>
    </row>
    <row r="242" spans="1:11" ht="20.45" customHeight="1" x14ac:dyDescent="0.6">
      <c r="A242" s="252"/>
      <c r="B242" s="67" t="s">
        <v>24</v>
      </c>
      <c r="C242" s="102">
        <f>VLOOKUP($K233,'임금대장(파트)'!$A$6:$AG$41,14,0)</f>
        <v>0</v>
      </c>
      <c r="D242" s="36"/>
      <c r="E242" s="36"/>
      <c r="F242" s="258"/>
      <c r="G242" s="259"/>
      <c r="H242" s="35"/>
      <c r="I242" s="36"/>
      <c r="J242" s="37"/>
    </row>
    <row r="243" spans="1:11" ht="20.45" customHeight="1" x14ac:dyDescent="0.6">
      <c r="A243" s="252"/>
      <c r="B243" s="67"/>
      <c r="C243" s="35"/>
      <c r="D243" s="36"/>
      <c r="E243" s="36"/>
      <c r="F243" s="258"/>
      <c r="G243" s="259"/>
      <c r="H243" s="35"/>
      <c r="I243" s="36"/>
      <c r="J243" s="37"/>
    </row>
    <row r="244" spans="1:11" ht="20.45" customHeight="1" x14ac:dyDescent="0.6">
      <c r="A244" s="252"/>
      <c r="B244" s="67"/>
      <c r="C244" s="35"/>
      <c r="D244" s="36"/>
      <c r="E244" s="36"/>
      <c r="F244" s="258"/>
      <c r="G244" s="259"/>
      <c r="H244" s="35"/>
      <c r="I244" s="36"/>
      <c r="J244" s="37"/>
    </row>
    <row r="245" spans="1:11" ht="20.45" customHeight="1" x14ac:dyDescent="0.6">
      <c r="A245" s="253"/>
      <c r="B245" s="68"/>
      <c r="C245" s="39"/>
      <c r="D245" s="40"/>
      <c r="E245" s="40"/>
      <c r="F245" s="260"/>
      <c r="G245" s="261"/>
      <c r="H245" s="39"/>
      <c r="I245" s="68" t="s">
        <v>95</v>
      </c>
      <c r="J245" s="41">
        <f>SUM(C237:H243)</f>
        <v>122200</v>
      </c>
    </row>
    <row r="246" spans="1:11" ht="20.45" customHeight="1" x14ac:dyDescent="0.6">
      <c r="A246" s="251" t="s">
        <v>96</v>
      </c>
      <c r="B246" s="36" t="s">
        <v>97</v>
      </c>
      <c r="C246" s="35">
        <f>VLOOKUP($K233,'임금대장(파트)'!$A$6:$AG$41,25,0)</f>
        <v>0</v>
      </c>
      <c r="D246" s="33"/>
      <c r="E246" s="42"/>
      <c r="F246" s="262" t="s">
        <v>14</v>
      </c>
      <c r="G246" s="263"/>
      <c r="H246" s="35">
        <f>VLOOKUP($K233,'임금대장(파트)'!$A$6:$AG$41,19,0)</f>
        <v>0</v>
      </c>
      <c r="I246" s="33"/>
      <c r="J246" s="34"/>
    </row>
    <row r="247" spans="1:11" ht="20.45" customHeight="1" x14ac:dyDescent="0.6">
      <c r="A247" s="252"/>
      <c r="B247" s="36" t="s">
        <v>98</v>
      </c>
      <c r="C247" s="35">
        <f>VLOOKUP($K233,'임금대장(파트)'!$A$6:$AG$41,26,0)</f>
        <v>0</v>
      </c>
      <c r="D247" s="36"/>
      <c r="E247" s="43"/>
      <c r="F247" s="258" t="s">
        <v>12</v>
      </c>
      <c r="G247" s="259"/>
      <c r="H247" s="35">
        <f>VLOOKUP($K233,'임금대장(파트)'!$A$6:$AG$41,17,0)</f>
        <v>0</v>
      </c>
      <c r="I247" s="36"/>
      <c r="J247" s="37"/>
    </row>
    <row r="248" spans="1:11" ht="20.45" customHeight="1" x14ac:dyDescent="0.6">
      <c r="A248" s="252"/>
      <c r="B248" s="36" t="s">
        <v>99</v>
      </c>
      <c r="C248" s="35">
        <f>VLOOKUP($K233,'임금대장(파트)'!$A$6:$AG$41,27,0)</f>
        <v>0</v>
      </c>
      <c r="D248" s="36"/>
      <c r="E248" s="44"/>
      <c r="F248" s="258" t="s">
        <v>171</v>
      </c>
      <c r="G248" s="259"/>
      <c r="H248" s="35">
        <f>VLOOKUP($K233,'임금대장(파트)'!$A$6:$AG$41,31,0)</f>
        <v>122200</v>
      </c>
      <c r="I248" s="36"/>
      <c r="J248" s="37"/>
    </row>
    <row r="249" spans="1:11" ht="20.45" customHeight="1" x14ac:dyDescent="0.6">
      <c r="A249" s="252"/>
      <c r="B249" s="36" t="s">
        <v>101</v>
      </c>
      <c r="C249" s="35">
        <f>VLOOKUP($K233,'임금대장(파트)'!$A$6:$AG$41,28,0)</f>
        <v>0</v>
      </c>
      <c r="D249" s="36"/>
      <c r="E249" s="43"/>
      <c r="F249" s="258" t="s">
        <v>102</v>
      </c>
      <c r="G249" s="259"/>
      <c r="H249" s="35">
        <f>VLOOKUP($K233,'임금대장(파트)'!$A$6:$AG$41,30,0)</f>
        <v>0</v>
      </c>
      <c r="I249" s="36"/>
      <c r="J249" s="37"/>
    </row>
    <row r="250" spans="1:11" ht="20.45" customHeight="1" x14ac:dyDescent="0.6">
      <c r="A250" s="252"/>
      <c r="B250" s="36" t="s">
        <v>31</v>
      </c>
      <c r="C250" s="35">
        <f>VLOOKUP($K233,'임금대장(파트)'!$A$6:$AG$41,29,0)</f>
        <v>0</v>
      </c>
      <c r="D250" s="36"/>
      <c r="E250" s="43"/>
      <c r="F250" s="45"/>
      <c r="G250" s="46"/>
      <c r="H250" s="36"/>
      <c r="I250" s="67" t="s">
        <v>103</v>
      </c>
      <c r="J250" s="47">
        <f>SUM(C246:H251)</f>
        <v>122200</v>
      </c>
    </row>
    <row r="251" spans="1:11" ht="20.45" customHeight="1" x14ac:dyDescent="0.6">
      <c r="A251" s="253"/>
      <c r="B251" s="40"/>
      <c r="C251" s="101"/>
      <c r="D251" s="40"/>
      <c r="E251" s="48"/>
      <c r="F251" s="260"/>
      <c r="G251" s="261"/>
      <c r="H251" s="40"/>
      <c r="I251" s="68" t="s">
        <v>104</v>
      </c>
      <c r="J251" s="49">
        <f>J245-J250</f>
        <v>0</v>
      </c>
    </row>
    <row r="252" spans="1:11" ht="20.45" customHeight="1" x14ac:dyDescent="0.6">
      <c r="A252" s="50" t="s">
        <v>105</v>
      </c>
      <c r="J252" s="51" t="s">
        <v>0</v>
      </c>
    </row>
    <row r="253" spans="1:11" ht="20.45" customHeight="1" x14ac:dyDescent="0.6">
      <c r="A253" s="50"/>
      <c r="J253" s="51"/>
    </row>
    <row r="254" spans="1:11" ht="20.45" customHeight="1" x14ac:dyDescent="0.6">
      <c r="A254" s="264" t="s">
        <v>170</v>
      </c>
      <c r="B254" s="264"/>
      <c r="C254" s="264"/>
      <c r="D254" s="264"/>
      <c r="E254" s="264"/>
      <c r="F254" s="264"/>
      <c r="G254" s="264"/>
      <c r="H254" s="264"/>
      <c r="I254" s="264"/>
      <c r="J254" s="264"/>
    </row>
    <row r="255" spans="1:11" ht="20.45" customHeight="1" x14ac:dyDescent="0.6">
      <c r="A255" s="286" t="s">
        <v>83</v>
      </c>
      <c r="B255" s="286"/>
      <c r="C255" s="286"/>
      <c r="D255" s="286" t="s">
        <v>84</v>
      </c>
      <c r="E255" s="286"/>
      <c r="F255" s="286" t="s">
        <v>85</v>
      </c>
      <c r="G255" s="286"/>
      <c r="H255" s="286"/>
      <c r="I255" s="286" t="s">
        <v>86</v>
      </c>
      <c r="J255" s="286"/>
    </row>
    <row r="256" spans="1:11" ht="20.45" customHeight="1" x14ac:dyDescent="0.6">
      <c r="A256" s="286" t="str">
        <f>VLOOKUP(K256,'임금대장(파트)'!$A$6:$AG$41,3,0)</f>
        <v>파트타임</v>
      </c>
      <c r="B256" s="286"/>
      <c r="C256" s="286"/>
      <c r="D256" s="287" t="str">
        <f>VLOOKUP(K256,'임금대장(파트)'!$A$6:$AG$41,2,0)</f>
        <v>이대성</v>
      </c>
      <c r="E256" s="287"/>
      <c r="F256" s="287">
        <f>'임금대장(파트)'!$O$3</f>
        <v>31</v>
      </c>
      <c r="G256" s="286"/>
      <c r="H256" s="286"/>
      <c r="I256" s="288">
        <f>VLOOKUP(K256,'임금대장(파트)'!$A$6:$AG$41,16,0)</f>
        <v>0</v>
      </c>
      <c r="J256" s="288"/>
      <c r="K256" s="30">
        <v>12</v>
      </c>
    </row>
    <row r="257" spans="1:13" ht="20.45" customHeight="1" x14ac:dyDescent="0.6">
      <c r="A257" s="286" t="s">
        <v>87</v>
      </c>
      <c r="B257" s="286"/>
      <c r="C257" s="286" t="s">
        <v>5</v>
      </c>
      <c r="D257" s="289">
        <f>VLOOKUP($K256,'임금대장(파트)'!$A$6:$AG$41,5,0)</f>
        <v>43831</v>
      </c>
      <c r="E257" s="289"/>
      <c r="F257" s="114" t="s">
        <v>88</v>
      </c>
      <c r="G257" s="358">
        <f>VLOOKUP(K256,'임금대장(파트)'!$A$6:$AG$41,15,0)</f>
        <v>31</v>
      </c>
      <c r="H257" s="358"/>
      <c r="I257" s="286" t="s">
        <v>89</v>
      </c>
      <c r="J257" s="290">
        <f>VLOOKUP(K256,'임금대장(파트)'!$A$6:$AG$41,17,0)</f>
        <v>0</v>
      </c>
    </row>
    <row r="258" spans="1:13" ht="20.45" customHeight="1" x14ac:dyDescent="0.6">
      <c r="A258" s="294">
        <f>VLOOKUP($K256,'임금대장(파트)'!$A$6:$AG$41,7,0)</f>
        <v>0</v>
      </c>
      <c r="B258" s="294"/>
      <c r="C258" s="286"/>
      <c r="D258" s="289"/>
      <c r="E258" s="289"/>
      <c r="F258" s="115" t="s">
        <v>90</v>
      </c>
      <c r="G258" s="359">
        <f>VLOOKUP(K256,'임금대장(파트)'!$A$6:$AG$41,16,0)</f>
        <v>0</v>
      </c>
      <c r="H258" s="359"/>
      <c r="I258" s="286"/>
      <c r="J258" s="290"/>
    </row>
    <row r="259" spans="1:13" ht="20.45" customHeight="1" x14ac:dyDescent="0.6">
      <c r="F259" s="250"/>
      <c r="G259" s="250"/>
      <c r="H259" s="32"/>
    </row>
    <row r="260" spans="1:13" ht="20.45" customHeight="1" x14ac:dyDescent="0.6">
      <c r="A260" s="251" t="s">
        <v>91</v>
      </c>
      <c r="B260" s="69" t="s">
        <v>20</v>
      </c>
      <c r="C260" s="25">
        <f>VLOOKUP($K256,'임금대장(파트)'!$A$6:$AG$41,9,0)</f>
        <v>159800</v>
      </c>
      <c r="D260" s="33"/>
      <c r="E260" s="69"/>
      <c r="F260" s="254"/>
      <c r="G260" s="255"/>
      <c r="H260" s="25"/>
      <c r="I260" s="33"/>
      <c r="J260" s="34"/>
    </row>
    <row r="261" spans="1:13" ht="20.45" customHeight="1" x14ac:dyDescent="0.6">
      <c r="A261" s="252"/>
      <c r="B261" s="67" t="s">
        <v>21</v>
      </c>
      <c r="C261" s="35">
        <f>VLOOKUP($K256,'임금대장(파트)'!$A$6:$AG$41,10,0)</f>
        <v>0</v>
      </c>
      <c r="D261" s="36"/>
      <c r="E261" s="67"/>
      <c r="F261" s="256"/>
      <c r="G261" s="257"/>
      <c r="H261" s="35"/>
      <c r="I261" s="36"/>
      <c r="J261" s="37"/>
    </row>
    <row r="262" spans="1:13" ht="20.45" customHeight="1" x14ac:dyDescent="0.6">
      <c r="A262" s="252"/>
      <c r="B262" s="52" t="s">
        <v>92</v>
      </c>
      <c r="C262" s="35">
        <f>VLOOKUP($K256,'임금대장(파트)'!$A$6:$AG$41,11,0)</f>
        <v>0</v>
      </c>
      <c r="D262" s="36"/>
      <c r="E262" s="67"/>
      <c r="F262" s="256"/>
      <c r="G262" s="257"/>
      <c r="H262" s="35"/>
      <c r="I262" s="36"/>
      <c r="J262" s="37"/>
      <c r="L262" s="38"/>
      <c r="M262" s="38"/>
    </row>
    <row r="263" spans="1:13" ht="20.45" customHeight="1" x14ac:dyDescent="0.6">
      <c r="A263" s="252"/>
      <c r="B263" s="67" t="s">
        <v>115</v>
      </c>
      <c r="C263" s="35">
        <f>VLOOKUP($K256,'임금대장(파트)'!$A$6:$AG$41,12,0)</f>
        <v>0</v>
      </c>
      <c r="D263" s="36"/>
      <c r="E263" s="67"/>
      <c r="F263" s="256"/>
      <c r="G263" s="257"/>
      <c r="H263" s="35"/>
      <c r="I263" s="36"/>
      <c r="J263" s="37"/>
    </row>
    <row r="264" spans="1:13" ht="20.45" customHeight="1" x14ac:dyDescent="0.6">
      <c r="A264" s="252"/>
      <c r="B264" s="67" t="s">
        <v>94</v>
      </c>
      <c r="C264" s="35">
        <f>VLOOKUP($K256,'임금대장(파트)'!$A$6:$AG$41,13,0)</f>
        <v>0</v>
      </c>
      <c r="D264" s="36"/>
      <c r="E264" s="36"/>
      <c r="F264" s="258"/>
      <c r="G264" s="259"/>
      <c r="H264" s="35"/>
      <c r="I264" s="36"/>
      <c r="J264" s="37"/>
    </row>
    <row r="265" spans="1:13" ht="20.45" customHeight="1" x14ac:dyDescent="0.6">
      <c r="A265" s="252"/>
      <c r="B265" s="67" t="s">
        <v>24</v>
      </c>
      <c r="C265" s="102">
        <f>VLOOKUP($K256,'임금대장(파트)'!$A$6:$AG$41,14,0)</f>
        <v>0</v>
      </c>
      <c r="D265" s="36"/>
      <c r="E265" s="36"/>
      <c r="F265" s="258"/>
      <c r="G265" s="259"/>
      <c r="H265" s="35"/>
      <c r="I265" s="36"/>
      <c r="J265" s="37"/>
    </row>
    <row r="266" spans="1:13" ht="20.45" customHeight="1" x14ac:dyDescent="0.6">
      <c r="A266" s="252"/>
      <c r="B266" s="67"/>
      <c r="C266" s="35"/>
      <c r="D266" s="36"/>
      <c r="E266" s="36"/>
      <c r="F266" s="258"/>
      <c r="G266" s="259"/>
      <c r="H266" s="35"/>
      <c r="I266" s="36"/>
      <c r="J266" s="37"/>
    </row>
    <row r="267" spans="1:13" ht="20.45" customHeight="1" x14ac:dyDescent="0.6">
      <c r="A267" s="252"/>
      <c r="B267" s="67"/>
      <c r="C267" s="35"/>
      <c r="D267" s="36"/>
      <c r="E267" s="36"/>
      <c r="F267" s="258"/>
      <c r="G267" s="259"/>
      <c r="H267" s="35"/>
      <c r="I267" s="36"/>
      <c r="J267" s="37"/>
    </row>
    <row r="268" spans="1:13" ht="20.45" customHeight="1" x14ac:dyDescent="0.6">
      <c r="A268" s="253"/>
      <c r="B268" s="68"/>
      <c r="C268" s="39"/>
      <c r="D268" s="40"/>
      <c r="E268" s="40"/>
      <c r="F268" s="260"/>
      <c r="G268" s="261"/>
      <c r="H268" s="39"/>
      <c r="I268" s="68" t="s">
        <v>95</v>
      </c>
      <c r="J268" s="41">
        <f>SUM(C260:H266)</f>
        <v>159800</v>
      </c>
    </row>
    <row r="269" spans="1:13" ht="20.45" customHeight="1" x14ac:dyDescent="0.6">
      <c r="A269" s="251" t="s">
        <v>96</v>
      </c>
      <c r="B269" s="36" t="s">
        <v>97</v>
      </c>
      <c r="C269" s="35">
        <f>VLOOKUP($K256,'임금대장(파트)'!$A$6:$AG$41,25,0)</f>
        <v>0</v>
      </c>
      <c r="D269" s="33"/>
      <c r="E269" s="42"/>
      <c r="F269" s="262" t="s">
        <v>14</v>
      </c>
      <c r="G269" s="263"/>
      <c r="H269" s="35">
        <f>VLOOKUP($K256,'임금대장(파트)'!$A$6:$AG$41,19,0)</f>
        <v>0</v>
      </c>
      <c r="I269" s="33"/>
      <c r="J269" s="34"/>
    </row>
    <row r="270" spans="1:13" ht="20.45" customHeight="1" x14ac:dyDescent="0.6">
      <c r="A270" s="252"/>
      <c r="B270" s="36" t="s">
        <v>98</v>
      </c>
      <c r="C270" s="35">
        <f>VLOOKUP($K256,'임금대장(파트)'!$A$6:$AG$41,26,0)</f>
        <v>0</v>
      </c>
      <c r="D270" s="36"/>
      <c r="E270" s="43"/>
      <c r="F270" s="258" t="s">
        <v>12</v>
      </c>
      <c r="G270" s="259"/>
      <c r="H270" s="35">
        <f>VLOOKUP($K256,'임금대장(파트)'!$A$6:$AG$41,17,0)</f>
        <v>0</v>
      </c>
      <c r="I270" s="36"/>
      <c r="J270" s="37"/>
    </row>
    <row r="271" spans="1:13" ht="20.45" customHeight="1" x14ac:dyDescent="0.6">
      <c r="A271" s="252"/>
      <c r="B271" s="36" t="s">
        <v>99</v>
      </c>
      <c r="C271" s="35">
        <f>VLOOKUP($K256,'임금대장(파트)'!$A$6:$AG$41,27,0)</f>
        <v>0</v>
      </c>
      <c r="D271" s="36"/>
      <c r="E271" s="44"/>
      <c r="F271" s="258" t="s">
        <v>171</v>
      </c>
      <c r="G271" s="259"/>
      <c r="H271" s="35">
        <f>VLOOKUP($K256,'임금대장(파트)'!$A$6:$AG$41,31,0)</f>
        <v>159800</v>
      </c>
      <c r="I271" s="36"/>
      <c r="J271" s="37"/>
    </row>
    <row r="272" spans="1:13" ht="20.45" customHeight="1" x14ac:dyDescent="0.6">
      <c r="A272" s="252"/>
      <c r="B272" s="36" t="s">
        <v>101</v>
      </c>
      <c r="C272" s="35">
        <f>VLOOKUP($K256,'임금대장(파트)'!$A$6:$AG$41,28,0)</f>
        <v>0</v>
      </c>
      <c r="D272" s="36"/>
      <c r="E272" s="43"/>
      <c r="F272" s="258" t="s">
        <v>102</v>
      </c>
      <c r="G272" s="259"/>
      <c r="H272" s="35">
        <f>VLOOKUP($K256,'임금대장(파트)'!$A$6:$AG$41,30,0)</f>
        <v>0</v>
      </c>
      <c r="I272" s="36"/>
      <c r="J272" s="37"/>
    </row>
    <row r="273" spans="1:13" ht="20.45" customHeight="1" x14ac:dyDescent="0.6">
      <c r="A273" s="252"/>
      <c r="B273" s="36" t="s">
        <v>31</v>
      </c>
      <c r="C273" s="35">
        <f>VLOOKUP($K256,'임금대장(파트)'!$A$6:$AG$41,29,0)</f>
        <v>0</v>
      </c>
      <c r="D273" s="36"/>
      <c r="E273" s="43"/>
      <c r="F273" s="45"/>
      <c r="G273" s="46"/>
      <c r="H273" s="36"/>
      <c r="I273" s="67" t="s">
        <v>103</v>
      </c>
      <c r="J273" s="47">
        <f>SUM(C269:H274)</f>
        <v>159800</v>
      </c>
    </row>
    <row r="274" spans="1:13" ht="20.45" customHeight="1" x14ac:dyDescent="0.6">
      <c r="A274" s="253"/>
      <c r="B274" s="40"/>
      <c r="C274" s="101"/>
      <c r="D274" s="40"/>
      <c r="E274" s="48"/>
      <c r="F274" s="260"/>
      <c r="G274" s="261"/>
      <c r="H274" s="40"/>
      <c r="I274" s="68" t="s">
        <v>104</v>
      </c>
      <c r="J274" s="49">
        <f>J268-J273</f>
        <v>0</v>
      </c>
    </row>
    <row r="275" spans="1:13" ht="20.45" customHeight="1" x14ac:dyDescent="0.6">
      <c r="A275" s="50" t="s">
        <v>105</v>
      </c>
      <c r="J275" s="51" t="s">
        <v>0</v>
      </c>
    </row>
    <row r="276" spans="1:13" ht="20.45" customHeight="1" x14ac:dyDescent="0.6">
      <c r="A276" s="50"/>
      <c r="J276" s="51"/>
    </row>
    <row r="277" spans="1:13" ht="20.45" customHeight="1" x14ac:dyDescent="0.6">
      <c r="A277" s="264" t="s">
        <v>170</v>
      </c>
      <c r="B277" s="264"/>
      <c r="C277" s="264"/>
      <c r="D277" s="264"/>
      <c r="E277" s="264"/>
      <c r="F277" s="264"/>
      <c r="G277" s="264"/>
      <c r="H277" s="264"/>
      <c r="I277" s="264"/>
      <c r="J277" s="264"/>
    </row>
    <row r="278" spans="1:13" ht="20.45" customHeight="1" x14ac:dyDescent="0.6">
      <c r="A278" s="286" t="s">
        <v>83</v>
      </c>
      <c r="B278" s="286"/>
      <c r="C278" s="286"/>
      <c r="D278" s="286" t="s">
        <v>84</v>
      </c>
      <c r="E278" s="286"/>
      <c r="F278" s="286" t="s">
        <v>85</v>
      </c>
      <c r="G278" s="286"/>
      <c r="H278" s="286"/>
      <c r="I278" s="286" t="s">
        <v>86</v>
      </c>
      <c r="J278" s="286"/>
    </row>
    <row r="279" spans="1:13" ht="20.45" customHeight="1" x14ac:dyDescent="0.6">
      <c r="A279" s="286" t="str">
        <f>VLOOKUP(K279,'임금대장(파트)'!$A$6:$AG$41,3,0)</f>
        <v>파트타임</v>
      </c>
      <c r="B279" s="286"/>
      <c r="C279" s="286"/>
      <c r="D279" s="287" t="str">
        <f>VLOOKUP(K279,'임금대장(파트)'!$A$6:$AG$41,2,0)</f>
        <v>임민경</v>
      </c>
      <c r="E279" s="287"/>
      <c r="F279" s="287">
        <f>'임금대장(파트)'!$O$3</f>
        <v>31</v>
      </c>
      <c r="G279" s="286"/>
      <c r="H279" s="286"/>
      <c r="I279" s="288">
        <f>VLOOKUP(K279,'임금대장(파트)'!$A$6:$AG$41,16,0)</f>
        <v>0</v>
      </c>
      <c r="J279" s="288"/>
      <c r="K279" s="30">
        <v>13</v>
      </c>
    </row>
    <row r="280" spans="1:13" ht="20.45" customHeight="1" x14ac:dyDescent="0.6">
      <c r="A280" s="286" t="s">
        <v>87</v>
      </c>
      <c r="B280" s="286"/>
      <c r="C280" s="286" t="s">
        <v>5</v>
      </c>
      <c r="D280" s="289">
        <f>VLOOKUP($K279,'임금대장(파트)'!$A$6:$AG$41,5,0)</f>
        <v>43831</v>
      </c>
      <c r="E280" s="289"/>
      <c r="F280" s="114" t="s">
        <v>88</v>
      </c>
      <c r="G280" s="358">
        <f>VLOOKUP(K279,'임금대장(파트)'!$A$6:$AG$41,15,0)</f>
        <v>31</v>
      </c>
      <c r="H280" s="358"/>
      <c r="I280" s="286" t="s">
        <v>89</v>
      </c>
      <c r="J280" s="290">
        <f>VLOOKUP(K279,'임금대장(파트)'!$A$6:$AG$41,17,0)</f>
        <v>0</v>
      </c>
    </row>
    <row r="281" spans="1:13" ht="20.45" customHeight="1" x14ac:dyDescent="0.6">
      <c r="A281" s="294">
        <f>VLOOKUP($K279,'임금대장(파트)'!$A$6:$AG$41,7,0)</f>
        <v>0</v>
      </c>
      <c r="B281" s="294"/>
      <c r="C281" s="286"/>
      <c r="D281" s="289"/>
      <c r="E281" s="289"/>
      <c r="F281" s="115" t="s">
        <v>90</v>
      </c>
      <c r="G281" s="359">
        <f>VLOOKUP(K279,'임금대장(파트)'!$A$6:$AG$41,16,0)</f>
        <v>0</v>
      </c>
      <c r="H281" s="359"/>
      <c r="I281" s="286"/>
      <c r="J281" s="290"/>
    </row>
    <row r="282" spans="1:13" ht="20.45" customHeight="1" x14ac:dyDescent="0.6">
      <c r="F282" s="250"/>
      <c r="G282" s="250"/>
      <c r="H282" s="32"/>
    </row>
    <row r="283" spans="1:13" ht="20.45" customHeight="1" x14ac:dyDescent="0.6">
      <c r="A283" s="251" t="s">
        <v>91</v>
      </c>
      <c r="B283" s="69" t="s">
        <v>20</v>
      </c>
      <c r="C283" s="25">
        <f>VLOOKUP($K279,'임금대장(파트)'!$A$6:$AG$41,9,0)</f>
        <v>42300</v>
      </c>
      <c r="D283" s="33"/>
      <c r="E283" s="69"/>
      <c r="F283" s="254"/>
      <c r="G283" s="255"/>
      <c r="H283" s="25"/>
      <c r="I283" s="33"/>
      <c r="J283" s="34"/>
    </row>
    <row r="284" spans="1:13" ht="20.45" customHeight="1" x14ac:dyDescent="0.6">
      <c r="A284" s="252"/>
      <c r="B284" s="67" t="s">
        <v>21</v>
      </c>
      <c r="C284" s="35">
        <f>VLOOKUP($K279,'임금대장(파트)'!$A$6:$AG$41,10,0)</f>
        <v>0</v>
      </c>
      <c r="D284" s="36"/>
      <c r="E284" s="67"/>
      <c r="F284" s="256"/>
      <c r="G284" s="257"/>
      <c r="H284" s="35"/>
      <c r="I284" s="36"/>
      <c r="J284" s="37"/>
    </row>
    <row r="285" spans="1:13" ht="20.45" customHeight="1" x14ac:dyDescent="0.6">
      <c r="A285" s="252"/>
      <c r="B285" s="52" t="s">
        <v>92</v>
      </c>
      <c r="C285" s="35">
        <f>VLOOKUP($K279,'임금대장(파트)'!$A$6:$AG$41,11,0)</f>
        <v>0</v>
      </c>
      <c r="D285" s="36"/>
      <c r="E285" s="67"/>
      <c r="F285" s="256"/>
      <c r="G285" s="257"/>
      <c r="H285" s="35"/>
      <c r="I285" s="36"/>
      <c r="J285" s="37"/>
      <c r="L285" s="38"/>
      <c r="M285" s="38"/>
    </row>
    <row r="286" spans="1:13" ht="20.45" customHeight="1" x14ac:dyDescent="0.6">
      <c r="A286" s="252"/>
      <c r="B286" s="67" t="s">
        <v>115</v>
      </c>
      <c r="C286" s="35">
        <f>VLOOKUP($K279,'임금대장(파트)'!$A$6:$AG$41,12,0)</f>
        <v>0</v>
      </c>
      <c r="D286" s="36"/>
      <c r="E286" s="67"/>
      <c r="F286" s="256"/>
      <c r="G286" s="257"/>
      <c r="H286" s="35"/>
      <c r="I286" s="36"/>
      <c r="J286" s="37"/>
    </row>
    <row r="287" spans="1:13" ht="20.45" customHeight="1" x14ac:dyDescent="0.6">
      <c r="A287" s="252"/>
      <c r="B287" s="67" t="s">
        <v>94</v>
      </c>
      <c r="C287" s="35">
        <f>VLOOKUP($K279,'임금대장(파트)'!$A$6:$AG$41,13,0)</f>
        <v>0</v>
      </c>
      <c r="D287" s="36"/>
      <c r="E287" s="36"/>
      <c r="F287" s="258"/>
      <c r="G287" s="259"/>
      <c r="H287" s="35"/>
      <c r="I287" s="36"/>
      <c r="J287" s="37"/>
    </row>
    <row r="288" spans="1:13" ht="20.45" customHeight="1" x14ac:dyDescent="0.6">
      <c r="A288" s="252"/>
      <c r="B288" s="67" t="s">
        <v>24</v>
      </c>
      <c r="C288" s="102">
        <f>VLOOKUP($K279,'임금대장(파트)'!$A$6:$AG$41,14,0)</f>
        <v>0</v>
      </c>
      <c r="D288" s="36"/>
      <c r="E288" s="36"/>
      <c r="F288" s="258"/>
      <c r="G288" s="259"/>
      <c r="H288" s="35"/>
      <c r="I288" s="36"/>
      <c r="J288" s="37"/>
    </row>
    <row r="289" spans="1:11" ht="20.45" customHeight="1" x14ac:dyDescent="0.6">
      <c r="A289" s="252"/>
      <c r="B289" s="67"/>
      <c r="C289" s="35"/>
      <c r="D289" s="36"/>
      <c r="E289" s="36"/>
      <c r="F289" s="258"/>
      <c r="G289" s="259"/>
      <c r="H289" s="35"/>
      <c r="I289" s="36"/>
      <c r="J289" s="37"/>
    </row>
    <row r="290" spans="1:11" ht="20.45" customHeight="1" x14ac:dyDescent="0.6">
      <c r="A290" s="252"/>
      <c r="B290" s="67"/>
      <c r="C290" s="35"/>
      <c r="D290" s="36"/>
      <c r="E290" s="36"/>
      <c r="F290" s="258"/>
      <c r="G290" s="259"/>
      <c r="H290" s="35"/>
      <c r="I290" s="36"/>
      <c r="J290" s="37"/>
    </row>
    <row r="291" spans="1:11" ht="20.45" customHeight="1" x14ac:dyDescent="0.6">
      <c r="A291" s="253"/>
      <c r="B291" s="68"/>
      <c r="C291" s="39"/>
      <c r="D291" s="40"/>
      <c r="E291" s="40"/>
      <c r="F291" s="260"/>
      <c r="G291" s="261"/>
      <c r="H291" s="39"/>
      <c r="I291" s="68" t="s">
        <v>95</v>
      </c>
      <c r="J291" s="41">
        <f>SUM(C283:H289)</f>
        <v>42300</v>
      </c>
    </row>
    <row r="292" spans="1:11" ht="20.45" customHeight="1" x14ac:dyDescent="0.6">
      <c r="A292" s="251" t="s">
        <v>96</v>
      </c>
      <c r="B292" s="36" t="s">
        <v>97</v>
      </c>
      <c r="C292" s="35">
        <f>VLOOKUP($K279,'임금대장(파트)'!$A$6:$AG$41,25,0)</f>
        <v>0</v>
      </c>
      <c r="D292" s="33"/>
      <c r="E292" s="42"/>
      <c r="F292" s="262" t="s">
        <v>14</v>
      </c>
      <c r="G292" s="263"/>
      <c r="H292" s="35">
        <f>VLOOKUP($K279,'임금대장(파트)'!$A$6:$AG$41,19,0)</f>
        <v>0</v>
      </c>
      <c r="I292" s="33"/>
      <c r="J292" s="34"/>
    </row>
    <row r="293" spans="1:11" ht="20.45" customHeight="1" x14ac:dyDescent="0.6">
      <c r="A293" s="252"/>
      <c r="B293" s="36" t="s">
        <v>98</v>
      </c>
      <c r="C293" s="35">
        <f>VLOOKUP($K279,'임금대장(파트)'!$A$6:$AG$41,26,0)</f>
        <v>0</v>
      </c>
      <c r="D293" s="36"/>
      <c r="E293" s="43"/>
      <c r="F293" s="258" t="s">
        <v>12</v>
      </c>
      <c r="G293" s="259"/>
      <c r="H293" s="35">
        <f>VLOOKUP($K279,'임금대장(파트)'!$A$6:$AG$41,17,0)</f>
        <v>0</v>
      </c>
      <c r="I293" s="36"/>
      <c r="J293" s="37"/>
    </row>
    <row r="294" spans="1:11" ht="20.45" customHeight="1" x14ac:dyDescent="0.6">
      <c r="A294" s="252"/>
      <c r="B294" s="36" t="s">
        <v>99</v>
      </c>
      <c r="C294" s="35">
        <f>VLOOKUP($K279,'임금대장(파트)'!$A$6:$AG$41,27,0)</f>
        <v>0</v>
      </c>
      <c r="D294" s="36"/>
      <c r="E294" s="44"/>
      <c r="F294" s="258" t="s">
        <v>171</v>
      </c>
      <c r="G294" s="259"/>
      <c r="H294" s="35">
        <f>VLOOKUP($K279,'임금대장(파트)'!$A$6:$AG$41,31,0)</f>
        <v>42300</v>
      </c>
      <c r="I294" s="36"/>
      <c r="J294" s="37"/>
    </row>
    <row r="295" spans="1:11" ht="20.45" customHeight="1" x14ac:dyDescent="0.6">
      <c r="A295" s="252"/>
      <c r="B295" s="36" t="s">
        <v>101</v>
      </c>
      <c r="C295" s="35">
        <f>VLOOKUP($K279,'임금대장(파트)'!$A$6:$AG$41,28,0)</f>
        <v>0</v>
      </c>
      <c r="D295" s="36"/>
      <c r="E295" s="43"/>
      <c r="F295" s="258" t="s">
        <v>102</v>
      </c>
      <c r="G295" s="259"/>
      <c r="H295" s="35">
        <f>VLOOKUP($K279,'임금대장(파트)'!$A$6:$AG$41,30,0)</f>
        <v>0</v>
      </c>
      <c r="I295" s="36"/>
      <c r="J295" s="37"/>
    </row>
    <row r="296" spans="1:11" ht="20.45" customHeight="1" x14ac:dyDescent="0.6">
      <c r="A296" s="252"/>
      <c r="B296" s="36" t="s">
        <v>31</v>
      </c>
      <c r="C296" s="35">
        <f>VLOOKUP($K279,'임금대장(파트)'!$A$6:$AG$41,29,0)</f>
        <v>0</v>
      </c>
      <c r="D296" s="36"/>
      <c r="E296" s="43"/>
      <c r="F296" s="45"/>
      <c r="G296" s="46"/>
      <c r="H296" s="36"/>
      <c r="I296" s="67" t="s">
        <v>103</v>
      </c>
      <c r="J296" s="47">
        <f>SUM(C292:H297)</f>
        <v>42300</v>
      </c>
    </row>
    <row r="297" spans="1:11" ht="20.45" customHeight="1" x14ac:dyDescent="0.6">
      <c r="A297" s="253"/>
      <c r="B297" s="40"/>
      <c r="C297" s="101"/>
      <c r="D297" s="40"/>
      <c r="E297" s="48"/>
      <c r="F297" s="260"/>
      <c r="G297" s="261"/>
      <c r="H297" s="40"/>
      <c r="I297" s="68" t="s">
        <v>104</v>
      </c>
      <c r="J297" s="49">
        <f>J291-J296</f>
        <v>0</v>
      </c>
    </row>
    <row r="298" spans="1:11" ht="20.45" customHeight="1" x14ac:dyDescent="0.6">
      <c r="A298" s="50" t="s">
        <v>105</v>
      </c>
      <c r="J298" s="51" t="s">
        <v>0</v>
      </c>
    </row>
    <row r="299" spans="1:11" ht="20.45" customHeight="1" x14ac:dyDescent="0.6">
      <c r="A299" s="50"/>
      <c r="J299" s="51"/>
    </row>
    <row r="300" spans="1:11" ht="20.45" customHeight="1" x14ac:dyDescent="0.6">
      <c r="A300" s="264" t="s">
        <v>170</v>
      </c>
      <c r="B300" s="264"/>
      <c r="C300" s="264"/>
      <c r="D300" s="264"/>
      <c r="E300" s="264"/>
      <c r="F300" s="264"/>
      <c r="G300" s="264"/>
      <c r="H300" s="264"/>
      <c r="I300" s="264"/>
      <c r="J300" s="264"/>
    </row>
    <row r="301" spans="1:11" ht="20.45" customHeight="1" x14ac:dyDescent="0.6">
      <c r="A301" s="286" t="s">
        <v>83</v>
      </c>
      <c r="B301" s="286"/>
      <c r="C301" s="286"/>
      <c r="D301" s="286" t="s">
        <v>84</v>
      </c>
      <c r="E301" s="286"/>
      <c r="F301" s="286" t="s">
        <v>85</v>
      </c>
      <c r="G301" s="286"/>
      <c r="H301" s="286"/>
      <c r="I301" s="286" t="s">
        <v>86</v>
      </c>
      <c r="J301" s="286"/>
    </row>
    <row r="302" spans="1:11" ht="20.45" customHeight="1" x14ac:dyDescent="0.6">
      <c r="A302" s="286" t="str">
        <f>VLOOKUP(K302,'임금대장(파트)'!$A$6:$AG$41,3,0)</f>
        <v>파트타임</v>
      </c>
      <c r="B302" s="286"/>
      <c r="C302" s="286"/>
      <c r="D302" s="287" t="str">
        <f>VLOOKUP(K302,'임금대장(파트)'!$A$6:$AG$41,2,0)</f>
        <v>임형준</v>
      </c>
      <c r="E302" s="287"/>
      <c r="F302" s="287">
        <f>'임금대장(파트)'!$O$3</f>
        <v>31</v>
      </c>
      <c r="G302" s="286"/>
      <c r="H302" s="286"/>
      <c r="I302" s="288">
        <f>VLOOKUP(K302,'임금대장(파트)'!$A$6:$AG$41,16,0)</f>
        <v>0</v>
      </c>
      <c r="J302" s="288"/>
      <c r="K302" s="30">
        <v>14</v>
      </c>
    </row>
    <row r="303" spans="1:11" ht="20.45" customHeight="1" x14ac:dyDescent="0.6">
      <c r="A303" s="286" t="s">
        <v>87</v>
      </c>
      <c r="B303" s="286"/>
      <c r="C303" s="286" t="s">
        <v>5</v>
      </c>
      <c r="D303" s="289">
        <f>VLOOKUP($K302,'임금대장(파트)'!$A$6:$AG$41,5,0)</f>
        <v>43831</v>
      </c>
      <c r="E303" s="289"/>
      <c r="F303" s="114" t="s">
        <v>88</v>
      </c>
      <c r="G303" s="358">
        <f>VLOOKUP(K302,'임금대장(파트)'!$A$6:$AG$41,15,0)</f>
        <v>31</v>
      </c>
      <c r="H303" s="358"/>
      <c r="I303" s="286" t="s">
        <v>89</v>
      </c>
      <c r="J303" s="290">
        <f>VLOOKUP(K302,'임금대장(파트)'!$A$6:$AG$41,17,0)</f>
        <v>0</v>
      </c>
    </row>
    <row r="304" spans="1:11" ht="20.45" customHeight="1" x14ac:dyDescent="0.6">
      <c r="A304" s="294">
        <f>VLOOKUP($K302,'임금대장(파트)'!$A$6:$AG$41,7,0)</f>
        <v>0</v>
      </c>
      <c r="B304" s="294"/>
      <c r="C304" s="286"/>
      <c r="D304" s="289"/>
      <c r="E304" s="289"/>
      <c r="F304" s="115" t="s">
        <v>90</v>
      </c>
      <c r="G304" s="359">
        <f>VLOOKUP(K302,'임금대장(파트)'!$A$6:$AG$41,16,0)</f>
        <v>0</v>
      </c>
      <c r="H304" s="359"/>
      <c r="I304" s="286"/>
      <c r="J304" s="290"/>
    </row>
    <row r="305" spans="1:13" ht="20.45" customHeight="1" x14ac:dyDescent="0.6">
      <c r="F305" s="250"/>
      <c r="G305" s="250"/>
      <c r="H305" s="32"/>
    </row>
    <row r="306" spans="1:13" ht="20.45" customHeight="1" x14ac:dyDescent="0.6">
      <c r="A306" s="251" t="s">
        <v>91</v>
      </c>
      <c r="B306" s="69" t="s">
        <v>20</v>
      </c>
      <c r="C306" s="25">
        <f>VLOOKUP($K302,'임금대장(파트)'!$A$6:$AG$41,9,0)</f>
        <v>432400</v>
      </c>
      <c r="D306" s="33"/>
      <c r="E306" s="69"/>
      <c r="F306" s="254"/>
      <c r="G306" s="255"/>
      <c r="H306" s="25"/>
      <c r="I306" s="33"/>
      <c r="J306" s="34"/>
    </row>
    <row r="307" spans="1:13" ht="20.45" customHeight="1" x14ac:dyDescent="0.6">
      <c r="A307" s="252"/>
      <c r="B307" s="67" t="s">
        <v>21</v>
      </c>
      <c r="C307" s="35">
        <f>VLOOKUP($K302,'임금대장(파트)'!$A$6:$AG$41,10,0)</f>
        <v>0</v>
      </c>
      <c r="D307" s="36"/>
      <c r="E307" s="67"/>
      <c r="F307" s="256"/>
      <c r="G307" s="257"/>
      <c r="H307" s="35"/>
      <c r="I307" s="36"/>
      <c r="J307" s="37"/>
    </row>
    <row r="308" spans="1:13" ht="20.45" customHeight="1" x14ac:dyDescent="0.6">
      <c r="A308" s="252"/>
      <c r="B308" s="52" t="s">
        <v>92</v>
      </c>
      <c r="C308" s="35">
        <f>VLOOKUP($K302,'임금대장(파트)'!$A$6:$AG$41,11,0)</f>
        <v>0</v>
      </c>
      <c r="D308" s="36"/>
      <c r="E308" s="67"/>
      <c r="F308" s="256"/>
      <c r="G308" s="257"/>
      <c r="H308" s="35"/>
      <c r="I308" s="36"/>
      <c r="J308" s="37"/>
      <c r="L308" s="38"/>
      <c r="M308" s="38"/>
    </row>
    <row r="309" spans="1:13" ht="20.45" customHeight="1" x14ac:dyDescent="0.6">
      <c r="A309" s="252"/>
      <c r="B309" s="67" t="s">
        <v>115</v>
      </c>
      <c r="C309" s="35">
        <f>VLOOKUP($K302,'임금대장(파트)'!$A$6:$AG$41,12,0)</f>
        <v>0</v>
      </c>
      <c r="D309" s="36"/>
      <c r="E309" s="67"/>
      <c r="F309" s="256"/>
      <c r="G309" s="257"/>
      <c r="H309" s="35"/>
      <c r="I309" s="36"/>
      <c r="J309" s="37"/>
    </row>
    <row r="310" spans="1:13" ht="20.45" customHeight="1" x14ac:dyDescent="0.6">
      <c r="A310" s="252"/>
      <c r="B310" s="67" t="s">
        <v>94</v>
      </c>
      <c r="C310" s="35">
        <f>VLOOKUP($K302,'임금대장(파트)'!$A$6:$AG$41,13,0)</f>
        <v>0</v>
      </c>
      <c r="D310" s="36"/>
      <c r="E310" s="36"/>
      <c r="F310" s="258"/>
      <c r="G310" s="259"/>
      <c r="H310" s="35"/>
      <c r="I310" s="36"/>
      <c r="J310" s="37"/>
    </row>
    <row r="311" spans="1:13" ht="20.45" customHeight="1" x14ac:dyDescent="0.6">
      <c r="A311" s="252"/>
      <c r="B311" s="67" t="s">
        <v>24</v>
      </c>
      <c r="C311" s="102">
        <f>VLOOKUP($K302,'임금대장(파트)'!$A$6:$AG$41,14,0)</f>
        <v>0</v>
      </c>
      <c r="D311" s="36"/>
      <c r="E311" s="36"/>
      <c r="F311" s="258"/>
      <c r="G311" s="259"/>
      <c r="H311" s="35"/>
      <c r="I311" s="36"/>
      <c r="J311" s="37"/>
    </row>
    <row r="312" spans="1:13" ht="20.45" customHeight="1" x14ac:dyDescent="0.6">
      <c r="A312" s="252"/>
      <c r="B312" s="67"/>
      <c r="C312" s="35"/>
      <c r="D312" s="36"/>
      <c r="E312" s="36"/>
      <c r="F312" s="258"/>
      <c r="G312" s="259"/>
      <c r="H312" s="35"/>
      <c r="I312" s="36"/>
      <c r="J312" s="37"/>
    </row>
    <row r="313" spans="1:13" ht="20.45" customHeight="1" x14ac:dyDescent="0.6">
      <c r="A313" s="252"/>
      <c r="B313" s="67"/>
      <c r="C313" s="35"/>
      <c r="D313" s="36"/>
      <c r="E313" s="36"/>
      <c r="F313" s="258"/>
      <c r="G313" s="259"/>
      <c r="H313" s="35"/>
      <c r="I313" s="36"/>
      <c r="J313" s="37"/>
    </row>
    <row r="314" spans="1:13" ht="20.45" customHeight="1" x14ac:dyDescent="0.6">
      <c r="A314" s="253"/>
      <c r="B314" s="68"/>
      <c r="C314" s="39"/>
      <c r="D314" s="40"/>
      <c r="E314" s="40"/>
      <c r="F314" s="260"/>
      <c r="G314" s="261"/>
      <c r="H314" s="39"/>
      <c r="I314" s="68" t="s">
        <v>95</v>
      </c>
      <c r="J314" s="41">
        <f>SUM(C306:H312)</f>
        <v>432400</v>
      </c>
    </row>
    <row r="315" spans="1:13" ht="20.45" customHeight="1" x14ac:dyDescent="0.6">
      <c r="A315" s="251" t="s">
        <v>96</v>
      </c>
      <c r="B315" s="36" t="s">
        <v>97</v>
      </c>
      <c r="C315" s="35">
        <f>VLOOKUP($K302,'임금대장(파트)'!$A$6:$AG$41,25,0)</f>
        <v>0</v>
      </c>
      <c r="D315" s="33"/>
      <c r="E315" s="42"/>
      <c r="F315" s="262" t="s">
        <v>14</v>
      </c>
      <c r="G315" s="263"/>
      <c r="H315" s="35">
        <f>VLOOKUP($K302,'임금대장(파트)'!$A$6:$AG$41,19,0)</f>
        <v>0</v>
      </c>
      <c r="I315" s="33"/>
      <c r="J315" s="34"/>
    </row>
    <row r="316" spans="1:13" ht="20.45" customHeight="1" x14ac:dyDescent="0.6">
      <c r="A316" s="252"/>
      <c r="B316" s="36" t="s">
        <v>98</v>
      </c>
      <c r="C316" s="35">
        <f>VLOOKUP($K302,'임금대장(파트)'!$A$6:$AG$41,26,0)</f>
        <v>0</v>
      </c>
      <c r="D316" s="36"/>
      <c r="E316" s="43"/>
      <c r="F316" s="258" t="s">
        <v>12</v>
      </c>
      <c r="G316" s="259"/>
      <c r="H316" s="35">
        <f>VLOOKUP($K302,'임금대장(파트)'!$A$6:$AG$41,17,0)</f>
        <v>0</v>
      </c>
      <c r="I316" s="36"/>
      <c r="J316" s="37"/>
    </row>
    <row r="317" spans="1:13" ht="20.45" customHeight="1" x14ac:dyDescent="0.6">
      <c r="A317" s="252"/>
      <c r="B317" s="36" t="s">
        <v>99</v>
      </c>
      <c r="C317" s="35">
        <f>VLOOKUP($K302,'임금대장(파트)'!$A$6:$AG$41,27,0)</f>
        <v>0</v>
      </c>
      <c r="D317" s="36"/>
      <c r="E317" s="44"/>
      <c r="F317" s="258" t="s">
        <v>171</v>
      </c>
      <c r="G317" s="259"/>
      <c r="H317" s="35">
        <f>VLOOKUP($K302,'임금대장(파트)'!$A$6:$AG$41,31,0)</f>
        <v>333700</v>
      </c>
      <c r="I317" s="36"/>
      <c r="J317" s="37"/>
    </row>
    <row r="318" spans="1:13" ht="20.45" customHeight="1" x14ac:dyDescent="0.6">
      <c r="A318" s="252"/>
      <c r="B318" s="36" t="s">
        <v>101</v>
      </c>
      <c r="C318" s="35">
        <f>VLOOKUP($K302,'임금대장(파트)'!$A$6:$AG$41,28,0)</f>
        <v>0</v>
      </c>
      <c r="D318" s="36"/>
      <c r="E318" s="43"/>
      <c r="F318" s="258" t="s">
        <v>102</v>
      </c>
      <c r="G318" s="259"/>
      <c r="H318" s="35">
        <f>VLOOKUP($K302,'임금대장(파트)'!$A$6:$AG$41,30,0)</f>
        <v>3450</v>
      </c>
      <c r="I318" s="36"/>
      <c r="J318" s="37"/>
    </row>
    <row r="319" spans="1:13" ht="20.45" customHeight="1" x14ac:dyDescent="0.6">
      <c r="A319" s="252"/>
      <c r="B319" s="36" t="s">
        <v>31</v>
      </c>
      <c r="C319" s="35">
        <f>VLOOKUP($K302,'임금대장(파트)'!$A$6:$AG$41,29,0)</f>
        <v>0</v>
      </c>
      <c r="D319" s="36"/>
      <c r="E319" s="43"/>
      <c r="F319" s="45"/>
      <c r="G319" s="46"/>
      <c r="H319" s="36"/>
      <c r="I319" s="67" t="s">
        <v>103</v>
      </c>
      <c r="J319" s="47">
        <f>SUM(C315:H320)</f>
        <v>337150</v>
      </c>
    </row>
    <row r="320" spans="1:13" ht="20.45" customHeight="1" x14ac:dyDescent="0.6">
      <c r="A320" s="253"/>
      <c r="B320" s="40"/>
      <c r="C320" s="101"/>
      <c r="D320" s="40"/>
      <c r="E320" s="48"/>
      <c r="F320" s="260"/>
      <c r="G320" s="261"/>
      <c r="H320" s="40"/>
      <c r="I320" s="68" t="s">
        <v>104</v>
      </c>
      <c r="J320" s="49">
        <f>J314-J319</f>
        <v>95250</v>
      </c>
    </row>
    <row r="321" spans="1:13" ht="20.45" customHeight="1" x14ac:dyDescent="0.6">
      <c r="A321" s="50" t="s">
        <v>105</v>
      </c>
      <c r="J321" s="51" t="s">
        <v>0</v>
      </c>
    </row>
    <row r="322" spans="1:13" ht="20.45" customHeight="1" x14ac:dyDescent="0.6">
      <c r="A322" s="50"/>
      <c r="J322" s="51"/>
    </row>
    <row r="323" spans="1:13" ht="20.45" customHeight="1" x14ac:dyDescent="0.6">
      <c r="A323" s="264" t="s">
        <v>170</v>
      </c>
      <c r="B323" s="264"/>
      <c r="C323" s="264"/>
      <c r="D323" s="264"/>
      <c r="E323" s="264"/>
      <c r="F323" s="264"/>
      <c r="G323" s="264"/>
      <c r="H323" s="264"/>
      <c r="I323" s="264"/>
      <c r="J323" s="264"/>
    </row>
    <row r="324" spans="1:13" ht="20.45" customHeight="1" x14ac:dyDescent="0.6">
      <c r="A324" s="286" t="s">
        <v>83</v>
      </c>
      <c r="B324" s="286"/>
      <c r="C324" s="286"/>
      <c r="D324" s="286" t="s">
        <v>84</v>
      </c>
      <c r="E324" s="286"/>
      <c r="F324" s="286" t="s">
        <v>85</v>
      </c>
      <c r="G324" s="286"/>
      <c r="H324" s="286"/>
      <c r="I324" s="286" t="s">
        <v>86</v>
      </c>
      <c r="J324" s="286"/>
    </row>
    <row r="325" spans="1:13" ht="20.45" customHeight="1" x14ac:dyDescent="0.6">
      <c r="A325" s="286" t="str">
        <f>VLOOKUP(K325,'임금대장(파트)'!$A$6:$AG$41,3,0)</f>
        <v>파트타임</v>
      </c>
      <c r="B325" s="286"/>
      <c r="C325" s="286"/>
      <c r="D325" s="287" t="str">
        <f>VLOOKUP(K325,'임금대장(파트)'!$A$6:$AG$41,2,0)</f>
        <v>최은영</v>
      </c>
      <c r="E325" s="287"/>
      <c r="F325" s="287">
        <f>'임금대장(파트)'!$O$3</f>
        <v>31</v>
      </c>
      <c r="G325" s="286"/>
      <c r="H325" s="286"/>
      <c r="I325" s="288">
        <f>VLOOKUP(K325,'임금대장(파트)'!$A$6:$AG$41,16,0)</f>
        <v>0</v>
      </c>
      <c r="J325" s="288"/>
      <c r="K325" s="30">
        <v>15</v>
      </c>
    </row>
    <row r="326" spans="1:13" ht="20.45" customHeight="1" x14ac:dyDescent="0.6">
      <c r="A326" s="286" t="s">
        <v>87</v>
      </c>
      <c r="B326" s="286"/>
      <c r="C326" s="286" t="s">
        <v>5</v>
      </c>
      <c r="D326" s="289">
        <f>VLOOKUP($K325,'임금대장(파트)'!$A$6:$AG$41,5,0)</f>
        <v>43831</v>
      </c>
      <c r="E326" s="289"/>
      <c r="F326" s="114" t="s">
        <v>88</v>
      </c>
      <c r="G326" s="358">
        <f>VLOOKUP(K325,'임금대장(파트)'!$A$6:$AG$41,15,0)</f>
        <v>31</v>
      </c>
      <c r="H326" s="358"/>
      <c r="I326" s="286" t="s">
        <v>89</v>
      </c>
      <c r="J326" s="290">
        <f>VLOOKUP(K325,'임금대장(파트)'!$A$6:$AG$41,17,0)</f>
        <v>0</v>
      </c>
    </row>
    <row r="327" spans="1:13" ht="20.45" customHeight="1" x14ac:dyDescent="0.6">
      <c r="A327" s="294">
        <f>VLOOKUP($K325,'임금대장(파트)'!$A$6:$AG$41,7,0)</f>
        <v>0</v>
      </c>
      <c r="B327" s="294"/>
      <c r="C327" s="286"/>
      <c r="D327" s="289"/>
      <c r="E327" s="289"/>
      <c r="F327" s="115" t="s">
        <v>90</v>
      </c>
      <c r="G327" s="359">
        <f>VLOOKUP(K325,'임금대장(파트)'!$A$6:$AG$41,16,0)</f>
        <v>0</v>
      </c>
      <c r="H327" s="359"/>
      <c r="I327" s="286"/>
      <c r="J327" s="290"/>
    </row>
    <row r="328" spans="1:13" ht="20.45" customHeight="1" x14ac:dyDescent="0.6">
      <c r="F328" s="250"/>
      <c r="G328" s="250"/>
      <c r="H328" s="32"/>
    </row>
    <row r="329" spans="1:13" ht="20.45" customHeight="1" x14ac:dyDescent="0.6">
      <c r="A329" s="251" t="s">
        <v>91</v>
      </c>
      <c r="B329" s="69" t="s">
        <v>20</v>
      </c>
      <c r="C329" s="25">
        <f>VLOOKUP($K325,'임금대장(파트)'!$A$6:$AG$41,9,0)</f>
        <v>61100</v>
      </c>
      <c r="D329" s="33"/>
      <c r="E329" s="69"/>
      <c r="F329" s="254"/>
      <c r="G329" s="255"/>
      <c r="H329" s="25"/>
      <c r="I329" s="33"/>
      <c r="J329" s="34"/>
    </row>
    <row r="330" spans="1:13" ht="20.45" customHeight="1" x14ac:dyDescent="0.6">
      <c r="A330" s="252"/>
      <c r="B330" s="67" t="s">
        <v>21</v>
      </c>
      <c r="C330" s="35">
        <f>VLOOKUP($K325,'임금대장(파트)'!$A$6:$AG$41,10,0)</f>
        <v>0</v>
      </c>
      <c r="D330" s="36"/>
      <c r="E330" s="67"/>
      <c r="F330" s="256"/>
      <c r="G330" s="257"/>
      <c r="H330" s="35"/>
      <c r="I330" s="36"/>
      <c r="J330" s="37"/>
    </row>
    <row r="331" spans="1:13" ht="20.45" customHeight="1" x14ac:dyDescent="0.6">
      <c r="A331" s="252"/>
      <c r="B331" s="52" t="s">
        <v>92</v>
      </c>
      <c r="C331" s="35">
        <f>VLOOKUP($K325,'임금대장(파트)'!$A$6:$AG$41,11,0)</f>
        <v>0</v>
      </c>
      <c r="D331" s="36"/>
      <c r="E331" s="67"/>
      <c r="F331" s="256"/>
      <c r="G331" s="257"/>
      <c r="H331" s="35"/>
      <c r="I331" s="36"/>
      <c r="J331" s="37"/>
      <c r="L331" s="38"/>
      <c r="M331" s="38"/>
    </row>
    <row r="332" spans="1:13" ht="20.45" customHeight="1" x14ac:dyDescent="0.6">
      <c r="A332" s="252"/>
      <c r="B332" s="67" t="s">
        <v>115</v>
      </c>
      <c r="C332" s="35">
        <f>VLOOKUP($K325,'임금대장(파트)'!$A$6:$AG$41,12,0)</f>
        <v>0</v>
      </c>
      <c r="D332" s="36"/>
      <c r="E332" s="67"/>
      <c r="F332" s="256"/>
      <c r="G332" s="257"/>
      <c r="H332" s="35"/>
      <c r="I332" s="36"/>
      <c r="J332" s="37"/>
    </row>
    <row r="333" spans="1:13" ht="20.45" customHeight="1" x14ac:dyDescent="0.6">
      <c r="A333" s="252"/>
      <c r="B333" s="67" t="s">
        <v>94</v>
      </c>
      <c r="C333" s="35">
        <f>VLOOKUP($K325,'임금대장(파트)'!$A$6:$AG$41,13,0)</f>
        <v>0</v>
      </c>
      <c r="D333" s="36"/>
      <c r="E333" s="36"/>
      <c r="F333" s="258"/>
      <c r="G333" s="259"/>
      <c r="H333" s="35"/>
      <c r="I333" s="36"/>
      <c r="J333" s="37"/>
    </row>
    <row r="334" spans="1:13" ht="20.45" customHeight="1" x14ac:dyDescent="0.6">
      <c r="A334" s="252"/>
      <c r="B334" s="67" t="s">
        <v>24</v>
      </c>
      <c r="C334" s="102">
        <f>VLOOKUP($K325,'임금대장(파트)'!$A$6:$AG$41,14,0)</f>
        <v>0</v>
      </c>
      <c r="D334" s="36"/>
      <c r="E334" s="36"/>
      <c r="F334" s="258"/>
      <c r="G334" s="259"/>
      <c r="H334" s="35"/>
      <c r="I334" s="36"/>
      <c r="J334" s="37"/>
    </row>
    <row r="335" spans="1:13" ht="20.45" customHeight="1" x14ac:dyDescent="0.6">
      <c r="A335" s="252"/>
      <c r="B335" s="67"/>
      <c r="C335" s="35"/>
      <c r="D335" s="36"/>
      <c r="E335" s="36"/>
      <c r="F335" s="258"/>
      <c r="G335" s="259"/>
      <c r="H335" s="35"/>
      <c r="I335" s="36"/>
      <c r="J335" s="37"/>
    </row>
    <row r="336" spans="1:13" ht="20.45" customHeight="1" x14ac:dyDescent="0.6">
      <c r="A336" s="252"/>
      <c r="B336" s="67"/>
      <c r="C336" s="35"/>
      <c r="D336" s="36"/>
      <c r="E336" s="36"/>
      <c r="F336" s="258"/>
      <c r="G336" s="259"/>
      <c r="H336" s="35"/>
      <c r="I336" s="36"/>
      <c r="J336" s="37"/>
    </row>
    <row r="337" spans="1:11" ht="20.45" customHeight="1" x14ac:dyDescent="0.6">
      <c r="A337" s="253"/>
      <c r="B337" s="68"/>
      <c r="C337" s="39"/>
      <c r="D337" s="40"/>
      <c r="E337" s="40"/>
      <c r="F337" s="260"/>
      <c r="G337" s="261"/>
      <c r="H337" s="39"/>
      <c r="I337" s="68" t="s">
        <v>95</v>
      </c>
      <c r="J337" s="41">
        <f>SUM(C329:H335)</f>
        <v>61100</v>
      </c>
    </row>
    <row r="338" spans="1:11" ht="20.45" customHeight="1" x14ac:dyDescent="0.6">
      <c r="A338" s="251" t="s">
        <v>96</v>
      </c>
      <c r="B338" s="36" t="s">
        <v>97</v>
      </c>
      <c r="C338" s="35">
        <f>VLOOKUP($K325,'임금대장(파트)'!$A$6:$AG$41,25,0)</f>
        <v>0</v>
      </c>
      <c r="D338" s="33"/>
      <c r="E338" s="42"/>
      <c r="F338" s="262" t="s">
        <v>14</v>
      </c>
      <c r="G338" s="263"/>
      <c r="H338" s="35">
        <f>VLOOKUP($K325,'임금대장(파트)'!$A$6:$AG$41,19,0)</f>
        <v>0</v>
      </c>
      <c r="I338" s="33"/>
      <c r="J338" s="34"/>
    </row>
    <row r="339" spans="1:11" ht="20.45" customHeight="1" x14ac:dyDescent="0.6">
      <c r="A339" s="252"/>
      <c r="B339" s="36" t="s">
        <v>98</v>
      </c>
      <c r="C339" s="35">
        <f>VLOOKUP($K325,'임금대장(파트)'!$A$6:$AG$41,26,0)</f>
        <v>0</v>
      </c>
      <c r="D339" s="36"/>
      <c r="E339" s="43"/>
      <c r="F339" s="258" t="s">
        <v>12</v>
      </c>
      <c r="G339" s="259"/>
      <c r="H339" s="35">
        <f>VLOOKUP($K325,'임금대장(파트)'!$A$6:$AG$41,17,0)</f>
        <v>0</v>
      </c>
      <c r="I339" s="36"/>
      <c r="J339" s="37"/>
    </row>
    <row r="340" spans="1:11" ht="20.45" customHeight="1" x14ac:dyDescent="0.6">
      <c r="A340" s="252"/>
      <c r="B340" s="36" t="s">
        <v>99</v>
      </c>
      <c r="C340" s="35">
        <f>VLOOKUP($K325,'임금대장(파트)'!$A$6:$AG$41,27,0)</f>
        <v>0</v>
      </c>
      <c r="D340" s="36"/>
      <c r="E340" s="44"/>
      <c r="F340" s="258" t="s">
        <v>171</v>
      </c>
      <c r="G340" s="259"/>
      <c r="H340" s="35">
        <f>VLOOKUP($K325,'임금대장(파트)'!$A$6:$AG$41,31,0)</f>
        <v>61100</v>
      </c>
      <c r="I340" s="36"/>
      <c r="J340" s="37"/>
    </row>
    <row r="341" spans="1:11" ht="20.45" customHeight="1" x14ac:dyDescent="0.6">
      <c r="A341" s="252"/>
      <c r="B341" s="36" t="s">
        <v>101</v>
      </c>
      <c r="C341" s="35">
        <f>VLOOKUP($K325,'임금대장(파트)'!$A$6:$AG$41,28,0)</f>
        <v>0</v>
      </c>
      <c r="D341" s="36"/>
      <c r="E341" s="43"/>
      <c r="F341" s="258" t="s">
        <v>102</v>
      </c>
      <c r="G341" s="259"/>
      <c r="H341" s="35">
        <f>VLOOKUP($K325,'임금대장(파트)'!$A$6:$AG$41,30,0)</f>
        <v>0</v>
      </c>
      <c r="I341" s="36"/>
      <c r="J341" s="37"/>
    </row>
    <row r="342" spans="1:11" ht="20.45" customHeight="1" x14ac:dyDescent="0.6">
      <c r="A342" s="252"/>
      <c r="B342" s="36" t="s">
        <v>31</v>
      </c>
      <c r="C342" s="35">
        <f>VLOOKUP($K325,'임금대장(파트)'!$A$6:$AG$41,29,0)</f>
        <v>0</v>
      </c>
      <c r="D342" s="36"/>
      <c r="E342" s="43"/>
      <c r="F342" s="45"/>
      <c r="G342" s="46"/>
      <c r="H342" s="36"/>
      <c r="I342" s="67" t="s">
        <v>103</v>
      </c>
      <c r="J342" s="47">
        <f>SUM(C338:H343)</f>
        <v>61100</v>
      </c>
    </row>
    <row r="343" spans="1:11" ht="20.45" customHeight="1" x14ac:dyDescent="0.6">
      <c r="A343" s="253"/>
      <c r="B343" s="40"/>
      <c r="C343" s="101"/>
      <c r="D343" s="40"/>
      <c r="E343" s="48"/>
      <c r="F343" s="260"/>
      <c r="G343" s="261"/>
      <c r="H343" s="40"/>
      <c r="I343" s="68" t="s">
        <v>104</v>
      </c>
      <c r="J343" s="49">
        <f>J337-J342</f>
        <v>0</v>
      </c>
    </row>
    <row r="344" spans="1:11" ht="20.45" customHeight="1" x14ac:dyDescent="0.6">
      <c r="A344" s="50" t="s">
        <v>105</v>
      </c>
      <c r="J344" s="51" t="s">
        <v>0</v>
      </c>
    </row>
    <row r="345" spans="1:11" ht="20.45" customHeight="1" x14ac:dyDescent="0.6">
      <c r="A345" s="50"/>
      <c r="J345" s="51"/>
    </row>
    <row r="346" spans="1:11" ht="20.45" hidden="1" customHeight="1" x14ac:dyDescent="0.6">
      <c r="A346" s="264" t="s">
        <v>170</v>
      </c>
      <c r="B346" s="264"/>
      <c r="C346" s="264"/>
      <c r="D346" s="264"/>
      <c r="E346" s="264"/>
      <c r="F346" s="264"/>
      <c r="G346" s="264"/>
      <c r="H346" s="264"/>
      <c r="I346" s="264"/>
      <c r="J346" s="264"/>
    </row>
    <row r="347" spans="1:11" ht="20.45" hidden="1" customHeight="1" x14ac:dyDescent="0.6">
      <c r="A347" s="286" t="s">
        <v>83</v>
      </c>
      <c r="B347" s="286"/>
      <c r="C347" s="286"/>
      <c r="D347" s="286" t="s">
        <v>84</v>
      </c>
      <c r="E347" s="286"/>
      <c r="F347" s="286" t="s">
        <v>85</v>
      </c>
      <c r="G347" s="286"/>
      <c r="H347" s="286"/>
      <c r="I347" s="286" t="s">
        <v>86</v>
      </c>
      <c r="J347" s="286"/>
    </row>
    <row r="348" spans="1:11" ht="20.45" hidden="1" customHeight="1" x14ac:dyDescent="0.6">
      <c r="A348" s="286" t="e">
        <f>VLOOKUP(K348,'임금대장(파트)'!$A$6:$AG$41,3,0)</f>
        <v>#N/A</v>
      </c>
      <c r="B348" s="286"/>
      <c r="C348" s="286"/>
      <c r="D348" s="287" t="e">
        <f>VLOOKUP(K348,'임금대장(파트)'!$A$6:$AG$41,2,0)</f>
        <v>#N/A</v>
      </c>
      <c r="E348" s="287"/>
      <c r="F348" s="287">
        <f>'임금대장(파트)'!$O$3</f>
        <v>31</v>
      </c>
      <c r="G348" s="286"/>
      <c r="H348" s="286"/>
      <c r="I348" s="288" t="e">
        <f>VLOOKUP(K348,'임금대장(파트)'!$A$6:$AG$41,16,0)</f>
        <v>#N/A</v>
      </c>
      <c r="J348" s="288"/>
      <c r="K348" s="30">
        <v>16</v>
      </c>
    </row>
    <row r="349" spans="1:11" ht="20.45" hidden="1" customHeight="1" x14ac:dyDescent="0.6">
      <c r="A349" s="286" t="s">
        <v>87</v>
      </c>
      <c r="B349" s="286"/>
      <c r="C349" s="286" t="s">
        <v>5</v>
      </c>
      <c r="D349" s="289" t="e">
        <f>VLOOKUP($K348,'임금대장(파트)'!$A$6:$AG$41,5,0)</f>
        <v>#N/A</v>
      </c>
      <c r="E349" s="289"/>
      <c r="F349" s="114" t="s">
        <v>88</v>
      </c>
      <c r="G349" s="358" t="e">
        <f>VLOOKUP(K348,'임금대장(파트)'!$A$6:$AG$41,15,0)</f>
        <v>#N/A</v>
      </c>
      <c r="H349" s="358"/>
      <c r="I349" s="286" t="s">
        <v>89</v>
      </c>
      <c r="J349" s="290" t="e">
        <f>VLOOKUP(K348,'임금대장(파트)'!$A$6:$AG$41,17,0)</f>
        <v>#N/A</v>
      </c>
    </row>
    <row r="350" spans="1:11" ht="20.45" hidden="1" customHeight="1" x14ac:dyDescent="0.6">
      <c r="A350" s="294" t="e">
        <f>VLOOKUP($K348,'임금대장(파트)'!$A$6:$AG$41,7,0)</f>
        <v>#N/A</v>
      </c>
      <c r="B350" s="294"/>
      <c r="C350" s="286"/>
      <c r="D350" s="289"/>
      <c r="E350" s="289"/>
      <c r="F350" s="115" t="s">
        <v>90</v>
      </c>
      <c r="G350" s="359" t="e">
        <f>VLOOKUP(K348,'임금대장(파트)'!$A$6:$AG$41,16,0)</f>
        <v>#N/A</v>
      </c>
      <c r="H350" s="359"/>
      <c r="I350" s="286"/>
      <c r="J350" s="290"/>
    </row>
    <row r="351" spans="1:11" ht="20.45" hidden="1" customHeight="1" x14ac:dyDescent="0.6">
      <c r="F351" s="250"/>
      <c r="G351" s="250"/>
      <c r="H351" s="32"/>
    </row>
    <row r="352" spans="1:11" ht="20.45" hidden="1" customHeight="1" x14ac:dyDescent="0.6">
      <c r="A352" s="251" t="s">
        <v>91</v>
      </c>
      <c r="B352" s="69" t="s">
        <v>20</v>
      </c>
      <c r="C352" s="25" t="e">
        <f>VLOOKUP($K348,'임금대장(파트)'!$A$6:$AG$41,9,0)</f>
        <v>#N/A</v>
      </c>
      <c r="D352" s="33"/>
      <c r="E352" s="69"/>
      <c r="F352" s="254"/>
      <c r="G352" s="255"/>
      <c r="H352" s="25"/>
      <c r="I352" s="33"/>
      <c r="J352" s="34"/>
    </row>
    <row r="353" spans="1:13" ht="20.45" hidden="1" customHeight="1" x14ac:dyDescent="0.6">
      <c r="A353" s="252"/>
      <c r="B353" s="67" t="s">
        <v>21</v>
      </c>
      <c r="C353" s="35" t="e">
        <f>VLOOKUP($K348,'임금대장(파트)'!$A$6:$AG$41,10,0)</f>
        <v>#N/A</v>
      </c>
      <c r="D353" s="36"/>
      <c r="E353" s="67"/>
      <c r="F353" s="256"/>
      <c r="G353" s="257"/>
      <c r="H353" s="35"/>
      <c r="I353" s="36"/>
      <c r="J353" s="37"/>
    </row>
    <row r="354" spans="1:13" ht="20.45" hidden="1" customHeight="1" x14ac:dyDescent="0.6">
      <c r="A354" s="252"/>
      <c r="B354" s="52" t="s">
        <v>92</v>
      </c>
      <c r="C354" s="35" t="e">
        <f>VLOOKUP($K348,'임금대장(파트)'!$A$6:$AG$41,11,0)</f>
        <v>#N/A</v>
      </c>
      <c r="D354" s="36"/>
      <c r="E354" s="67"/>
      <c r="F354" s="256"/>
      <c r="G354" s="257"/>
      <c r="H354" s="35"/>
      <c r="I354" s="36"/>
      <c r="J354" s="37"/>
      <c r="L354" s="38"/>
      <c r="M354" s="38"/>
    </row>
    <row r="355" spans="1:13" ht="20.45" hidden="1" customHeight="1" x14ac:dyDescent="0.6">
      <c r="A355" s="252"/>
      <c r="B355" s="67" t="s">
        <v>115</v>
      </c>
      <c r="C355" s="35" t="e">
        <f>VLOOKUP($K348,'임금대장(파트)'!$A$6:$AG$41,12,0)</f>
        <v>#N/A</v>
      </c>
      <c r="D355" s="36"/>
      <c r="E355" s="67"/>
      <c r="F355" s="256"/>
      <c r="G355" s="257"/>
      <c r="H355" s="35"/>
      <c r="I355" s="36"/>
      <c r="J355" s="37"/>
    </row>
    <row r="356" spans="1:13" ht="20.45" hidden="1" customHeight="1" x14ac:dyDescent="0.6">
      <c r="A356" s="252"/>
      <c r="B356" s="67" t="s">
        <v>94</v>
      </c>
      <c r="C356" s="35" t="e">
        <f>VLOOKUP($K348,'임금대장(파트)'!$A$6:$AG$41,13,0)</f>
        <v>#N/A</v>
      </c>
      <c r="D356" s="36"/>
      <c r="E356" s="36"/>
      <c r="F356" s="258"/>
      <c r="G356" s="259"/>
      <c r="H356" s="35"/>
      <c r="I356" s="36"/>
      <c r="J356" s="37"/>
    </row>
    <row r="357" spans="1:13" ht="20.45" hidden="1" customHeight="1" x14ac:dyDescent="0.6">
      <c r="A357" s="252"/>
      <c r="B357" s="67" t="s">
        <v>24</v>
      </c>
      <c r="C357" s="102" t="e">
        <f>VLOOKUP($K348,'임금대장(파트)'!$A$6:$AG$41,14,0)</f>
        <v>#N/A</v>
      </c>
      <c r="D357" s="36"/>
      <c r="E357" s="36"/>
      <c r="F357" s="258"/>
      <c r="G357" s="259"/>
      <c r="H357" s="35"/>
      <c r="I357" s="36"/>
      <c r="J357" s="37"/>
    </row>
    <row r="358" spans="1:13" ht="20.45" hidden="1" customHeight="1" x14ac:dyDescent="0.6">
      <c r="A358" s="252"/>
      <c r="B358" s="67"/>
      <c r="C358" s="35"/>
      <c r="D358" s="36"/>
      <c r="E358" s="36"/>
      <c r="F358" s="258"/>
      <c r="G358" s="259"/>
      <c r="H358" s="35"/>
      <c r="I358" s="36"/>
      <c r="J358" s="37"/>
    </row>
    <row r="359" spans="1:13" ht="20.45" hidden="1" customHeight="1" x14ac:dyDescent="0.6">
      <c r="A359" s="252"/>
      <c r="B359" s="67"/>
      <c r="C359" s="35"/>
      <c r="D359" s="36"/>
      <c r="E359" s="36"/>
      <c r="F359" s="258"/>
      <c r="G359" s="259"/>
      <c r="H359" s="35"/>
      <c r="I359" s="36"/>
      <c r="J359" s="37"/>
    </row>
    <row r="360" spans="1:13" ht="20.45" hidden="1" customHeight="1" x14ac:dyDescent="0.6">
      <c r="A360" s="253"/>
      <c r="B360" s="68"/>
      <c r="C360" s="39"/>
      <c r="D360" s="40"/>
      <c r="E360" s="40"/>
      <c r="F360" s="260"/>
      <c r="G360" s="261"/>
      <c r="H360" s="39"/>
      <c r="I360" s="68" t="s">
        <v>95</v>
      </c>
      <c r="J360" s="41" t="e">
        <f>SUM(C352:H358)</f>
        <v>#N/A</v>
      </c>
    </row>
    <row r="361" spans="1:13" ht="20.45" hidden="1" customHeight="1" x14ac:dyDescent="0.6">
      <c r="A361" s="251" t="s">
        <v>96</v>
      </c>
      <c r="B361" s="36" t="s">
        <v>97</v>
      </c>
      <c r="C361" s="35" t="e">
        <f>VLOOKUP($K348,'임금대장(파트)'!$A$6:$AG$41,25,0)</f>
        <v>#N/A</v>
      </c>
      <c r="D361" s="33"/>
      <c r="E361" s="42"/>
      <c r="F361" s="262" t="s">
        <v>14</v>
      </c>
      <c r="G361" s="263"/>
      <c r="H361" s="35" t="e">
        <f>VLOOKUP($K348,'임금대장(파트)'!$A$6:$AG$41,19,0)</f>
        <v>#N/A</v>
      </c>
      <c r="I361" s="33"/>
      <c r="J361" s="34"/>
    </row>
    <row r="362" spans="1:13" ht="20.45" hidden="1" customHeight="1" x14ac:dyDescent="0.6">
      <c r="A362" s="252"/>
      <c r="B362" s="36" t="s">
        <v>98</v>
      </c>
      <c r="C362" s="35" t="e">
        <f>VLOOKUP($K348,'임금대장(파트)'!$A$6:$AG$41,26,0)</f>
        <v>#N/A</v>
      </c>
      <c r="D362" s="36"/>
      <c r="E362" s="43"/>
      <c r="F362" s="258" t="s">
        <v>12</v>
      </c>
      <c r="G362" s="259"/>
      <c r="H362" s="35" t="e">
        <f>VLOOKUP($K348,'임금대장(파트)'!$A$6:$AG$41,17,0)</f>
        <v>#N/A</v>
      </c>
      <c r="I362" s="36"/>
      <c r="J362" s="37"/>
    </row>
    <row r="363" spans="1:13" ht="20.45" hidden="1" customHeight="1" x14ac:dyDescent="0.6">
      <c r="A363" s="252"/>
      <c r="B363" s="36" t="s">
        <v>99</v>
      </c>
      <c r="C363" s="35" t="e">
        <f>VLOOKUP($K348,'임금대장(파트)'!$A$6:$AG$41,27,0)</f>
        <v>#N/A</v>
      </c>
      <c r="D363" s="36"/>
      <c r="E363" s="44"/>
      <c r="F363" s="258" t="s">
        <v>171</v>
      </c>
      <c r="G363" s="259"/>
      <c r="H363" s="35" t="e">
        <f>VLOOKUP($K348,'임금대장(파트)'!$A$6:$AG$41,31,0)</f>
        <v>#N/A</v>
      </c>
      <c r="I363" s="36"/>
      <c r="J363" s="37"/>
    </row>
    <row r="364" spans="1:13" ht="20.45" hidden="1" customHeight="1" x14ac:dyDescent="0.6">
      <c r="A364" s="252"/>
      <c r="B364" s="36" t="s">
        <v>101</v>
      </c>
      <c r="C364" s="35" t="e">
        <f>VLOOKUP($K348,'임금대장(파트)'!$A$6:$AG$41,28,0)</f>
        <v>#N/A</v>
      </c>
      <c r="D364" s="36"/>
      <c r="E364" s="43"/>
      <c r="F364" s="258" t="s">
        <v>102</v>
      </c>
      <c r="G364" s="259"/>
      <c r="H364" s="35" t="e">
        <f>VLOOKUP($K348,'임금대장(파트)'!$A$6:$AG$41,30,0)</f>
        <v>#N/A</v>
      </c>
      <c r="I364" s="36"/>
      <c r="J364" s="37"/>
    </row>
    <row r="365" spans="1:13" ht="20.45" hidden="1" customHeight="1" x14ac:dyDescent="0.6">
      <c r="A365" s="252"/>
      <c r="B365" s="36" t="s">
        <v>31</v>
      </c>
      <c r="C365" s="35" t="e">
        <f>VLOOKUP($K348,'임금대장(파트)'!$A$6:$AG$41,29,0)</f>
        <v>#N/A</v>
      </c>
      <c r="D365" s="36"/>
      <c r="E365" s="43"/>
      <c r="F365" s="45"/>
      <c r="G365" s="46"/>
      <c r="H365" s="36"/>
      <c r="I365" s="67" t="s">
        <v>103</v>
      </c>
      <c r="J365" s="47" t="e">
        <f>SUM(C361:H366)</f>
        <v>#N/A</v>
      </c>
    </row>
    <row r="366" spans="1:13" ht="20.45" hidden="1" customHeight="1" x14ac:dyDescent="0.6">
      <c r="A366" s="253"/>
      <c r="B366" s="40"/>
      <c r="C366" s="101"/>
      <c r="D366" s="40"/>
      <c r="E366" s="48"/>
      <c r="F366" s="260"/>
      <c r="G366" s="261"/>
      <c r="H366" s="40"/>
      <c r="I366" s="68" t="s">
        <v>104</v>
      </c>
      <c r="J366" s="49" t="e">
        <f>J360-J365</f>
        <v>#N/A</v>
      </c>
    </row>
    <row r="367" spans="1:13" ht="20.45" hidden="1" customHeight="1" x14ac:dyDescent="0.6">
      <c r="A367" s="50" t="s">
        <v>105</v>
      </c>
      <c r="J367" s="51" t="s">
        <v>0</v>
      </c>
    </row>
    <row r="368" spans="1:13" ht="20.45" hidden="1" customHeight="1" x14ac:dyDescent="0.6">
      <c r="A368" s="50"/>
      <c r="J368" s="51"/>
    </row>
    <row r="369" spans="1:11" ht="20.45" hidden="1" customHeight="1" x14ac:dyDescent="0.6">
      <c r="A369" s="264" t="s">
        <v>170</v>
      </c>
      <c r="B369" s="264"/>
      <c r="C369" s="264"/>
      <c r="D369" s="264"/>
      <c r="E369" s="264"/>
      <c r="F369" s="264"/>
      <c r="G369" s="264"/>
      <c r="H369" s="264"/>
      <c r="I369" s="264"/>
      <c r="J369" s="264"/>
    </row>
    <row r="370" spans="1:11" ht="20.45" hidden="1" customHeight="1" x14ac:dyDescent="0.6">
      <c r="A370" s="286" t="s">
        <v>83</v>
      </c>
      <c r="B370" s="286"/>
      <c r="C370" s="286"/>
      <c r="D370" s="286" t="s">
        <v>84</v>
      </c>
      <c r="E370" s="286"/>
      <c r="F370" s="286" t="s">
        <v>85</v>
      </c>
      <c r="G370" s="286"/>
      <c r="H370" s="286"/>
      <c r="I370" s="286" t="s">
        <v>86</v>
      </c>
      <c r="J370" s="286"/>
    </row>
    <row r="371" spans="1:11" ht="20.45" hidden="1" customHeight="1" x14ac:dyDescent="0.6">
      <c r="A371" s="286">
        <f>VLOOKUP(K371,임금대장!$A$6:$AH$86,3,0)</f>
        <v>0</v>
      </c>
      <c r="B371" s="286"/>
      <c r="C371" s="286"/>
      <c r="D371" s="287" t="str">
        <f>VLOOKUP(K371,임금대장!$A$6:$AH$86,2,0)</f>
        <v>조윤희</v>
      </c>
      <c r="E371" s="287"/>
      <c r="F371" s="287">
        <f>임금대장!$O$3</f>
        <v>31</v>
      </c>
      <c r="G371" s="286"/>
      <c r="H371" s="286"/>
      <c r="I371" s="288">
        <f>VLOOKUP(K371,임금대장!$A$6:$AH$86,16,0)</f>
        <v>0</v>
      </c>
      <c r="J371" s="288"/>
      <c r="K371" s="30">
        <v>17</v>
      </c>
    </row>
    <row r="372" spans="1:11" ht="20.45" hidden="1" customHeight="1" x14ac:dyDescent="0.6">
      <c r="A372" s="286" t="s">
        <v>87</v>
      </c>
      <c r="B372" s="286"/>
      <c r="C372" s="286" t="s">
        <v>5</v>
      </c>
      <c r="D372" s="289">
        <f>VLOOKUP($K371,임금대장!$A$6:$AH$86,5,0)</f>
        <v>45809</v>
      </c>
      <c r="E372" s="289"/>
      <c r="F372" s="114" t="s">
        <v>88</v>
      </c>
      <c r="G372" s="358">
        <f>VLOOKUP(K371,임금대장!$A$6:$AH$86,15,0)</f>
        <v>31</v>
      </c>
      <c r="H372" s="358"/>
      <c r="I372" s="286" t="s">
        <v>89</v>
      </c>
      <c r="J372" s="290">
        <f>VLOOKUP(K371,임금대장!$A$6:$AH$86,17,0)</f>
        <v>0</v>
      </c>
    </row>
    <row r="373" spans="1:11" ht="20.45" hidden="1" customHeight="1" x14ac:dyDescent="0.6">
      <c r="A373" s="294">
        <f>VLOOKUP($K371,임금대장!$A$6:$AH$86,7,0)</f>
        <v>3371380</v>
      </c>
      <c r="B373" s="294"/>
      <c r="C373" s="286"/>
      <c r="D373" s="289"/>
      <c r="E373" s="289"/>
      <c r="F373" s="115" t="s">
        <v>90</v>
      </c>
      <c r="G373" s="359">
        <f>VLOOKUP(K371,임금대장!$A$6:$AH$86,16,0)</f>
        <v>0</v>
      </c>
      <c r="H373" s="359"/>
      <c r="I373" s="286"/>
      <c r="J373" s="290"/>
    </row>
    <row r="374" spans="1:11" ht="20.45" hidden="1" customHeight="1" x14ac:dyDescent="0.6">
      <c r="F374" s="250"/>
      <c r="G374" s="250"/>
      <c r="H374" s="32"/>
    </row>
    <row r="375" spans="1:11" ht="20.45" hidden="1" customHeight="1" x14ac:dyDescent="0.6">
      <c r="A375" s="251" t="s">
        <v>91</v>
      </c>
      <c r="B375" s="69" t="s">
        <v>20</v>
      </c>
      <c r="C375" s="25">
        <f>VLOOKUP($K371,임금대장!$A$6:$AH$86,9,0)</f>
        <v>2421369</v>
      </c>
      <c r="D375" s="33"/>
      <c r="E375" s="69"/>
      <c r="F375" s="254"/>
      <c r="G375" s="255"/>
      <c r="H375" s="25"/>
      <c r="I375" s="33"/>
      <c r="J375" s="34"/>
    </row>
    <row r="376" spans="1:11" ht="20.45" hidden="1" customHeight="1" x14ac:dyDescent="0.6">
      <c r="A376" s="252"/>
      <c r="B376" s="67" t="s">
        <v>21</v>
      </c>
      <c r="C376" s="35">
        <f>VLOOKUP($K371,임금대장!$A$6:$AH$86,10,0)</f>
        <v>755374</v>
      </c>
      <c r="D376" s="36"/>
      <c r="E376" s="67"/>
      <c r="F376" s="256"/>
      <c r="G376" s="257"/>
      <c r="H376" s="35"/>
      <c r="I376" s="36"/>
      <c r="J376" s="37"/>
    </row>
    <row r="377" spans="1:11" ht="20.45" hidden="1" customHeight="1" x14ac:dyDescent="0.6">
      <c r="A377" s="252"/>
      <c r="B377" s="52" t="s">
        <v>92</v>
      </c>
      <c r="C377" s="35">
        <f>VLOOKUP($K371,임금대장!$A$6:$AH$86,11,0)</f>
        <v>101953</v>
      </c>
      <c r="D377" s="36"/>
      <c r="E377" s="67"/>
      <c r="F377" s="256"/>
      <c r="G377" s="257"/>
      <c r="H377" s="35"/>
      <c r="I377" s="36"/>
      <c r="J377" s="37"/>
    </row>
    <row r="378" spans="1:11" ht="20.45" hidden="1" customHeight="1" x14ac:dyDescent="0.6">
      <c r="A378" s="252"/>
      <c r="B378" s="67" t="s">
        <v>115</v>
      </c>
      <c r="C378" s="35">
        <f>VLOOKUP($K371,임금대장!$A$6:$AH$86,12,0)</f>
        <v>0</v>
      </c>
      <c r="D378" s="36"/>
      <c r="E378" s="67"/>
      <c r="F378" s="256"/>
      <c r="G378" s="257"/>
      <c r="H378" s="35"/>
      <c r="I378" s="36"/>
      <c r="J378" s="37"/>
    </row>
    <row r="379" spans="1:11" ht="20.45" hidden="1" customHeight="1" x14ac:dyDescent="0.6">
      <c r="A379" s="252"/>
      <c r="B379" s="67" t="s">
        <v>94</v>
      </c>
      <c r="C379" s="35">
        <f>VLOOKUP($K371,임금대장!$A$6:$AH$86,13,0)</f>
        <v>92684</v>
      </c>
      <c r="D379" s="36"/>
      <c r="E379" s="36"/>
      <c r="F379" s="258"/>
      <c r="G379" s="259"/>
      <c r="H379" s="35"/>
      <c r="I379" s="36"/>
      <c r="J379" s="37"/>
    </row>
    <row r="380" spans="1:11" ht="20.45" hidden="1" customHeight="1" x14ac:dyDescent="0.6">
      <c r="A380" s="252"/>
      <c r="B380" s="67" t="s">
        <v>24</v>
      </c>
      <c r="C380" s="102">
        <f>VLOOKUP($K371,임금대장!$A$6:$AH$86,14,0)</f>
        <v>0</v>
      </c>
      <c r="D380" s="36"/>
      <c r="E380" s="36"/>
      <c r="F380" s="258"/>
      <c r="G380" s="259"/>
      <c r="H380" s="35"/>
      <c r="I380" s="36"/>
      <c r="J380" s="37"/>
    </row>
    <row r="381" spans="1:11" ht="20.45" hidden="1" customHeight="1" x14ac:dyDescent="0.6">
      <c r="A381" s="252"/>
      <c r="B381" s="67"/>
      <c r="C381" s="35"/>
      <c r="D381" s="36"/>
      <c r="E381" s="36"/>
      <c r="F381" s="258"/>
      <c r="G381" s="259"/>
      <c r="H381" s="35"/>
      <c r="I381" s="36"/>
      <c r="J381" s="37"/>
    </row>
    <row r="382" spans="1:11" ht="20.45" hidden="1" customHeight="1" x14ac:dyDescent="0.6">
      <c r="A382" s="252"/>
      <c r="B382" s="67"/>
      <c r="C382" s="35"/>
      <c r="D382" s="36"/>
      <c r="E382" s="36"/>
      <c r="F382" s="258"/>
      <c r="G382" s="259"/>
      <c r="H382" s="35"/>
      <c r="I382" s="36"/>
      <c r="J382" s="37"/>
    </row>
    <row r="383" spans="1:11" ht="20.45" hidden="1" customHeight="1" x14ac:dyDescent="0.6">
      <c r="A383" s="253"/>
      <c r="B383" s="68"/>
      <c r="C383" s="39"/>
      <c r="D383" s="40"/>
      <c r="E383" s="40"/>
      <c r="F383" s="260"/>
      <c r="G383" s="261"/>
      <c r="H383" s="39"/>
      <c r="I383" s="68" t="s">
        <v>95</v>
      </c>
      <c r="J383" s="41">
        <f>SUM(C375:H381)</f>
        <v>3371380</v>
      </c>
    </row>
    <row r="384" spans="1:11" ht="20.45" hidden="1" customHeight="1" x14ac:dyDescent="0.6">
      <c r="A384" s="251" t="s">
        <v>96</v>
      </c>
      <c r="B384" s="36" t="s">
        <v>97</v>
      </c>
      <c r="C384" s="35">
        <f>VLOOKUP($K371,임금대장!$A$6:$AH$86,25,0)</f>
        <v>107660</v>
      </c>
      <c r="D384" s="33"/>
      <c r="E384" s="42"/>
      <c r="F384" s="262" t="s">
        <v>14</v>
      </c>
      <c r="G384" s="263"/>
      <c r="H384" s="35">
        <f>VLOOKUP($K371,임금대장!$A$6:$AH$86,19,0)</f>
        <v>0</v>
      </c>
      <c r="I384" s="33"/>
      <c r="J384" s="34"/>
    </row>
    <row r="385" spans="1:13" ht="20.45" hidden="1" customHeight="1" x14ac:dyDescent="0.6">
      <c r="A385" s="252"/>
      <c r="B385" s="36" t="s">
        <v>98</v>
      </c>
      <c r="C385" s="35">
        <f>VLOOKUP($K371,임금대장!$A$6:$AH$86,26,0)</f>
        <v>10760</v>
      </c>
      <c r="D385" s="36"/>
      <c r="E385" s="43"/>
      <c r="F385" s="258" t="s">
        <v>12</v>
      </c>
      <c r="G385" s="259"/>
      <c r="H385" s="35">
        <f>VLOOKUP($K371,임금대장!$A$6:$AH$86,17,0)</f>
        <v>0</v>
      </c>
      <c r="I385" s="36"/>
      <c r="J385" s="37"/>
    </row>
    <row r="386" spans="1:13" ht="20.45" hidden="1" customHeight="1" x14ac:dyDescent="0.6">
      <c r="A386" s="252"/>
      <c r="B386" s="36" t="s">
        <v>99</v>
      </c>
      <c r="C386" s="35">
        <f>VLOOKUP($K371,임금대장!$A$6:$AH$86,27,0)</f>
        <v>85500</v>
      </c>
      <c r="D386" s="36"/>
      <c r="E386" s="44"/>
      <c r="F386" s="258" t="s">
        <v>171</v>
      </c>
      <c r="G386" s="259"/>
      <c r="H386" s="35">
        <f>VLOOKUP($K371,임금대장!$A$6:$AH$86,31,0)</f>
        <v>0</v>
      </c>
      <c r="I386" s="36"/>
      <c r="J386" s="37"/>
    </row>
    <row r="387" spans="1:13" ht="20.45" hidden="1" customHeight="1" x14ac:dyDescent="0.6">
      <c r="A387" s="252"/>
      <c r="B387" s="36" t="s">
        <v>101</v>
      </c>
      <c r="C387" s="35">
        <f>VLOOKUP($K371,임금대장!$A$6:$AH$86,28,0)</f>
        <v>121200</v>
      </c>
      <c r="D387" s="36"/>
      <c r="E387" s="43"/>
      <c r="F387" s="258" t="s">
        <v>102</v>
      </c>
      <c r="G387" s="259"/>
      <c r="H387" s="35">
        <f>VLOOKUP($K371,임금대장!$A$6:$AH$86,30,0)</f>
        <v>30340</v>
      </c>
      <c r="I387" s="36"/>
      <c r="J387" s="37"/>
    </row>
    <row r="388" spans="1:13" ht="20.45" hidden="1" customHeight="1" x14ac:dyDescent="0.6">
      <c r="A388" s="252"/>
      <c r="B388" s="36" t="s">
        <v>31</v>
      </c>
      <c r="C388" s="35">
        <f>VLOOKUP($K371,임금대장!$A$6:$AH$86,29,0)</f>
        <v>15920</v>
      </c>
      <c r="D388" s="36"/>
      <c r="E388" s="43"/>
      <c r="F388" s="45"/>
      <c r="G388" s="46"/>
      <c r="H388" s="36"/>
      <c r="I388" s="67" t="s">
        <v>103</v>
      </c>
      <c r="J388" s="47">
        <f>SUM(C384:H389)</f>
        <v>371380</v>
      </c>
    </row>
    <row r="389" spans="1:13" ht="20.45" hidden="1" customHeight="1" x14ac:dyDescent="0.6">
      <c r="A389" s="253"/>
      <c r="B389" s="40"/>
      <c r="C389" s="101"/>
      <c r="D389" s="40"/>
      <c r="E389" s="48"/>
      <c r="F389" s="260"/>
      <c r="G389" s="261"/>
      <c r="H389" s="40"/>
      <c r="I389" s="68" t="s">
        <v>104</v>
      </c>
      <c r="J389" s="49">
        <f>J383-J388</f>
        <v>3000000</v>
      </c>
    </row>
    <row r="390" spans="1:13" ht="20.45" hidden="1" customHeight="1" x14ac:dyDescent="0.6">
      <c r="A390" s="50" t="s">
        <v>105</v>
      </c>
      <c r="J390" s="51" t="s">
        <v>0</v>
      </c>
    </row>
    <row r="391" spans="1:13" ht="20.45" hidden="1" customHeight="1" x14ac:dyDescent="0.6">
      <c r="A391" s="50"/>
      <c r="J391" s="51"/>
    </row>
    <row r="392" spans="1:13" ht="20.45" hidden="1" customHeight="1" x14ac:dyDescent="0.6">
      <c r="A392" s="264" t="s">
        <v>170</v>
      </c>
      <c r="B392" s="264"/>
      <c r="C392" s="264"/>
      <c r="D392" s="264"/>
      <c r="E392" s="264"/>
      <c r="F392" s="264"/>
      <c r="G392" s="264"/>
      <c r="H392" s="264"/>
      <c r="I392" s="264"/>
      <c r="J392" s="264"/>
    </row>
    <row r="393" spans="1:13" ht="20.45" hidden="1" customHeight="1" x14ac:dyDescent="0.6">
      <c r="A393" s="286" t="s">
        <v>83</v>
      </c>
      <c r="B393" s="286"/>
      <c r="C393" s="286"/>
      <c r="D393" s="286" t="s">
        <v>84</v>
      </c>
      <c r="E393" s="286"/>
      <c r="F393" s="286" t="s">
        <v>85</v>
      </c>
      <c r="G393" s="286"/>
      <c r="H393" s="286"/>
      <c r="I393" s="286" t="s">
        <v>86</v>
      </c>
      <c r="J393" s="286"/>
    </row>
    <row r="394" spans="1:13" ht="20.45" hidden="1" customHeight="1" x14ac:dyDescent="0.6">
      <c r="A394" s="286" t="str">
        <f>VLOOKUP(K394,임금대장!$A$6:$AH$86,3,0)</f>
        <v>핫/즉석</v>
      </c>
      <c r="B394" s="286"/>
      <c r="C394" s="286"/>
      <c r="D394" s="287" t="str">
        <f>VLOOKUP(K394,임금대장!$A$6:$AH$86,2,0)</f>
        <v>나지훈</v>
      </c>
      <c r="E394" s="287"/>
      <c r="F394" s="287">
        <f>임금대장!$O$3</f>
        <v>31</v>
      </c>
      <c r="G394" s="286"/>
      <c r="H394" s="286"/>
      <c r="I394" s="288">
        <f>VLOOKUP(K394,임금대장!$A$6:$AH$86,16,0)</f>
        <v>0</v>
      </c>
      <c r="J394" s="288"/>
      <c r="K394" s="30">
        <v>18</v>
      </c>
    </row>
    <row r="395" spans="1:13" ht="20.45" hidden="1" customHeight="1" x14ac:dyDescent="0.6">
      <c r="A395" s="286" t="s">
        <v>87</v>
      </c>
      <c r="B395" s="286"/>
      <c r="C395" s="286" t="s">
        <v>5</v>
      </c>
      <c r="D395" s="289">
        <f>VLOOKUP($K394,임금대장!$A$6:$AH$86,5,0)</f>
        <v>45841</v>
      </c>
      <c r="E395" s="289"/>
      <c r="F395" s="114" t="s">
        <v>88</v>
      </c>
      <c r="G395" s="358">
        <f>VLOOKUP(K394,임금대장!$A$6:$AH$86,15,0)</f>
        <v>31</v>
      </c>
      <c r="H395" s="358"/>
      <c r="I395" s="286" t="s">
        <v>89</v>
      </c>
      <c r="J395" s="290">
        <f>VLOOKUP(K394,임금대장!$A$6:$AH$86,17,0)</f>
        <v>0</v>
      </c>
    </row>
    <row r="396" spans="1:13" ht="20.45" hidden="1" customHeight="1" x14ac:dyDescent="0.6">
      <c r="A396" s="294">
        <f>VLOOKUP($K394,임금대장!$A$6:$AH$86,7,0)</f>
        <v>3300000</v>
      </c>
      <c r="B396" s="294"/>
      <c r="C396" s="286"/>
      <c r="D396" s="289"/>
      <c r="E396" s="289"/>
      <c r="F396" s="115" t="s">
        <v>90</v>
      </c>
      <c r="G396" s="359">
        <f>VLOOKUP(K394,임금대장!$A$6:$AH$86,16,0)</f>
        <v>0</v>
      </c>
      <c r="H396" s="359"/>
      <c r="I396" s="286"/>
      <c r="J396" s="290"/>
    </row>
    <row r="397" spans="1:13" s="30" customFormat="1" ht="20.45" hidden="1" customHeight="1" x14ac:dyDescent="0.6">
      <c r="A397" s="31"/>
      <c r="B397" s="31"/>
      <c r="C397" s="31"/>
      <c r="D397" s="31"/>
      <c r="E397" s="31"/>
      <c r="F397" s="250"/>
      <c r="G397" s="250"/>
      <c r="H397" s="32"/>
      <c r="I397" s="31"/>
      <c r="J397" s="31"/>
      <c r="L397" s="31"/>
      <c r="M397" s="31"/>
    </row>
    <row r="398" spans="1:13" s="30" customFormat="1" ht="20.45" hidden="1" customHeight="1" x14ac:dyDescent="0.6">
      <c r="A398" s="251" t="s">
        <v>91</v>
      </c>
      <c r="B398" s="69" t="s">
        <v>20</v>
      </c>
      <c r="C398" s="25">
        <f>VLOOKUP($K394,임금대장!$A$6:$AH$86,9,0)</f>
        <v>2370103</v>
      </c>
      <c r="D398" s="33"/>
      <c r="E398" s="69"/>
      <c r="F398" s="254"/>
      <c r="G398" s="255"/>
      <c r="H398" s="25"/>
      <c r="I398" s="33"/>
      <c r="J398" s="34"/>
      <c r="L398" s="31"/>
      <c r="M398" s="31"/>
    </row>
    <row r="399" spans="1:13" s="30" customFormat="1" ht="20.45" hidden="1" customHeight="1" x14ac:dyDescent="0.6">
      <c r="A399" s="252"/>
      <c r="B399" s="67" t="s">
        <v>21</v>
      </c>
      <c r="C399" s="35">
        <f>VLOOKUP($K394,임금대장!$A$6:$AH$86,10,0)</f>
        <v>739381</v>
      </c>
      <c r="D399" s="36"/>
      <c r="E399" s="67"/>
      <c r="F399" s="256"/>
      <c r="G399" s="257"/>
      <c r="H399" s="35"/>
      <c r="I399" s="36"/>
      <c r="J399" s="37"/>
      <c r="L399" s="31"/>
      <c r="M399" s="31"/>
    </row>
    <row r="400" spans="1:13" s="30" customFormat="1" ht="20.45" hidden="1" customHeight="1" x14ac:dyDescent="0.6">
      <c r="A400" s="252"/>
      <c r="B400" s="52" t="s">
        <v>92</v>
      </c>
      <c r="C400" s="35">
        <f>VLOOKUP($K394,임금대장!$A$6:$AH$86,11,0)</f>
        <v>99794</v>
      </c>
      <c r="D400" s="36"/>
      <c r="E400" s="67"/>
      <c r="F400" s="256"/>
      <c r="G400" s="257"/>
      <c r="H400" s="35"/>
      <c r="I400" s="36"/>
      <c r="J400" s="37"/>
      <c r="L400" s="31"/>
      <c r="M400" s="31"/>
    </row>
    <row r="401" spans="1:13" s="30" customFormat="1" ht="20.45" hidden="1" customHeight="1" x14ac:dyDescent="0.6">
      <c r="A401" s="252"/>
      <c r="B401" s="67" t="s">
        <v>115</v>
      </c>
      <c r="C401" s="35">
        <f>VLOOKUP($K394,임금대장!$A$6:$AH$86,12,0)</f>
        <v>0</v>
      </c>
      <c r="D401" s="36"/>
      <c r="E401" s="67"/>
      <c r="F401" s="256"/>
      <c r="G401" s="257"/>
      <c r="H401" s="35"/>
      <c r="I401" s="36"/>
      <c r="J401" s="37"/>
      <c r="L401" s="31"/>
      <c r="M401" s="31"/>
    </row>
    <row r="402" spans="1:13" s="30" customFormat="1" ht="20.45" hidden="1" customHeight="1" x14ac:dyDescent="0.6">
      <c r="A402" s="252"/>
      <c r="B402" s="67" t="s">
        <v>94</v>
      </c>
      <c r="C402" s="35">
        <f>VLOOKUP($K394,임금대장!$A$6:$AH$86,13,0)</f>
        <v>90722</v>
      </c>
      <c r="D402" s="36"/>
      <c r="E402" s="36"/>
      <c r="F402" s="258"/>
      <c r="G402" s="259"/>
      <c r="H402" s="35"/>
      <c r="I402" s="36"/>
      <c r="J402" s="37"/>
      <c r="L402" s="31"/>
      <c r="M402" s="31"/>
    </row>
    <row r="403" spans="1:13" s="30" customFormat="1" ht="20.45" hidden="1" customHeight="1" x14ac:dyDescent="0.6">
      <c r="A403" s="252"/>
      <c r="B403" s="67" t="s">
        <v>24</v>
      </c>
      <c r="C403" s="102">
        <f>VLOOKUP($K394,임금대장!$A$6:$AH$86,14,0)</f>
        <v>372580.6451612903</v>
      </c>
      <c r="D403" s="36"/>
      <c r="E403" s="36"/>
      <c r="F403" s="258"/>
      <c r="G403" s="259"/>
      <c r="H403" s="35"/>
      <c r="I403" s="36"/>
      <c r="J403" s="37"/>
      <c r="L403" s="31"/>
      <c r="M403" s="31"/>
    </row>
    <row r="404" spans="1:13" s="30" customFormat="1" ht="20.45" hidden="1" customHeight="1" x14ac:dyDescent="0.6">
      <c r="A404" s="252"/>
      <c r="B404" s="67"/>
      <c r="C404" s="35"/>
      <c r="D404" s="36"/>
      <c r="E404" s="36"/>
      <c r="F404" s="258"/>
      <c r="G404" s="259"/>
      <c r="H404" s="35"/>
      <c r="I404" s="36"/>
      <c r="J404" s="37"/>
      <c r="L404" s="31"/>
      <c r="M404" s="31"/>
    </row>
    <row r="405" spans="1:13" s="30" customFormat="1" ht="20.45" hidden="1" customHeight="1" x14ac:dyDescent="0.6">
      <c r="A405" s="252"/>
      <c r="B405" s="67"/>
      <c r="C405" s="35"/>
      <c r="D405" s="36"/>
      <c r="E405" s="36"/>
      <c r="F405" s="258"/>
      <c r="G405" s="259"/>
      <c r="H405" s="35"/>
      <c r="I405" s="36"/>
      <c r="J405" s="37"/>
      <c r="L405" s="31"/>
      <c r="M405" s="31"/>
    </row>
    <row r="406" spans="1:13" s="30" customFormat="1" ht="20.45" hidden="1" customHeight="1" x14ac:dyDescent="0.6">
      <c r="A406" s="253"/>
      <c r="B406" s="68"/>
      <c r="C406" s="39"/>
      <c r="D406" s="40"/>
      <c r="E406" s="40"/>
      <c r="F406" s="260"/>
      <c r="G406" s="261"/>
      <c r="H406" s="39"/>
      <c r="I406" s="68" t="s">
        <v>95</v>
      </c>
      <c r="J406" s="41">
        <f>SUM(C398:H404)</f>
        <v>3672580.6451612902</v>
      </c>
      <c r="L406" s="31"/>
      <c r="M406" s="31"/>
    </row>
    <row r="407" spans="1:13" s="30" customFormat="1" ht="20.45" hidden="1" customHeight="1" x14ac:dyDescent="0.6">
      <c r="A407" s="251" t="s">
        <v>96</v>
      </c>
      <c r="B407" s="36" t="s">
        <v>97</v>
      </c>
      <c r="C407" s="35">
        <f>VLOOKUP($K394,임금대장!$A$6:$AH$86,25,0)</f>
        <v>144330</v>
      </c>
      <c r="D407" s="33"/>
      <c r="E407" s="42"/>
      <c r="F407" s="262" t="s">
        <v>14</v>
      </c>
      <c r="G407" s="263"/>
      <c r="H407" s="35">
        <f>VLOOKUP($K394,임금대장!$A$6:$AH$86,19,0)</f>
        <v>0</v>
      </c>
      <c r="I407" s="33"/>
      <c r="J407" s="34"/>
      <c r="L407" s="31"/>
      <c r="M407" s="31"/>
    </row>
    <row r="408" spans="1:13" s="30" customFormat="1" ht="20.45" hidden="1" customHeight="1" x14ac:dyDescent="0.6">
      <c r="A408" s="252"/>
      <c r="B408" s="36" t="s">
        <v>98</v>
      </c>
      <c r="C408" s="35">
        <f>VLOOKUP($K394,임금대장!$A$6:$AH$86,26,0)</f>
        <v>14430</v>
      </c>
      <c r="D408" s="36"/>
      <c r="E408" s="43"/>
      <c r="F408" s="258" t="s">
        <v>12</v>
      </c>
      <c r="G408" s="259"/>
      <c r="H408" s="35">
        <f>VLOOKUP($K394,임금대장!$A$6:$AH$86,17,0)</f>
        <v>0</v>
      </c>
      <c r="I408" s="36"/>
      <c r="J408" s="37"/>
      <c r="L408" s="31"/>
      <c r="M408" s="31"/>
    </row>
    <row r="409" spans="1:13" s="30" customFormat="1" ht="20.45" hidden="1" customHeight="1" x14ac:dyDescent="0.6">
      <c r="A409" s="252"/>
      <c r="B409" s="36" t="s">
        <v>99</v>
      </c>
      <c r="C409" s="35">
        <f>VLOOKUP($K394,임금대장!$A$6:$AH$86,27,0)</f>
        <v>85500</v>
      </c>
      <c r="D409" s="36"/>
      <c r="E409" s="44"/>
      <c r="F409" s="258" t="s">
        <v>171</v>
      </c>
      <c r="G409" s="259"/>
      <c r="H409" s="35">
        <f>VLOOKUP($K394,임금대장!$A$6:$AH$86,31,0)</f>
        <v>0</v>
      </c>
      <c r="I409" s="36"/>
      <c r="J409" s="37"/>
      <c r="L409" s="31"/>
      <c r="M409" s="31"/>
    </row>
    <row r="410" spans="1:13" s="30" customFormat="1" ht="20.45" hidden="1" customHeight="1" x14ac:dyDescent="0.6">
      <c r="A410" s="252"/>
      <c r="B410" s="36" t="s">
        <v>101</v>
      </c>
      <c r="C410" s="35">
        <f>VLOOKUP($K394,임금대장!$A$6:$AH$86,28,0)</f>
        <v>132020</v>
      </c>
      <c r="D410" s="36"/>
      <c r="E410" s="43"/>
      <c r="F410" s="258" t="s">
        <v>102</v>
      </c>
      <c r="G410" s="259"/>
      <c r="H410" s="35">
        <f>VLOOKUP($K394,임금대장!$A$6:$AH$86,30,0)</f>
        <v>33050</v>
      </c>
      <c r="I410" s="36"/>
      <c r="J410" s="37"/>
      <c r="L410" s="31"/>
      <c r="M410" s="31"/>
    </row>
    <row r="411" spans="1:13" s="30" customFormat="1" ht="20.45" hidden="1" customHeight="1" x14ac:dyDescent="0.6">
      <c r="A411" s="252"/>
      <c r="B411" s="36" t="s">
        <v>31</v>
      </c>
      <c r="C411" s="35">
        <f>VLOOKUP($K394,임금대장!$A$6:$AH$86,29,0)</f>
        <v>17340</v>
      </c>
      <c r="D411" s="36"/>
      <c r="E411" s="43"/>
      <c r="F411" s="45"/>
      <c r="G411" s="46"/>
      <c r="H411" s="36"/>
      <c r="I411" s="67" t="s">
        <v>103</v>
      </c>
      <c r="J411" s="47">
        <f>SUM(C407:H412)</f>
        <v>426670</v>
      </c>
      <c r="L411" s="31"/>
      <c r="M411" s="31"/>
    </row>
    <row r="412" spans="1:13" s="30" customFormat="1" ht="20.45" hidden="1" customHeight="1" x14ac:dyDescent="0.6">
      <c r="A412" s="253"/>
      <c r="B412" s="40"/>
      <c r="C412" s="101"/>
      <c r="D412" s="40"/>
      <c r="E412" s="48"/>
      <c r="F412" s="260"/>
      <c r="G412" s="261"/>
      <c r="H412" s="40"/>
      <c r="I412" s="68" t="s">
        <v>104</v>
      </c>
      <c r="J412" s="49">
        <f>J406-J411</f>
        <v>3245910.6451612902</v>
      </c>
      <c r="L412" s="31"/>
      <c r="M412" s="31"/>
    </row>
    <row r="413" spans="1:13" s="30" customFormat="1" ht="20.45" hidden="1" customHeight="1" x14ac:dyDescent="0.6">
      <c r="A413" s="50" t="s">
        <v>105</v>
      </c>
      <c r="B413" s="31"/>
      <c r="C413" s="31"/>
      <c r="D413" s="31"/>
      <c r="E413" s="31"/>
      <c r="F413" s="31"/>
      <c r="G413" s="31"/>
      <c r="H413" s="31"/>
      <c r="I413" s="31"/>
      <c r="J413" s="51" t="s">
        <v>0</v>
      </c>
      <c r="L413" s="31"/>
      <c r="M413" s="31"/>
    </row>
    <row r="414" spans="1:13" ht="20.45" hidden="1" customHeight="1" x14ac:dyDescent="0.6">
      <c r="A414" s="50"/>
      <c r="J414" s="51"/>
    </row>
    <row r="415" spans="1:13" ht="20.45" hidden="1" customHeight="1" x14ac:dyDescent="0.6">
      <c r="A415" s="264" t="s">
        <v>170</v>
      </c>
      <c r="B415" s="264"/>
      <c r="C415" s="264"/>
      <c r="D415" s="264"/>
      <c r="E415" s="264"/>
      <c r="F415" s="264"/>
      <c r="G415" s="264"/>
      <c r="H415" s="264"/>
      <c r="I415" s="264"/>
      <c r="J415" s="264"/>
    </row>
    <row r="416" spans="1:13" ht="20.45" hidden="1" customHeight="1" x14ac:dyDescent="0.6">
      <c r="A416" s="286" t="s">
        <v>83</v>
      </c>
      <c r="B416" s="286"/>
      <c r="C416" s="286"/>
      <c r="D416" s="286" t="s">
        <v>84</v>
      </c>
      <c r="E416" s="286"/>
      <c r="F416" s="286" t="s">
        <v>85</v>
      </c>
      <c r="G416" s="286"/>
      <c r="H416" s="286"/>
      <c r="I416" s="286" t="s">
        <v>86</v>
      </c>
      <c r="J416" s="286"/>
    </row>
    <row r="417" spans="1:13" ht="20.45" hidden="1" customHeight="1" x14ac:dyDescent="0.6">
      <c r="A417" s="286" t="str">
        <f>VLOOKUP(K417,임금대장!$A$6:$AH$86,3,0)</f>
        <v>핫/즉석</v>
      </c>
      <c r="B417" s="286"/>
      <c r="C417" s="286"/>
      <c r="D417" s="287" t="str">
        <f>VLOOKUP(K417,임금대장!$A$6:$AH$86,2,0)</f>
        <v>박기호</v>
      </c>
      <c r="E417" s="287"/>
      <c r="F417" s="287">
        <f>임금대장!$O$3</f>
        <v>31</v>
      </c>
      <c r="G417" s="286"/>
      <c r="H417" s="286"/>
      <c r="I417" s="288">
        <f>VLOOKUP(K417,임금대장!$A$6:$AH$86,16,0)</f>
        <v>0</v>
      </c>
      <c r="J417" s="288"/>
      <c r="K417" s="30">
        <v>19</v>
      </c>
    </row>
    <row r="418" spans="1:13" ht="20.45" hidden="1" customHeight="1" x14ac:dyDescent="0.6">
      <c r="A418" s="286" t="s">
        <v>87</v>
      </c>
      <c r="B418" s="286"/>
      <c r="C418" s="286" t="s">
        <v>5</v>
      </c>
      <c r="D418" s="289">
        <f>VLOOKUP($K417,임금대장!$A$6:$AH$86,5,0)</f>
        <v>45861</v>
      </c>
      <c r="E418" s="289"/>
      <c r="F418" s="114" t="s">
        <v>88</v>
      </c>
      <c r="G418" s="358">
        <f>VLOOKUP(K417,임금대장!$A$6:$AH$86,15,0)</f>
        <v>31</v>
      </c>
      <c r="H418" s="358"/>
      <c r="I418" s="286" t="s">
        <v>89</v>
      </c>
      <c r="J418" s="290">
        <f>VLOOKUP(K417,임금대장!$A$6:$AH$86,17,0)</f>
        <v>0</v>
      </c>
    </row>
    <row r="419" spans="1:13" ht="20.45" hidden="1" customHeight="1" x14ac:dyDescent="0.6">
      <c r="A419" s="294">
        <f>VLOOKUP($K417,임금대장!$A$6:$AH$86,7,0)</f>
        <v>3400000</v>
      </c>
      <c r="B419" s="294"/>
      <c r="C419" s="286"/>
      <c r="D419" s="289"/>
      <c r="E419" s="289"/>
      <c r="F419" s="115" t="s">
        <v>90</v>
      </c>
      <c r="G419" s="359">
        <f>VLOOKUP(K417,임금대장!$A$6:$AH$86,16,0)</f>
        <v>0</v>
      </c>
      <c r="H419" s="359"/>
      <c r="I419" s="286"/>
      <c r="J419" s="290"/>
    </row>
    <row r="420" spans="1:13" ht="20.45" hidden="1" customHeight="1" x14ac:dyDescent="0.6">
      <c r="F420" s="250"/>
      <c r="G420" s="250"/>
      <c r="H420" s="32"/>
    </row>
    <row r="421" spans="1:13" ht="20.45" hidden="1" customHeight="1" x14ac:dyDescent="0.6">
      <c r="A421" s="251" t="s">
        <v>91</v>
      </c>
      <c r="B421" s="69" t="s">
        <v>20</v>
      </c>
      <c r="C421" s="25">
        <f>VLOOKUP($K417,임금대장!$A$6:$AH$86,9,0)</f>
        <v>2441924</v>
      </c>
      <c r="D421" s="33"/>
      <c r="E421" s="69"/>
      <c r="F421" s="254"/>
      <c r="G421" s="255"/>
      <c r="H421" s="25"/>
      <c r="I421" s="33"/>
      <c r="J421" s="34"/>
    </row>
    <row r="422" spans="1:13" ht="20.45" hidden="1" customHeight="1" x14ac:dyDescent="0.6">
      <c r="A422" s="252"/>
      <c r="B422" s="67" t="s">
        <v>21</v>
      </c>
      <c r="C422" s="35">
        <f>VLOOKUP($K417,임금대장!$A$6:$AH$86,10,0)</f>
        <v>761786</v>
      </c>
      <c r="D422" s="36"/>
      <c r="E422" s="67"/>
      <c r="F422" s="256"/>
      <c r="G422" s="257"/>
      <c r="H422" s="35"/>
      <c r="I422" s="36"/>
      <c r="J422" s="37"/>
    </row>
    <row r="423" spans="1:13" ht="20.45" hidden="1" customHeight="1" x14ac:dyDescent="0.6">
      <c r="A423" s="252"/>
      <c r="B423" s="52" t="s">
        <v>92</v>
      </c>
      <c r="C423" s="35">
        <f>VLOOKUP($K417,임금대장!$A$6:$AH$86,11,0)</f>
        <v>102818</v>
      </c>
      <c r="D423" s="36"/>
      <c r="E423" s="67"/>
      <c r="F423" s="256"/>
      <c r="G423" s="257"/>
      <c r="H423" s="35"/>
      <c r="I423" s="36"/>
      <c r="J423" s="37"/>
    </row>
    <row r="424" spans="1:13" ht="20.45" hidden="1" customHeight="1" x14ac:dyDescent="0.6">
      <c r="A424" s="252"/>
      <c r="B424" s="67" t="s">
        <v>115</v>
      </c>
      <c r="C424" s="35">
        <f>VLOOKUP($K417,임금대장!$A$6:$AH$86,12,0)</f>
        <v>0</v>
      </c>
      <c r="D424" s="36"/>
      <c r="E424" s="67"/>
      <c r="F424" s="256"/>
      <c r="G424" s="257"/>
      <c r="H424" s="35"/>
      <c r="I424" s="36"/>
      <c r="J424" s="37"/>
    </row>
    <row r="425" spans="1:13" ht="20.45" hidden="1" customHeight="1" x14ac:dyDescent="0.6">
      <c r="A425" s="252"/>
      <c r="B425" s="67" t="s">
        <v>94</v>
      </c>
      <c r="C425" s="35">
        <f>VLOOKUP($K417,임금대장!$A$6:$AH$86,13,0)</f>
        <v>93471</v>
      </c>
      <c r="D425" s="36"/>
      <c r="E425" s="36"/>
      <c r="F425" s="258"/>
      <c r="G425" s="259"/>
      <c r="H425" s="35"/>
      <c r="I425" s="36"/>
      <c r="J425" s="37"/>
    </row>
    <row r="426" spans="1:13" ht="20.45" hidden="1" customHeight="1" x14ac:dyDescent="0.6">
      <c r="A426" s="252"/>
      <c r="B426" s="67" t="s">
        <v>24</v>
      </c>
      <c r="C426" s="102">
        <f>VLOOKUP($K417,임금대장!$A$6:$AH$86,14,0)</f>
        <v>54838.709677419356</v>
      </c>
      <c r="D426" s="36"/>
      <c r="E426" s="36"/>
      <c r="F426" s="258"/>
      <c r="G426" s="259"/>
      <c r="H426" s="35"/>
      <c r="I426" s="36"/>
      <c r="J426" s="37"/>
    </row>
    <row r="427" spans="1:13" ht="20.45" hidden="1" customHeight="1" x14ac:dyDescent="0.6">
      <c r="A427" s="252"/>
      <c r="B427" s="67"/>
      <c r="C427" s="35"/>
      <c r="D427" s="36"/>
      <c r="E427" s="36"/>
      <c r="F427" s="258"/>
      <c r="G427" s="259"/>
      <c r="H427" s="35"/>
      <c r="I427" s="36"/>
      <c r="J427" s="37"/>
    </row>
    <row r="428" spans="1:13" ht="20.45" hidden="1" customHeight="1" x14ac:dyDescent="0.6">
      <c r="A428" s="252"/>
      <c r="B428" s="67"/>
      <c r="C428" s="35"/>
      <c r="D428" s="36"/>
      <c r="E428" s="36"/>
      <c r="F428" s="258"/>
      <c r="G428" s="259"/>
      <c r="H428" s="35"/>
      <c r="I428" s="36"/>
      <c r="J428" s="37"/>
    </row>
    <row r="429" spans="1:13" s="30" customFormat="1" ht="20.45" hidden="1" customHeight="1" x14ac:dyDescent="0.6">
      <c r="A429" s="253"/>
      <c r="B429" s="68"/>
      <c r="C429" s="39"/>
      <c r="D429" s="40"/>
      <c r="E429" s="40"/>
      <c r="F429" s="260"/>
      <c r="G429" s="261"/>
      <c r="H429" s="39"/>
      <c r="I429" s="68" t="s">
        <v>95</v>
      </c>
      <c r="J429" s="41">
        <f>SUM(C421:H427)</f>
        <v>3454837.7096774192</v>
      </c>
      <c r="L429" s="31"/>
      <c r="M429" s="31"/>
    </row>
    <row r="430" spans="1:13" s="30" customFormat="1" ht="20.45" hidden="1" customHeight="1" x14ac:dyDescent="0.6">
      <c r="A430" s="251" t="s">
        <v>96</v>
      </c>
      <c r="B430" s="36" t="s">
        <v>97</v>
      </c>
      <c r="C430" s="35">
        <f>VLOOKUP($K417,임금대장!$A$6:$AH$86,25,0)</f>
        <v>117440</v>
      </c>
      <c r="D430" s="33"/>
      <c r="E430" s="42"/>
      <c r="F430" s="262" t="s">
        <v>14</v>
      </c>
      <c r="G430" s="263"/>
      <c r="H430" s="35">
        <f>VLOOKUP($K417,임금대장!$A$6:$AH$86,19,0)</f>
        <v>0</v>
      </c>
      <c r="I430" s="33"/>
      <c r="J430" s="34"/>
      <c r="L430" s="31"/>
      <c r="M430" s="31"/>
    </row>
    <row r="431" spans="1:13" s="30" customFormat="1" ht="20.45" hidden="1" customHeight="1" x14ac:dyDescent="0.6">
      <c r="A431" s="252"/>
      <c r="B431" s="36" t="s">
        <v>98</v>
      </c>
      <c r="C431" s="35">
        <f>VLOOKUP($K417,임금대장!$A$6:$AH$86,26,0)</f>
        <v>11740</v>
      </c>
      <c r="D431" s="36"/>
      <c r="E431" s="43"/>
      <c r="F431" s="258" t="s">
        <v>12</v>
      </c>
      <c r="G431" s="259"/>
      <c r="H431" s="35">
        <f>VLOOKUP($K417,임금대장!$A$6:$AH$86,17,0)</f>
        <v>0</v>
      </c>
      <c r="I431" s="36"/>
      <c r="J431" s="37"/>
      <c r="L431" s="31"/>
      <c r="M431" s="31"/>
    </row>
    <row r="432" spans="1:13" s="30" customFormat="1" ht="20.45" hidden="1" customHeight="1" x14ac:dyDescent="0.6">
      <c r="A432" s="252"/>
      <c r="B432" s="36" t="s">
        <v>99</v>
      </c>
      <c r="C432" s="35">
        <f>VLOOKUP($K417,임금대장!$A$6:$AH$86,27,0)</f>
        <v>85500</v>
      </c>
      <c r="D432" s="36"/>
      <c r="E432" s="44"/>
      <c r="F432" s="258" t="s">
        <v>171</v>
      </c>
      <c r="G432" s="259"/>
      <c r="H432" s="35">
        <f>VLOOKUP($K417,임금대장!$A$6:$AH$86,31,0)</f>
        <v>0</v>
      </c>
      <c r="I432" s="36"/>
      <c r="J432" s="37"/>
      <c r="L432" s="31"/>
      <c r="M432" s="31"/>
    </row>
    <row r="433" spans="1:13" s="30" customFormat="1" ht="20.45" hidden="1" customHeight="1" x14ac:dyDescent="0.6">
      <c r="A433" s="252"/>
      <c r="B433" s="36" t="s">
        <v>101</v>
      </c>
      <c r="C433" s="35">
        <f>VLOOKUP($K417,임금대장!$A$6:$AH$86,28,0)</f>
        <v>124200</v>
      </c>
      <c r="D433" s="36"/>
      <c r="E433" s="43"/>
      <c r="F433" s="258" t="s">
        <v>102</v>
      </c>
      <c r="G433" s="259"/>
      <c r="H433" s="35">
        <f>VLOOKUP($K417,임금대장!$A$6:$AH$86,30,0)</f>
        <v>31090</v>
      </c>
      <c r="I433" s="36"/>
      <c r="J433" s="37"/>
      <c r="L433" s="31"/>
      <c r="M433" s="31"/>
    </row>
    <row r="434" spans="1:13" s="30" customFormat="1" ht="20.45" hidden="1" customHeight="1" x14ac:dyDescent="0.6">
      <c r="A434" s="252"/>
      <c r="B434" s="36" t="s">
        <v>31</v>
      </c>
      <c r="C434" s="35">
        <f>VLOOKUP($K417,임금대장!$A$6:$AH$86,29,0)</f>
        <v>16310</v>
      </c>
      <c r="D434" s="36"/>
      <c r="E434" s="43"/>
      <c r="F434" s="45"/>
      <c r="G434" s="46"/>
      <c r="H434" s="36"/>
      <c r="I434" s="67" t="s">
        <v>103</v>
      </c>
      <c r="J434" s="47">
        <f>SUM(C430:H435)</f>
        <v>386280</v>
      </c>
      <c r="L434" s="31"/>
      <c r="M434" s="31"/>
    </row>
    <row r="435" spans="1:13" s="30" customFormat="1" ht="20.45" hidden="1" customHeight="1" x14ac:dyDescent="0.6">
      <c r="A435" s="253"/>
      <c r="B435" s="40"/>
      <c r="C435" s="101"/>
      <c r="D435" s="40"/>
      <c r="E435" s="48"/>
      <c r="F435" s="260"/>
      <c r="G435" s="261"/>
      <c r="H435" s="40"/>
      <c r="I435" s="68" t="s">
        <v>104</v>
      </c>
      <c r="J435" s="49">
        <f>J429-J434</f>
        <v>3068557.7096774192</v>
      </c>
      <c r="L435" s="31"/>
      <c r="M435" s="31"/>
    </row>
    <row r="436" spans="1:13" s="30" customFormat="1" ht="20.45" hidden="1" customHeight="1" x14ac:dyDescent="0.6">
      <c r="A436" s="50" t="s">
        <v>105</v>
      </c>
      <c r="B436" s="31"/>
      <c r="C436" s="31"/>
      <c r="D436" s="31"/>
      <c r="E436" s="31"/>
      <c r="F436" s="31"/>
      <c r="G436" s="31"/>
      <c r="H436" s="31"/>
      <c r="I436" s="31"/>
      <c r="J436" s="51" t="s">
        <v>0</v>
      </c>
      <c r="L436" s="31"/>
      <c r="M436" s="31"/>
    </row>
    <row r="437" spans="1:13" ht="20.45" hidden="1" customHeight="1" x14ac:dyDescent="0.6">
      <c r="A437" s="50"/>
      <c r="J437" s="51"/>
    </row>
    <row r="438" spans="1:13" ht="20.45" hidden="1" customHeight="1" x14ac:dyDescent="0.6">
      <c r="A438" s="264" t="s">
        <v>170</v>
      </c>
      <c r="B438" s="264"/>
      <c r="C438" s="264"/>
      <c r="D438" s="264"/>
      <c r="E438" s="264"/>
      <c r="F438" s="264"/>
      <c r="G438" s="264"/>
      <c r="H438" s="264"/>
      <c r="I438" s="264"/>
      <c r="J438" s="264"/>
    </row>
    <row r="439" spans="1:13" ht="20.45" hidden="1" customHeight="1" x14ac:dyDescent="0.6">
      <c r="A439" s="286" t="s">
        <v>83</v>
      </c>
      <c r="B439" s="286"/>
      <c r="C439" s="286"/>
      <c r="D439" s="286" t="s">
        <v>84</v>
      </c>
      <c r="E439" s="286"/>
      <c r="F439" s="286" t="s">
        <v>85</v>
      </c>
      <c r="G439" s="286"/>
      <c r="H439" s="286"/>
      <c r="I439" s="286" t="s">
        <v>86</v>
      </c>
      <c r="J439" s="286"/>
    </row>
    <row r="440" spans="1:13" ht="20.45" hidden="1" customHeight="1" x14ac:dyDescent="0.6">
      <c r="A440" s="286" t="str">
        <f>VLOOKUP(K440,임금대장!$A$6:$AH$86,3,0)</f>
        <v>핫/즉석</v>
      </c>
      <c r="B440" s="286"/>
      <c r="C440" s="286"/>
      <c r="D440" s="287" t="str">
        <f>VLOOKUP(K440,임금대장!$A$6:$AH$86,2,0)</f>
        <v>황지현</v>
      </c>
      <c r="E440" s="287"/>
      <c r="F440" s="287">
        <f>임금대장!$O$3</f>
        <v>31</v>
      </c>
      <c r="G440" s="286"/>
      <c r="H440" s="286"/>
      <c r="I440" s="288">
        <f>VLOOKUP(K440,임금대장!$A$6:$AH$86,16,0)</f>
        <v>0</v>
      </c>
      <c r="J440" s="288"/>
      <c r="K440" s="30">
        <v>20</v>
      </c>
    </row>
    <row r="441" spans="1:13" ht="20.45" hidden="1" customHeight="1" x14ac:dyDescent="0.6">
      <c r="A441" s="286" t="s">
        <v>87</v>
      </c>
      <c r="B441" s="286"/>
      <c r="C441" s="286" t="s">
        <v>5</v>
      </c>
      <c r="D441" s="289">
        <f>VLOOKUP($K440,임금대장!$A$6:$AH$86,5,0)</f>
        <v>45870</v>
      </c>
      <c r="E441" s="289"/>
      <c r="F441" s="114" t="s">
        <v>88</v>
      </c>
      <c r="G441" s="358">
        <f>VLOOKUP(K440,임금대장!$A$6:$AH$86,15,0)</f>
        <v>31</v>
      </c>
      <c r="H441" s="358"/>
      <c r="I441" s="286" t="s">
        <v>89</v>
      </c>
      <c r="J441" s="290">
        <f>VLOOKUP(K440,임금대장!$A$6:$AH$86,17,0)</f>
        <v>0</v>
      </c>
    </row>
    <row r="442" spans="1:13" ht="20.45" hidden="1" customHeight="1" x14ac:dyDescent="0.6">
      <c r="A442" s="294">
        <f>VLOOKUP($K440,임금대장!$A$6:$AH$86,7,0)</f>
        <v>4300000</v>
      </c>
      <c r="B442" s="294"/>
      <c r="C442" s="286"/>
      <c r="D442" s="289"/>
      <c r="E442" s="289"/>
      <c r="F442" s="115" t="s">
        <v>90</v>
      </c>
      <c r="G442" s="359">
        <f>VLOOKUP(K440,임금대장!$A$6:$AH$86,16,0)</f>
        <v>0</v>
      </c>
      <c r="H442" s="359"/>
      <c r="I442" s="286"/>
      <c r="J442" s="290"/>
    </row>
    <row r="443" spans="1:13" ht="20.45" hidden="1" customHeight="1" x14ac:dyDescent="0.6">
      <c r="F443" s="250"/>
      <c r="G443" s="250"/>
      <c r="H443" s="32"/>
    </row>
    <row r="444" spans="1:13" ht="20.45" hidden="1" customHeight="1" x14ac:dyDescent="0.6">
      <c r="A444" s="251" t="s">
        <v>91</v>
      </c>
      <c r="B444" s="69" t="s">
        <v>20</v>
      </c>
      <c r="C444" s="25">
        <f>VLOOKUP($K440,임금대장!$A$6:$AH$86,9,0)</f>
        <v>3088316</v>
      </c>
      <c r="D444" s="33"/>
      <c r="E444" s="69"/>
      <c r="F444" s="254"/>
      <c r="G444" s="255"/>
      <c r="H444" s="25"/>
      <c r="I444" s="33"/>
      <c r="J444" s="34"/>
    </row>
    <row r="445" spans="1:13" ht="20.45" hidden="1" customHeight="1" x14ac:dyDescent="0.6">
      <c r="A445" s="252"/>
      <c r="B445" s="67" t="s">
        <v>21</v>
      </c>
      <c r="C445" s="35">
        <f>VLOOKUP($K440,임금대장!$A$6:$AH$86,10,0)</f>
        <v>963436</v>
      </c>
      <c r="D445" s="36"/>
      <c r="E445" s="67"/>
      <c r="F445" s="256"/>
      <c r="G445" s="257"/>
      <c r="H445" s="35"/>
      <c r="I445" s="36"/>
      <c r="J445" s="37"/>
    </row>
    <row r="446" spans="1:13" ht="20.45" hidden="1" customHeight="1" x14ac:dyDescent="0.6">
      <c r="A446" s="252"/>
      <c r="B446" s="52" t="s">
        <v>92</v>
      </c>
      <c r="C446" s="35">
        <f>VLOOKUP($K440,임금대장!$A$6:$AH$86,11,0)</f>
        <v>130035</v>
      </c>
      <c r="D446" s="36"/>
      <c r="E446" s="67"/>
      <c r="F446" s="256"/>
      <c r="G446" s="257"/>
      <c r="H446" s="35"/>
      <c r="I446" s="36"/>
      <c r="J446" s="37"/>
    </row>
    <row r="447" spans="1:13" ht="20.45" hidden="1" customHeight="1" x14ac:dyDescent="0.6">
      <c r="A447" s="252"/>
      <c r="B447" s="67" t="s">
        <v>115</v>
      </c>
      <c r="C447" s="35">
        <f>VLOOKUP($K440,임금대장!$A$6:$AH$86,12,0)</f>
        <v>0</v>
      </c>
      <c r="D447" s="36"/>
      <c r="E447" s="67"/>
      <c r="F447" s="256"/>
      <c r="G447" s="257"/>
      <c r="H447" s="35"/>
      <c r="I447" s="36"/>
      <c r="J447" s="37"/>
    </row>
    <row r="448" spans="1:13" ht="20.45" hidden="1" customHeight="1" x14ac:dyDescent="0.6">
      <c r="A448" s="252"/>
      <c r="B448" s="67" t="s">
        <v>94</v>
      </c>
      <c r="C448" s="35">
        <f>VLOOKUP($K440,임금대장!$A$6:$AH$86,13,0)</f>
        <v>118214</v>
      </c>
      <c r="D448" s="36"/>
      <c r="E448" s="36"/>
      <c r="F448" s="258"/>
      <c r="G448" s="259"/>
      <c r="H448" s="35"/>
      <c r="I448" s="36"/>
      <c r="J448" s="37"/>
    </row>
    <row r="449" spans="1:11" ht="20.45" hidden="1" customHeight="1" x14ac:dyDescent="0.6">
      <c r="A449" s="252"/>
      <c r="B449" s="67" t="s">
        <v>24</v>
      </c>
      <c r="C449" s="102">
        <f>VLOOKUP($K440,임금대장!$A$6:$AH$86,14,0)</f>
        <v>485483.87096774194</v>
      </c>
      <c r="D449" s="36"/>
      <c r="E449" s="36"/>
      <c r="F449" s="258"/>
      <c r="G449" s="259"/>
      <c r="H449" s="35"/>
      <c r="I449" s="36"/>
      <c r="J449" s="37"/>
    </row>
    <row r="450" spans="1:11" ht="20.45" hidden="1" customHeight="1" x14ac:dyDescent="0.6">
      <c r="A450" s="252"/>
      <c r="B450" s="67"/>
      <c r="C450" s="35"/>
      <c r="D450" s="36"/>
      <c r="E450" s="36"/>
      <c r="F450" s="258"/>
      <c r="G450" s="259"/>
      <c r="H450" s="35"/>
      <c r="I450" s="36"/>
      <c r="J450" s="37"/>
    </row>
    <row r="451" spans="1:11" ht="20.45" hidden="1" customHeight="1" x14ac:dyDescent="0.6">
      <c r="A451" s="252"/>
      <c r="B451" s="67"/>
      <c r="C451" s="35"/>
      <c r="D451" s="36"/>
      <c r="E451" s="36"/>
      <c r="F451" s="258"/>
      <c r="G451" s="259"/>
      <c r="H451" s="35"/>
      <c r="I451" s="36"/>
      <c r="J451" s="37"/>
    </row>
    <row r="452" spans="1:11" ht="20.45" hidden="1" customHeight="1" x14ac:dyDescent="0.6">
      <c r="A452" s="253"/>
      <c r="B452" s="68"/>
      <c r="C452" s="39"/>
      <c r="D452" s="40"/>
      <c r="E452" s="40"/>
      <c r="F452" s="260"/>
      <c r="G452" s="261"/>
      <c r="H452" s="39"/>
      <c r="I452" s="68" t="s">
        <v>95</v>
      </c>
      <c r="J452" s="41">
        <f>SUM(C444:H450)</f>
        <v>4785484.8709677421</v>
      </c>
    </row>
    <row r="453" spans="1:11" ht="20.45" hidden="1" customHeight="1" x14ac:dyDescent="0.6">
      <c r="A453" s="251" t="s">
        <v>96</v>
      </c>
      <c r="B453" s="36" t="s">
        <v>97</v>
      </c>
      <c r="C453" s="35">
        <f>VLOOKUP($K440,임금대장!$A$6:$AH$86,25,0)</f>
        <v>301810</v>
      </c>
      <c r="D453" s="33"/>
      <c r="E453" s="42"/>
      <c r="F453" s="262" t="s">
        <v>14</v>
      </c>
      <c r="G453" s="263"/>
      <c r="H453" s="35">
        <f>VLOOKUP($K440,임금대장!$A$6:$AH$86,19,0)</f>
        <v>0</v>
      </c>
      <c r="I453" s="33"/>
      <c r="J453" s="34"/>
    </row>
    <row r="454" spans="1:11" ht="20.45" hidden="1" customHeight="1" x14ac:dyDescent="0.6">
      <c r="A454" s="252"/>
      <c r="B454" s="36" t="s">
        <v>98</v>
      </c>
      <c r="C454" s="35">
        <f>VLOOKUP($K440,임금대장!$A$6:$AH$86,26,0)</f>
        <v>30180</v>
      </c>
      <c r="D454" s="36"/>
      <c r="E454" s="43"/>
      <c r="F454" s="258" t="s">
        <v>12</v>
      </c>
      <c r="G454" s="259"/>
      <c r="H454" s="35">
        <f>VLOOKUP($K440,임금대장!$A$6:$AH$86,17,0)</f>
        <v>0</v>
      </c>
      <c r="I454" s="36"/>
      <c r="J454" s="37"/>
    </row>
    <row r="455" spans="1:11" ht="20.45" hidden="1" customHeight="1" x14ac:dyDescent="0.6">
      <c r="A455" s="252"/>
      <c r="B455" s="36" t="s">
        <v>99</v>
      </c>
      <c r="C455" s="35">
        <f>VLOOKUP($K440,임금대장!$A$6:$AH$86,27,0)</f>
        <v>85500</v>
      </c>
      <c r="D455" s="36"/>
      <c r="E455" s="44"/>
      <c r="F455" s="258" t="s">
        <v>171</v>
      </c>
      <c r="G455" s="259"/>
      <c r="H455" s="35">
        <f>VLOOKUP($K440,임금대장!$A$6:$AH$86,31,0)</f>
        <v>0</v>
      </c>
      <c r="I455" s="36"/>
      <c r="J455" s="37"/>
    </row>
    <row r="456" spans="1:11" ht="20.45" hidden="1" customHeight="1" x14ac:dyDescent="0.6">
      <c r="A456" s="252"/>
      <c r="B456" s="36" t="s">
        <v>101</v>
      </c>
      <c r="C456" s="35">
        <f>VLOOKUP($K440,임금대장!$A$6:$AH$86,28,0)</f>
        <v>172030</v>
      </c>
      <c r="D456" s="36"/>
      <c r="E456" s="43"/>
      <c r="F456" s="258" t="s">
        <v>102</v>
      </c>
      <c r="G456" s="259"/>
      <c r="H456" s="35">
        <f>VLOOKUP($K440,임금대장!$A$6:$AH$86,30,0)</f>
        <v>43060</v>
      </c>
      <c r="I456" s="36"/>
      <c r="J456" s="37"/>
    </row>
    <row r="457" spans="1:11" ht="20.45" hidden="1" customHeight="1" x14ac:dyDescent="0.6">
      <c r="A457" s="252"/>
      <c r="B457" s="36" t="s">
        <v>31</v>
      </c>
      <c r="C457" s="35">
        <f>VLOOKUP($K440,임금대장!$A$6:$AH$86,29,0)</f>
        <v>22600</v>
      </c>
      <c r="D457" s="36"/>
      <c r="E457" s="43"/>
      <c r="F457" s="45"/>
      <c r="G457" s="46"/>
      <c r="H457" s="36"/>
      <c r="I457" s="67" t="s">
        <v>103</v>
      </c>
      <c r="J457" s="47">
        <f>SUM(C453:H458)</f>
        <v>655180</v>
      </c>
    </row>
    <row r="458" spans="1:11" ht="20.45" hidden="1" customHeight="1" x14ac:dyDescent="0.6">
      <c r="A458" s="253"/>
      <c r="B458" s="40"/>
      <c r="C458" s="101"/>
      <c r="D458" s="40"/>
      <c r="E458" s="48"/>
      <c r="F458" s="260"/>
      <c r="G458" s="261"/>
      <c r="H458" s="40"/>
      <c r="I458" s="68" t="s">
        <v>104</v>
      </c>
      <c r="J458" s="49">
        <f>J452-J457</f>
        <v>4130304.8709677421</v>
      </c>
    </row>
    <row r="459" spans="1:11" ht="20.45" hidden="1" customHeight="1" x14ac:dyDescent="0.6">
      <c r="A459" s="50" t="s">
        <v>105</v>
      </c>
      <c r="J459" s="51" t="s">
        <v>0</v>
      </c>
    </row>
    <row r="460" spans="1:11" ht="20.45" hidden="1" customHeight="1" x14ac:dyDescent="0.6">
      <c r="A460" s="50"/>
      <c r="J460" s="51"/>
    </row>
    <row r="461" spans="1:11" ht="20.45" hidden="1" customHeight="1" x14ac:dyDescent="0.6">
      <c r="A461" s="264" t="s">
        <v>170</v>
      </c>
      <c r="B461" s="264"/>
      <c r="C461" s="264"/>
      <c r="D461" s="264"/>
      <c r="E461" s="264"/>
      <c r="F461" s="264"/>
      <c r="G461" s="264"/>
      <c r="H461" s="264"/>
      <c r="I461" s="264"/>
      <c r="J461" s="264"/>
    </row>
    <row r="462" spans="1:11" ht="20.45" hidden="1" customHeight="1" x14ac:dyDescent="0.6">
      <c r="A462" s="286" t="s">
        <v>83</v>
      </c>
      <c r="B462" s="286"/>
      <c r="C462" s="286"/>
      <c r="D462" s="286" t="s">
        <v>84</v>
      </c>
      <c r="E462" s="286"/>
      <c r="F462" s="286" t="s">
        <v>85</v>
      </c>
      <c r="G462" s="286"/>
      <c r="H462" s="286"/>
      <c r="I462" s="286" t="s">
        <v>86</v>
      </c>
      <c r="J462" s="286"/>
    </row>
    <row r="463" spans="1:11" ht="20.45" hidden="1" customHeight="1" x14ac:dyDescent="0.6">
      <c r="A463" s="286" t="str">
        <f>VLOOKUP(K463,임금대장!$A$6:$AH$86,3,0)</f>
        <v>롤</v>
      </c>
      <c r="B463" s="286"/>
      <c r="C463" s="286"/>
      <c r="D463" s="287" t="str">
        <f>VLOOKUP(K463,임금대장!$A$6:$AH$86,2,0)</f>
        <v>허옥자</v>
      </c>
      <c r="E463" s="287"/>
      <c r="F463" s="287">
        <f>임금대장!$O$3</f>
        <v>31</v>
      </c>
      <c r="G463" s="286"/>
      <c r="H463" s="286"/>
      <c r="I463" s="288">
        <f>VLOOKUP(K463,임금대장!$A$6:$AH$86,16,0)</f>
        <v>0</v>
      </c>
      <c r="J463" s="288"/>
      <c r="K463" s="30">
        <v>21</v>
      </c>
    </row>
    <row r="464" spans="1:11" ht="20.45" hidden="1" customHeight="1" x14ac:dyDescent="0.6">
      <c r="A464" s="286" t="s">
        <v>87</v>
      </c>
      <c r="B464" s="286"/>
      <c r="C464" s="286" t="s">
        <v>5</v>
      </c>
      <c r="D464" s="289">
        <f>VLOOKUP($K463,임금대장!$A$6:$AH$86,5,0)</f>
        <v>45887</v>
      </c>
      <c r="E464" s="289"/>
      <c r="F464" s="114" t="s">
        <v>88</v>
      </c>
      <c r="G464" s="358">
        <f>VLOOKUP(K463,임금대장!$A$6:$AH$86,15,0)</f>
        <v>31</v>
      </c>
      <c r="H464" s="358"/>
      <c r="I464" s="286" t="s">
        <v>89</v>
      </c>
      <c r="J464" s="290">
        <f>VLOOKUP(K463,임금대장!$A$6:$AH$86,17,0)</f>
        <v>0</v>
      </c>
    </row>
    <row r="465" spans="1:10" ht="20.45" hidden="1" customHeight="1" x14ac:dyDescent="0.6">
      <c r="A465" s="294">
        <f>VLOOKUP($K463,임금대장!$A$6:$AH$86,7,0)</f>
        <v>3300000</v>
      </c>
      <c r="B465" s="294"/>
      <c r="C465" s="286"/>
      <c r="D465" s="289"/>
      <c r="E465" s="289"/>
      <c r="F465" s="115" t="s">
        <v>90</v>
      </c>
      <c r="G465" s="359">
        <f>VLOOKUP(K463,임금대장!$A$6:$AH$86,16,0)</f>
        <v>0</v>
      </c>
      <c r="H465" s="359"/>
      <c r="I465" s="286"/>
      <c r="J465" s="290"/>
    </row>
    <row r="466" spans="1:10" ht="20.45" hidden="1" customHeight="1" x14ac:dyDescent="0.6">
      <c r="F466" s="250"/>
      <c r="G466" s="250"/>
      <c r="H466" s="32"/>
    </row>
    <row r="467" spans="1:10" ht="20.45" hidden="1" customHeight="1" x14ac:dyDescent="0.6">
      <c r="A467" s="251" t="s">
        <v>91</v>
      </c>
      <c r="B467" s="69" t="s">
        <v>20</v>
      </c>
      <c r="C467" s="25">
        <f>VLOOKUP($K463,임금대장!$A$6:$AH$86,9,0)</f>
        <v>2370103</v>
      </c>
      <c r="D467" s="33"/>
      <c r="E467" s="69"/>
      <c r="F467" s="254"/>
      <c r="G467" s="255"/>
      <c r="H467" s="25"/>
      <c r="I467" s="33"/>
      <c r="J467" s="34"/>
    </row>
    <row r="468" spans="1:10" ht="20.45" hidden="1" customHeight="1" x14ac:dyDescent="0.6">
      <c r="A468" s="252"/>
      <c r="B468" s="67" t="s">
        <v>21</v>
      </c>
      <c r="C468" s="35">
        <f>VLOOKUP($K463,임금대장!$A$6:$AH$86,10,0)</f>
        <v>739381</v>
      </c>
      <c r="D468" s="36"/>
      <c r="E468" s="67"/>
      <c r="F468" s="256"/>
      <c r="G468" s="257"/>
      <c r="H468" s="35"/>
      <c r="I468" s="36"/>
      <c r="J468" s="37"/>
    </row>
    <row r="469" spans="1:10" ht="20.45" hidden="1" customHeight="1" x14ac:dyDescent="0.6">
      <c r="A469" s="252"/>
      <c r="B469" s="52" t="s">
        <v>92</v>
      </c>
      <c r="C469" s="35">
        <f>VLOOKUP($K463,임금대장!$A$6:$AH$86,11,0)</f>
        <v>99794</v>
      </c>
      <c r="D469" s="36"/>
      <c r="E469" s="67"/>
      <c r="F469" s="256"/>
      <c r="G469" s="257"/>
      <c r="H469" s="35"/>
      <c r="I469" s="36"/>
      <c r="J469" s="37"/>
    </row>
    <row r="470" spans="1:10" ht="20.45" hidden="1" customHeight="1" x14ac:dyDescent="0.6">
      <c r="A470" s="252"/>
      <c r="B470" s="67" t="s">
        <v>115</v>
      </c>
      <c r="C470" s="35">
        <f>VLOOKUP($K463,임금대장!$A$6:$AH$86,12,0)</f>
        <v>0</v>
      </c>
      <c r="D470" s="36"/>
      <c r="E470" s="67"/>
      <c r="F470" s="256"/>
      <c r="G470" s="257"/>
      <c r="H470" s="35"/>
      <c r="I470" s="36"/>
      <c r="J470" s="37"/>
    </row>
    <row r="471" spans="1:10" ht="20.45" hidden="1" customHeight="1" x14ac:dyDescent="0.6">
      <c r="A471" s="252"/>
      <c r="B471" s="67" t="s">
        <v>94</v>
      </c>
      <c r="C471" s="35">
        <f>VLOOKUP($K463,임금대장!$A$6:$AH$86,13,0)</f>
        <v>90722</v>
      </c>
      <c r="D471" s="36"/>
      <c r="E471" s="36"/>
      <c r="F471" s="258"/>
      <c r="G471" s="259"/>
      <c r="H471" s="35"/>
      <c r="I471" s="36"/>
      <c r="J471" s="37"/>
    </row>
    <row r="472" spans="1:10" ht="20.45" hidden="1" customHeight="1" x14ac:dyDescent="0.6">
      <c r="A472" s="252"/>
      <c r="B472" s="67" t="s">
        <v>24</v>
      </c>
      <c r="C472" s="102">
        <f>VLOOKUP($K463,임금대장!$A$6:$AH$86,14,0)</f>
        <v>53225.806451612902</v>
      </c>
      <c r="D472" s="36"/>
      <c r="E472" s="36"/>
      <c r="F472" s="258"/>
      <c r="G472" s="259"/>
      <c r="H472" s="35"/>
      <c r="I472" s="36"/>
      <c r="J472" s="37"/>
    </row>
    <row r="473" spans="1:10" ht="20.45" hidden="1" customHeight="1" x14ac:dyDescent="0.6">
      <c r="A473" s="252"/>
      <c r="B473" s="67"/>
      <c r="C473" s="35"/>
      <c r="D473" s="36"/>
      <c r="E473" s="36"/>
      <c r="F473" s="258"/>
      <c r="G473" s="259"/>
      <c r="H473" s="35"/>
      <c r="I473" s="36"/>
      <c r="J473" s="37"/>
    </row>
    <row r="474" spans="1:10" ht="20.45" hidden="1" customHeight="1" x14ac:dyDescent="0.6">
      <c r="A474" s="252"/>
      <c r="B474" s="67"/>
      <c r="C474" s="35"/>
      <c r="D474" s="36"/>
      <c r="E474" s="36"/>
      <c r="F474" s="258"/>
      <c r="G474" s="259"/>
      <c r="H474" s="35"/>
      <c r="I474" s="36"/>
      <c r="J474" s="37"/>
    </row>
    <row r="475" spans="1:10" ht="20.45" hidden="1" customHeight="1" x14ac:dyDescent="0.6">
      <c r="A475" s="253"/>
      <c r="B475" s="68"/>
      <c r="C475" s="39"/>
      <c r="D475" s="40"/>
      <c r="E475" s="40"/>
      <c r="F475" s="260"/>
      <c r="G475" s="261"/>
      <c r="H475" s="39"/>
      <c r="I475" s="68" t="s">
        <v>95</v>
      </c>
      <c r="J475" s="41">
        <f>SUM(C467:H473)</f>
        <v>3353225.8064516131</v>
      </c>
    </row>
    <row r="476" spans="1:10" ht="20.45" hidden="1" customHeight="1" x14ac:dyDescent="0.6">
      <c r="A476" s="251" t="s">
        <v>96</v>
      </c>
      <c r="B476" s="36" t="s">
        <v>97</v>
      </c>
      <c r="C476" s="35">
        <f>VLOOKUP($K463,임금대장!$A$6:$AH$86,25,0)</f>
        <v>105210</v>
      </c>
      <c r="D476" s="33"/>
      <c r="E476" s="42"/>
      <c r="F476" s="262" t="s">
        <v>14</v>
      </c>
      <c r="G476" s="263"/>
      <c r="H476" s="35">
        <f>VLOOKUP($K463,임금대장!$A$6:$AH$86,19,0)</f>
        <v>0</v>
      </c>
      <c r="I476" s="33"/>
      <c r="J476" s="34"/>
    </row>
    <row r="477" spans="1:10" ht="20.45" hidden="1" customHeight="1" x14ac:dyDescent="0.6">
      <c r="A477" s="252"/>
      <c r="B477" s="36" t="s">
        <v>98</v>
      </c>
      <c r="C477" s="35">
        <f>VLOOKUP($K463,임금대장!$A$6:$AH$86,26,0)</f>
        <v>10520</v>
      </c>
      <c r="D477" s="36"/>
      <c r="E477" s="43"/>
      <c r="F477" s="258" t="s">
        <v>12</v>
      </c>
      <c r="G477" s="259"/>
      <c r="H477" s="35">
        <f>VLOOKUP($K463,임금대장!$A$6:$AH$86,17,0)</f>
        <v>0</v>
      </c>
      <c r="I477" s="36"/>
      <c r="J477" s="37"/>
    </row>
    <row r="478" spans="1:10" ht="20.45" hidden="1" customHeight="1" x14ac:dyDescent="0.6">
      <c r="A478" s="252"/>
      <c r="B478" s="36" t="s">
        <v>99</v>
      </c>
      <c r="C478" s="35">
        <f>VLOOKUP($K463,임금대장!$A$6:$AH$86,27,0)</f>
        <v>85500</v>
      </c>
      <c r="D478" s="36"/>
      <c r="E478" s="44"/>
      <c r="F478" s="258" t="s">
        <v>171</v>
      </c>
      <c r="G478" s="259"/>
      <c r="H478" s="35">
        <f>VLOOKUP($K463,임금대장!$A$6:$AH$86,31,0)</f>
        <v>0</v>
      </c>
      <c r="I478" s="36"/>
      <c r="J478" s="37"/>
    </row>
    <row r="479" spans="1:10" ht="20.45" hidden="1" customHeight="1" x14ac:dyDescent="0.6">
      <c r="A479" s="252"/>
      <c r="B479" s="36" t="s">
        <v>101</v>
      </c>
      <c r="C479" s="35">
        <f>VLOOKUP($K463,임금대장!$A$6:$AH$86,28,0)</f>
        <v>120540</v>
      </c>
      <c r="D479" s="36"/>
      <c r="E479" s="43"/>
      <c r="F479" s="258" t="s">
        <v>102</v>
      </c>
      <c r="G479" s="259"/>
      <c r="H479" s="35">
        <f>VLOOKUP($K463,임금대장!$A$6:$AH$86,30,0)</f>
        <v>30170</v>
      </c>
      <c r="I479" s="36"/>
      <c r="J479" s="37"/>
    </row>
    <row r="480" spans="1:10" ht="20.45" hidden="1" customHeight="1" x14ac:dyDescent="0.6">
      <c r="A480" s="252"/>
      <c r="B480" s="36" t="s">
        <v>31</v>
      </c>
      <c r="C480" s="35">
        <f>VLOOKUP($K463,임금대장!$A$6:$AH$86,29,0)</f>
        <v>15830</v>
      </c>
      <c r="D480" s="36"/>
      <c r="E480" s="43"/>
      <c r="F480" s="45"/>
      <c r="G480" s="46"/>
      <c r="H480" s="36"/>
      <c r="I480" s="67" t="s">
        <v>103</v>
      </c>
      <c r="J480" s="47">
        <f>SUM(C476:H481)</f>
        <v>367770</v>
      </c>
    </row>
    <row r="481" spans="1:11" ht="20.45" hidden="1" customHeight="1" x14ac:dyDescent="0.6">
      <c r="A481" s="253"/>
      <c r="B481" s="40"/>
      <c r="C481" s="101"/>
      <c r="D481" s="40"/>
      <c r="E481" s="48"/>
      <c r="F481" s="260"/>
      <c r="G481" s="261"/>
      <c r="H481" s="40"/>
      <c r="I481" s="68" t="s">
        <v>104</v>
      </c>
      <c r="J481" s="49">
        <f>J475-J480</f>
        <v>2985455.8064516131</v>
      </c>
    </row>
    <row r="482" spans="1:11" ht="20.45" hidden="1" customHeight="1" x14ac:dyDescent="0.6">
      <c r="A482" s="50" t="s">
        <v>105</v>
      </c>
      <c r="J482" s="51" t="s">
        <v>0</v>
      </c>
    </row>
    <row r="483" spans="1:11" ht="20.45" hidden="1" customHeight="1" x14ac:dyDescent="0.6">
      <c r="A483" s="50"/>
      <c r="J483" s="51"/>
    </row>
    <row r="484" spans="1:11" ht="20.45" hidden="1" customHeight="1" x14ac:dyDescent="0.6">
      <c r="A484" s="264" t="s">
        <v>170</v>
      </c>
      <c r="B484" s="264"/>
      <c r="C484" s="264"/>
      <c r="D484" s="264"/>
      <c r="E484" s="264"/>
      <c r="F484" s="264"/>
      <c r="G484" s="264"/>
      <c r="H484" s="264"/>
      <c r="I484" s="264"/>
      <c r="J484" s="264"/>
    </row>
    <row r="485" spans="1:11" ht="20.45" hidden="1" customHeight="1" x14ac:dyDescent="0.6">
      <c r="A485" s="286" t="s">
        <v>83</v>
      </c>
      <c r="B485" s="286"/>
      <c r="C485" s="286"/>
      <c r="D485" s="286" t="s">
        <v>84</v>
      </c>
      <c r="E485" s="286"/>
      <c r="F485" s="286" t="s">
        <v>85</v>
      </c>
      <c r="G485" s="286"/>
      <c r="H485" s="286"/>
      <c r="I485" s="286" t="s">
        <v>86</v>
      </c>
      <c r="J485" s="286"/>
    </row>
    <row r="486" spans="1:11" ht="20.45" hidden="1" customHeight="1" x14ac:dyDescent="0.6">
      <c r="A486" s="286">
        <f>VLOOKUP(K486,임금대장!$A$6:$AH$86,3,0)</f>
        <v>0</v>
      </c>
      <c r="B486" s="286"/>
      <c r="C486" s="286"/>
      <c r="D486" s="287" t="str">
        <f>VLOOKUP(K486,임금대장!$A$6:$AH$86,2,0)</f>
        <v>이금향</v>
      </c>
      <c r="E486" s="287"/>
      <c r="F486" s="287">
        <f>임금대장!$O$3</f>
        <v>31</v>
      </c>
      <c r="G486" s="286"/>
      <c r="H486" s="286"/>
      <c r="I486" s="288">
        <f>VLOOKUP(K486,임금대장!$A$6:$AH$86,16,0)</f>
        <v>1.5</v>
      </c>
      <c r="J486" s="288"/>
      <c r="K486" s="30">
        <v>22</v>
      </c>
    </row>
    <row r="487" spans="1:11" ht="20.45" hidden="1" customHeight="1" x14ac:dyDescent="0.6">
      <c r="A487" s="286" t="s">
        <v>87</v>
      </c>
      <c r="B487" s="286"/>
      <c r="C487" s="286" t="s">
        <v>5</v>
      </c>
      <c r="D487" s="289">
        <f>VLOOKUP($K486,임금대장!$A$6:$AH$86,5,0)</f>
        <v>45888</v>
      </c>
      <c r="E487" s="289"/>
      <c r="F487" s="114" t="s">
        <v>88</v>
      </c>
      <c r="G487" s="358">
        <f>VLOOKUP(K486,임금대장!$A$6:$AH$86,15,0)</f>
        <v>29.5</v>
      </c>
      <c r="H487" s="358"/>
      <c r="I487" s="286" t="s">
        <v>89</v>
      </c>
      <c r="J487" s="290">
        <f>VLOOKUP(K486,임금대장!$A$6:$AH$86,17,0)</f>
        <v>159670</v>
      </c>
    </row>
    <row r="488" spans="1:11" ht="20.45" hidden="1" customHeight="1" x14ac:dyDescent="0.6">
      <c r="A488" s="294">
        <f>VLOOKUP($K486,임금대장!$A$6:$AH$86,7,0)</f>
        <v>3300000</v>
      </c>
      <c r="B488" s="294"/>
      <c r="C488" s="286"/>
      <c r="D488" s="289"/>
      <c r="E488" s="289"/>
      <c r="F488" s="115" t="s">
        <v>90</v>
      </c>
      <c r="G488" s="359">
        <f>VLOOKUP(K486,임금대장!$A$6:$AH$86,16,0)</f>
        <v>1.5</v>
      </c>
      <c r="H488" s="359"/>
      <c r="I488" s="286"/>
      <c r="J488" s="290"/>
    </row>
    <row r="489" spans="1:11" ht="20.45" hidden="1" customHeight="1" x14ac:dyDescent="0.6">
      <c r="F489" s="250"/>
      <c r="G489" s="250"/>
      <c r="H489" s="32"/>
    </row>
    <row r="490" spans="1:11" ht="20.45" hidden="1" customHeight="1" x14ac:dyDescent="0.6">
      <c r="A490" s="251" t="s">
        <v>91</v>
      </c>
      <c r="B490" s="69" t="s">
        <v>20</v>
      </c>
      <c r="C490" s="25">
        <f>VLOOKUP($K486,임금대장!$A$6:$AH$86,9,0)</f>
        <v>2370103</v>
      </c>
      <c r="D490" s="33"/>
      <c r="E490" s="69"/>
      <c r="F490" s="254"/>
      <c r="G490" s="255"/>
      <c r="H490" s="25"/>
      <c r="I490" s="33"/>
      <c r="J490" s="34"/>
    </row>
    <row r="491" spans="1:11" ht="20.45" hidden="1" customHeight="1" x14ac:dyDescent="0.6">
      <c r="A491" s="252"/>
      <c r="B491" s="67" t="s">
        <v>21</v>
      </c>
      <c r="C491" s="35">
        <f>VLOOKUP($K486,임금대장!$A$6:$AH$86,10,0)</f>
        <v>739381</v>
      </c>
      <c r="D491" s="36"/>
      <c r="E491" s="67"/>
      <c r="F491" s="256"/>
      <c r="G491" s="257"/>
      <c r="H491" s="35"/>
      <c r="I491" s="36"/>
      <c r="J491" s="37"/>
    </row>
    <row r="492" spans="1:11" ht="20.45" hidden="1" customHeight="1" x14ac:dyDescent="0.6">
      <c r="A492" s="252"/>
      <c r="B492" s="52" t="s">
        <v>92</v>
      </c>
      <c r="C492" s="35">
        <f>VLOOKUP($K486,임금대장!$A$6:$AH$86,11,0)</f>
        <v>99794</v>
      </c>
      <c r="D492" s="36"/>
      <c r="E492" s="67"/>
      <c r="F492" s="256"/>
      <c r="G492" s="257"/>
      <c r="H492" s="35"/>
      <c r="I492" s="36"/>
      <c r="J492" s="37"/>
    </row>
    <row r="493" spans="1:11" ht="20.45" hidden="1" customHeight="1" x14ac:dyDescent="0.6">
      <c r="A493" s="252"/>
      <c r="B493" s="67" t="s">
        <v>115</v>
      </c>
      <c r="C493" s="35">
        <f>VLOOKUP($K486,임금대장!$A$6:$AH$86,12,0)</f>
        <v>0</v>
      </c>
      <c r="D493" s="36"/>
      <c r="E493" s="67"/>
      <c r="F493" s="256"/>
      <c r="G493" s="257"/>
      <c r="H493" s="35"/>
      <c r="I493" s="36"/>
      <c r="J493" s="37"/>
    </row>
    <row r="494" spans="1:11" ht="20.45" hidden="1" customHeight="1" x14ac:dyDescent="0.6">
      <c r="A494" s="252"/>
      <c r="B494" s="67" t="s">
        <v>94</v>
      </c>
      <c r="C494" s="35">
        <f>VLOOKUP($K486,임금대장!$A$6:$AH$86,13,0)</f>
        <v>90722</v>
      </c>
      <c r="D494" s="36"/>
      <c r="E494" s="36"/>
      <c r="F494" s="258"/>
      <c r="G494" s="259"/>
      <c r="H494" s="35"/>
      <c r="I494" s="36"/>
      <c r="J494" s="37"/>
    </row>
    <row r="495" spans="1:11" ht="20.45" hidden="1" customHeight="1" x14ac:dyDescent="0.6">
      <c r="A495" s="252"/>
      <c r="B495" s="67" t="s">
        <v>24</v>
      </c>
      <c r="C495" s="102">
        <f>VLOOKUP($K486,임금대장!$A$6:$AH$86,14,0)</f>
        <v>0</v>
      </c>
      <c r="D495" s="36"/>
      <c r="E495" s="36"/>
      <c r="F495" s="258"/>
      <c r="G495" s="259"/>
      <c r="H495" s="35"/>
      <c r="I495" s="36"/>
      <c r="J495" s="37"/>
    </row>
    <row r="496" spans="1:11" ht="20.45" hidden="1" customHeight="1" x14ac:dyDescent="0.6">
      <c r="A496" s="252"/>
      <c r="B496" s="67"/>
      <c r="C496" s="35"/>
      <c r="D496" s="36"/>
      <c r="E496" s="36"/>
      <c r="F496" s="258"/>
      <c r="G496" s="259"/>
      <c r="H496" s="35"/>
      <c r="I496" s="36"/>
      <c r="J496" s="37"/>
    </row>
    <row r="497" spans="1:11" ht="20.45" hidden="1" customHeight="1" x14ac:dyDescent="0.6">
      <c r="A497" s="252"/>
      <c r="B497" s="67"/>
      <c r="C497" s="35"/>
      <c r="D497" s="36"/>
      <c r="E497" s="36"/>
      <c r="F497" s="258"/>
      <c r="G497" s="259"/>
      <c r="H497" s="35"/>
      <c r="I497" s="36"/>
      <c r="J497" s="37"/>
    </row>
    <row r="498" spans="1:11" ht="20.45" hidden="1" customHeight="1" x14ac:dyDescent="0.6">
      <c r="A498" s="253"/>
      <c r="B498" s="68"/>
      <c r="C498" s="39"/>
      <c r="D498" s="40"/>
      <c r="E498" s="40"/>
      <c r="F498" s="260"/>
      <c r="G498" s="261"/>
      <c r="H498" s="39"/>
      <c r="I498" s="68" t="s">
        <v>95</v>
      </c>
      <c r="J498" s="41">
        <f>SUM(C490:H496)</f>
        <v>3300000</v>
      </c>
    </row>
    <row r="499" spans="1:11" ht="20.45" hidden="1" customHeight="1" x14ac:dyDescent="0.6">
      <c r="A499" s="251" t="s">
        <v>96</v>
      </c>
      <c r="B499" s="36" t="s">
        <v>97</v>
      </c>
      <c r="C499" s="35">
        <f>VLOOKUP($K486,임금대장!$A$6:$AH$86,25,0)</f>
        <v>84620</v>
      </c>
      <c r="D499" s="33"/>
      <c r="E499" s="42"/>
      <c r="F499" s="262" t="s">
        <v>14</v>
      </c>
      <c r="G499" s="263"/>
      <c r="H499" s="35">
        <f>VLOOKUP($K486,임금대장!$A$6:$AH$86,19,0)</f>
        <v>0</v>
      </c>
      <c r="I499" s="33"/>
      <c r="J499" s="34"/>
    </row>
    <row r="500" spans="1:11" ht="20.45" hidden="1" customHeight="1" x14ac:dyDescent="0.6">
      <c r="A500" s="252"/>
      <c r="B500" s="36" t="s">
        <v>98</v>
      </c>
      <c r="C500" s="35">
        <f>VLOOKUP($K486,임금대장!$A$6:$AH$86,26,0)</f>
        <v>8460</v>
      </c>
      <c r="D500" s="36"/>
      <c r="E500" s="43"/>
      <c r="F500" s="258" t="s">
        <v>12</v>
      </c>
      <c r="G500" s="259"/>
      <c r="H500" s="35">
        <f>VLOOKUP($K486,임금대장!$A$6:$AH$86,17,0)</f>
        <v>159670</v>
      </c>
      <c r="I500" s="36"/>
      <c r="J500" s="37"/>
    </row>
    <row r="501" spans="1:11" ht="20.45" hidden="1" customHeight="1" x14ac:dyDescent="0.6">
      <c r="A501" s="252"/>
      <c r="B501" s="36" t="s">
        <v>99</v>
      </c>
      <c r="C501" s="35">
        <f>VLOOKUP($K486,임금대장!$A$6:$AH$86,27,0)</f>
        <v>85500</v>
      </c>
      <c r="D501" s="36"/>
      <c r="E501" s="44"/>
      <c r="F501" s="258" t="s">
        <v>171</v>
      </c>
      <c r="G501" s="259"/>
      <c r="H501" s="35">
        <f>VLOOKUP($K486,임금대장!$A$6:$AH$86,31,0)</f>
        <v>0</v>
      </c>
      <c r="I501" s="36"/>
      <c r="J501" s="37"/>
    </row>
    <row r="502" spans="1:11" ht="20.45" hidden="1" customHeight="1" x14ac:dyDescent="0.6">
      <c r="A502" s="252"/>
      <c r="B502" s="36" t="s">
        <v>101</v>
      </c>
      <c r="C502" s="35">
        <f>VLOOKUP($K486,임금대장!$A$6:$AH$86,28,0)</f>
        <v>112890</v>
      </c>
      <c r="D502" s="36"/>
      <c r="E502" s="43"/>
      <c r="F502" s="258" t="s">
        <v>102</v>
      </c>
      <c r="G502" s="259"/>
      <c r="H502" s="35">
        <f>VLOOKUP($K486,임금대장!$A$6:$AH$86,30,0)</f>
        <v>28260</v>
      </c>
      <c r="I502" s="36"/>
      <c r="J502" s="37"/>
    </row>
    <row r="503" spans="1:11" ht="20.45" hidden="1" customHeight="1" x14ac:dyDescent="0.6">
      <c r="A503" s="252"/>
      <c r="B503" s="36" t="s">
        <v>31</v>
      </c>
      <c r="C503" s="35">
        <f>VLOOKUP($K486,임금대장!$A$6:$AH$86,29,0)</f>
        <v>14830</v>
      </c>
      <c r="D503" s="36"/>
      <c r="E503" s="43"/>
      <c r="F503" s="45"/>
      <c r="G503" s="46"/>
      <c r="H503" s="36"/>
      <c r="I503" s="67" t="s">
        <v>103</v>
      </c>
      <c r="J503" s="47">
        <f>SUM(C499:H504)</f>
        <v>494230</v>
      </c>
    </row>
    <row r="504" spans="1:11" ht="20.45" hidden="1" customHeight="1" x14ac:dyDescent="0.6">
      <c r="A504" s="253"/>
      <c r="B504" s="40"/>
      <c r="C504" s="101"/>
      <c r="D504" s="40"/>
      <c r="E504" s="48"/>
      <c r="F504" s="260"/>
      <c r="G504" s="261"/>
      <c r="H504" s="40"/>
      <c r="I504" s="68" t="s">
        <v>104</v>
      </c>
      <c r="J504" s="49">
        <f>J498-J503</f>
        <v>2805770</v>
      </c>
    </row>
    <row r="505" spans="1:11" ht="20.45" hidden="1" customHeight="1" x14ac:dyDescent="0.6">
      <c r="A505" s="50" t="s">
        <v>105</v>
      </c>
      <c r="J505" s="51" t="s">
        <v>0</v>
      </c>
    </row>
    <row r="506" spans="1:11" ht="20.45" hidden="1" customHeight="1" x14ac:dyDescent="0.6">
      <c r="A506" s="50"/>
      <c r="J506" s="51"/>
    </row>
    <row r="507" spans="1:11" ht="20.45" hidden="1" customHeight="1" x14ac:dyDescent="0.6">
      <c r="A507" s="264" t="s">
        <v>170</v>
      </c>
      <c r="B507" s="264"/>
      <c r="C507" s="264"/>
      <c r="D507" s="264"/>
      <c r="E507" s="264"/>
      <c r="F507" s="264"/>
      <c r="G507" s="264"/>
      <c r="H507" s="264"/>
      <c r="I507" s="264"/>
      <c r="J507" s="264"/>
    </row>
    <row r="508" spans="1:11" ht="20.45" hidden="1" customHeight="1" x14ac:dyDescent="0.6">
      <c r="A508" s="286" t="s">
        <v>83</v>
      </c>
      <c r="B508" s="286"/>
      <c r="C508" s="286"/>
      <c r="D508" s="286" t="s">
        <v>84</v>
      </c>
      <c r="E508" s="286"/>
      <c r="F508" s="286" t="s">
        <v>85</v>
      </c>
      <c r="G508" s="286"/>
      <c r="H508" s="286"/>
      <c r="I508" s="286" t="s">
        <v>86</v>
      </c>
      <c r="J508" s="286"/>
    </row>
    <row r="509" spans="1:11" ht="20.45" hidden="1" customHeight="1" x14ac:dyDescent="0.6">
      <c r="A509" s="286" t="str">
        <f>VLOOKUP(K509,임금대장!$A$6:$AH$86,3,0)</f>
        <v>샐러드</v>
      </c>
      <c r="B509" s="286"/>
      <c r="C509" s="286"/>
      <c r="D509" s="287" t="str">
        <f>VLOOKUP(K509,임금대장!$A$6:$AH$86,2,0)</f>
        <v>김린</v>
      </c>
      <c r="E509" s="287"/>
      <c r="F509" s="287">
        <f>임금대장!$O$3</f>
        <v>31</v>
      </c>
      <c r="G509" s="286"/>
      <c r="H509" s="286"/>
      <c r="I509" s="288">
        <f>VLOOKUP(K509,임금대장!$A$6:$AH$86,16,0)</f>
        <v>7</v>
      </c>
      <c r="J509" s="288"/>
      <c r="K509" s="30">
        <v>23</v>
      </c>
    </row>
    <row r="510" spans="1:11" ht="20.45" hidden="1" customHeight="1" x14ac:dyDescent="0.6">
      <c r="A510" s="286" t="s">
        <v>87</v>
      </c>
      <c r="B510" s="286"/>
      <c r="C510" s="286" t="s">
        <v>5</v>
      </c>
      <c r="D510" s="289">
        <f>VLOOKUP($K509,임금대장!$A$6:$AH$86,5,0)</f>
        <v>45890</v>
      </c>
      <c r="E510" s="289"/>
      <c r="F510" s="114" t="s">
        <v>88</v>
      </c>
      <c r="G510" s="358">
        <f>VLOOKUP(K509,임금대장!$A$6:$AH$86,15,0)</f>
        <v>24</v>
      </c>
      <c r="H510" s="358"/>
      <c r="I510" s="286" t="s">
        <v>89</v>
      </c>
      <c r="J510" s="290">
        <f>VLOOKUP(K509,임금대장!$A$6:$AH$86,17,0)</f>
        <v>745160</v>
      </c>
    </row>
    <row r="511" spans="1:11" ht="20.45" hidden="1" customHeight="1" x14ac:dyDescent="0.6">
      <c r="A511" s="294">
        <f>VLOOKUP($K509,임금대장!$A$6:$AH$86,7,0)</f>
        <v>3300000</v>
      </c>
      <c r="B511" s="294"/>
      <c r="C511" s="286"/>
      <c r="D511" s="289"/>
      <c r="E511" s="289"/>
      <c r="F511" s="115" t="s">
        <v>90</v>
      </c>
      <c r="G511" s="359">
        <f>VLOOKUP(K509,임금대장!$A$6:$AH$86,16,0)</f>
        <v>7</v>
      </c>
      <c r="H511" s="359"/>
      <c r="I511" s="286"/>
      <c r="J511" s="290"/>
    </row>
    <row r="512" spans="1:11" ht="20.45" hidden="1" customHeight="1" x14ac:dyDescent="0.6">
      <c r="F512" s="250"/>
      <c r="G512" s="250"/>
      <c r="H512" s="32"/>
    </row>
    <row r="513" spans="1:10" ht="20.45" hidden="1" customHeight="1" x14ac:dyDescent="0.6">
      <c r="A513" s="251" t="s">
        <v>91</v>
      </c>
      <c r="B513" s="69" t="s">
        <v>20</v>
      </c>
      <c r="C513" s="25">
        <f>VLOOKUP($K509,임금대장!$A$6:$AH$86,9,0)</f>
        <v>2370103</v>
      </c>
      <c r="D513" s="33"/>
      <c r="E513" s="69"/>
      <c r="F513" s="254"/>
      <c r="G513" s="255"/>
      <c r="H513" s="25"/>
      <c r="I513" s="33"/>
      <c r="J513" s="34"/>
    </row>
    <row r="514" spans="1:10" ht="20.45" hidden="1" customHeight="1" x14ac:dyDescent="0.6">
      <c r="A514" s="252"/>
      <c r="B514" s="67" t="s">
        <v>21</v>
      </c>
      <c r="C514" s="35">
        <f>VLOOKUP($K509,임금대장!$A$6:$AH$86,10,0)</f>
        <v>739381</v>
      </c>
      <c r="D514" s="36"/>
      <c r="E514" s="67"/>
      <c r="F514" s="256"/>
      <c r="G514" s="257"/>
      <c r="H514" s="35"/>
      <c r="I514" s="36"/>
      <c r="J514" s="37"/>
    </row>
    <row r="515" spans="1:10" ht="20.45" hidden="1" customHeight="1" x14ac:dyDescent="0.6">
      <c r="A515" s="252"/>
      <c r="B515" s="52" t="s">
        <v>92</v>
      </c>
      <c r="C515" s="35">
        <f>VLOOKUP($K509,임금대장!$A$6:$AH$86,11,0)</f>
        <v>99794</v>
      </c>
      <c r="D515" s="36"/>
      <c r="E515" s="67"/>
      <c r="F515" s="256"/>
      <c r="G515" s="257"/>
      <c r="H515" s="35"/>
      <c r="I515" s="36"/>
      <c r="J515" s="37"/>
    </row>
    <row r="516" spans="1:10" ht="20.45" hidden="1" customHeight="1" x14ac:dyDescent="0.6">
      <c r="A516" s="252"/>
      <c r="B516" s="67" t="s">
        <v>115</v>
      </c>
      <c r="C516" s="35">
        <f>VLOOKUP($K509,임금대장!$A$6:$AH$86,12,0)</f>
        <v>0</v>
      </c>
      <c r="D516" s="36"/>
      <c r="E516" s="67"/>
      <c r="F516" s="256"/>
      <c r="G516" s="257"/>
      <c r="H516" s="35"/>
      <c r="I516" s="36"/>
      <c r="J516" s="37"/>
    </row>
    <row r="517" spans="1:10" ht="20.45" hidden="1" customHeight="1" x14ac:dyDescent="0.6">
      <c r="A517" s="252"/>
      <c r="B517" s="67" t="s">
        <v>94</v>
      </c>
      <c r="C517" s="35">
        <f>VLOOKUP($K509,임금대장!$A$6:$AH$86,13,0)</f>
        <v>90722</v>
      </c>
      <c r="D517" s="36"/>
      <c r="E517" s="36"/>
      <c r="F517" s="258"/>
      <c r="G517" s="259"/>
      <c r="H517" s="35"/>
      <c r="I517" s="36"/>
      <c r="J517" s="37"/>
    </row>
    <row r="518" spans="1:10" ht="20.45" hidden="1" customHeight="1" x14ac:dyDescent="0.6">
      <c r="A518" s="252"/>
      <c r="B518" s="67" t="s">
        <v>24</v>
      </c>
      <c r="C518" s="102">
        <f>VLOOKUP($K509,임금대장!$A$6:$AH$86,14,0)</f>
        <v>0</v>
      </c>
      <c r="D518" s="36"/>
      <c r="E518" s="36"/>
      <c r="F518" s="258"/>
      <c r="G518" s="259"/>
      <c r="H518" s="35"/>
      <c r="I518" s="36"/>
      <c r="J518" s="37"/>
    </row>
    <row r="519" spans="1:10" ht="20.45" hidden="1" customHeight="1" x14ac:dyDescent="0.6">
      <c r="A519" s="252"/>
      <c r="B519" s="67"/>
      <c r="C519" s="35"/>
      <c r="D519" s="36"/>
      <c r="E519" s="36"/>
      <c r="F519" s="258"/>
      <c r="G519" s="259"/>
      <c r="H519" s="35"/>
      <c r="I519" s="36"/>
      <c r="J519" s="37"/>
    </row>
    <row r="520" spans="1:10" ht="20.45" hidden="1" customHeight="1" x14ac:dyDescent="0.6">
      <c r="A520" s="252"/>
      <c r="B520" s="67"/>
      <c r="C520" s="35"/>
      <c r="D520" s="36"/>
      <c r="E520" s="36"/>
      <c r="F520" s="258"/>
      <c r="G520" s="259"/>
      <c r="H520" s="35"/>
      <c r="I520" s="36"/>
      <c r="J520" s="37"/>
    </row>
    <row r="521" spans="1:10" ht="20.45" hidden="1" customHeight="1" x14ac:dyDescent="0.6">
      <c r="A521" s="253"/>
      <c r="B521" s="68"/>
      <c r="C521" s="39"/>
      <c r="D521" s="40"/>
      <c r="E521" s="40"/>
      <c r="F521" s="260"/>
      <c r="G521" s="261"/>
      <c r="H521" s="39"/>
      <c r="I521" s="68" t="s">
        <v>95</v>
      </c>
      <c r="J521" s="41">
        <f>SUM(C513:H519)</f>
        <v>3300000</v>
      </c>
    </row>
    <row r="522" spans="1:10" ht="20.45" hidden="1" customHeight="1" x14ac:dyDescent="0.6">
      <c r="A522" s="251" t="s">
        <v>96</v>
      </c>
      <c r="B522" s="36" t="s">
        <v>97</v>
      </c>
      <c r="C522" s="35">
        <f>VLOOKUP($K509,임금대장!$A$6:$AH$86,25,0)</f>
        <v>36970</v>
      </c>
      <c r="D522" s="33"/>
      <c r="E522" s="42"/>
      <c r="F522" s="262" t="s">
        <v>14</v>
      </c>
      <c r="G522" s="263"/>
      <c r="H522" s="35">
        <f>VLOOKUP($K509,임금대장!$A$6:$AH$86,19,0)</f>
        <v>0</v>
      </c>
      <c r="I522" s="33"/>
      <c r="J522" s="34"/>
    </row>
    <row r="523" spans="1:10" ht="20.45" hidden="1" customHeight="1" x14ac:dyDescent="0.6">
      <c r="A523" s="252"/>
      <c r="B523" s="36" t="s">
        <v>98</v>
      </c>
      <c r="C523" s="35">
        <f>VLOOKUP($K509,임금대장!$A$6:$AH$86,26,0)</f>
        <v>3690</v>
      </c>
      <c r="D523" s="36"/>
      <c r="E523" s="43"/>
      <c r="F523" s="258" t="s">
        <v>12</v>
      </c>
      <c r="G523" s="259"/>
      <c r="H523" s="35">
        <f>VLOOKUP($K509,임금대장!$A$6:$AH$86,17,0)</f>
        <v>745160</v>
      </c>
      <c r="I523" s="36"/>
      <c r="J523" s="37"/>
    </row>
    <row r="524" spans="1:10" ht="20.45" hidden="1" customHeight="1" x14ac:dyDescent="0.6">
      <c r="A524" s="252"/>
      <c r="B524" s="36" t="s">
        <v>99</v>
      </c>
      <c r="C524" s="35">
        <f>VLOOKUP($K509,임금대장!$A$6:$AH$86,27,0)</f>
        <v>85500</v>
      </c>
      <c r="D524" s="36"/>
      <c r="E524" s="44"/>
      <c r="F524" s="258" t="s">
        <v>171</v>
      </c>
      <c r="G524" s="259"/>
      <c r="H524" s="35">
        <f>VLOOKUP($K509,임금대장!$A$6:$AH$86,31,0)</f>
        <v>0</v>
      </c>
      <c r="I524" s="36"/>
      <c r="J524" s="37"/>
    </row>
    <row r="525" spans="1:10" ht="20.45" hidden="1" customHeight="1" x14ac:dyDescent="0.6">
      <c r="A525" s="252"/>
      <c r="B525" s="36" t="s">
        <v>101</v>
      </c>
      <c r="C525" s="35">
        <f>VLOOKUP($K509,임금대장!$A$6:$AH$86,28,0)</f>
        <v>91840</v>
      </c>
      <c r="D525" s="36"/>
      <c r="E525" s="43"/>
      <c r="F525" s="258" t="s">
        <v>102</v>
      </c>
      <c r="G525" s="259"/>
      <c r="H525" s="35">
        <f>VLOOKUP($K509,임금대장!$A$6:$AH$86,30,0)</f>
        <v>22990</v>
      </c>
      <c r="I525" s="36"/>
      <c r="J525" s="37"/>
    </row>
    <row r="526" spans="1:10" ht="20.45" hidden="1" customHeight="1" x14ac:dyDescent="0.6">
      <c r="A526" s="252"/>
      <c r="B526" s="36" t="s">
        <v>31</v>
      </c>
      <c r="C526" s="35">
        <f>VLOOKUP($K509,임금대장!$A$6:$AH$86,29,0)</f>
        <v>12060</v>
      </c>
      <c r="D526" s="36"/>
      <c r="E526" s="43"/>
      <c r="F526" s="45"/>
      <c r="G526" s="46"/>
      <c r="H526" s="36"/>
      <c r="I526" s="67" t="s">
        <v>103</v>
      </c>
      <c r="J526" s="47">
        <f>SUM(C522:H527)</f>
        <v>998210</v>
      </c>
    </row>
    <row r="527" spans="1:10" ht="20.45" hidden="1" customHeight="1" x14ac:dyDescent="0.6">
      <c r="A527" s="253"/>
      <c r="B527" s="40"/>
      <c r="C527" s="101"/>
      <c r="D527" s="40"/>
      <c r="E527" s="48"/>
      <c r="F527" s="260"/>
      <c r="G527" s="261"/>
      <c r="H527" s="40"/>
      <c r="I527" s="68" t="s">
        <v>104</v>
      </c>
      <c r="J527" s="49">
        <f>J521-J526</f>
        <v>2301790</v>
      </c>
    </row>
    <row r="528" spans="1:10" ht="20.45" hidden="1" customHeight="1" x14ac:dyDescent="0.6">
      <c r="A528" s="50" t="s">
        <v>105</v>
      </c>
      <c r="J528" s="51" t="s">
        <v>0</v>
      </c>
    </row>
    <row r="529" spans="1:11" ht="20.45" hidden="1" customHeight="1" x14ac:dyDescent="0.6">
      <c r="A529" s="50"/>
      <c r="J529" s="51"/>
    </row>
    <row r="530" spans="1:11" ht="20.45" hidden="1" customHeight="1" x14ac:dyDescent="0.6">
      <c r="A530" s="264" t="s">
        <v>170</v>
      </c>
      <c r="B530" s="264"/>
      <c r="C530" s="264"/>
      <c r="D530" s="264"/>
      <c r="E530" s="264"/>
      <c r="F530" s="264"/>
      <c r="G530" s="264"/>
      <c r="H530" s="264"/>
      <c r="I530" s="264"/>
      <c r="J530" s="264"/>
    </row>
    <row r="531" spans="1:11" ht="20.45" hidden="1" customHeight="1" x14ac:dyDescent="0.6">
      <c r="A531" s="286" t="s">
        <v>83</v>
      </c>
      <c r="B531" s="286"/>
      <c r="C531" s="286"/>
      <c r="D531" s="286" t="s">
        <v>84</v>
      </c>
      <c r="E531" s="286"/>
      <c r="F531" s="286" t="s">
        <v>85</v>
      </c>
      <c r="G531" s="286"/>
      <c r="H531" s="286"/>
      <c r="I531" s="286" t="s">
        <v>86</v>
      </c>
      <c r="J531" s="286"/>
    </row>
    <row r="532" spans="1:11" ht="20.45" hidden="1" customHeight="1" x14ac:dyDescent="0.6">
      <c r="A532" s="286" t="str">
        <f>VLOOKUP(K532,임금대장!$A$6:$AH$86,3,0)</f>
        <v>홀</v>
      </c>
      <c r="B532" s="286"/>
      <c r="C532" s="286"/>
      <c r="D532" s="287" t="str">
        <f>VLOOKUP(K532,임금대장!$A$6:$AH$86,2,0)</f>
        <v>박성재</v>
      </c>
      <c r="E532" s="287"/>
      <c r="F532" s="287">
        <f>임금대장!$O$3</f>
        <v>31</v>
      </c>
      <c r="G532" s="286"/>
      <c r="H532" s="286"/>
      <c r="I532" s="288">
        <f>VLOOKUP(K532,임금대장!$A$6:$AH$86,16,0)</f>
        <v>31</v>
      </c>
      <c r="J532" s="288"/>
      <c r="K532" s="30">
        <v>24</v>
      </c>
    </row>
    <row r="533" spans="1:11" ht="20.45" hidden="1" customHeight="1" x14ac:dyDescent="0.6">
      <c r="A533" s="286" t="s">
        <v>87</v>
      </c>
      <c r="B533" s="286"/>
      <c r="C533" s="286" t="s">
        <v>5</v>
      </c>
      <c r="D533" s="289">
        <f>VLOOKUP($K532,임금대장!$A$6:$AH$86,5,0)</f>
        <v>45901</v>
      </c>
      <c r="E533" s="289"/>
      <c r="F533" s="114" t="s">
        <v>88</v>
      </c>
      <c r="G533" s="358">
        <f>VLOOKUP(K532,임금대장!$A$6:$AH$86,15,0)</f>
        <v>0</v>
      </c>
      <c r="H533" s="358"/>
      <c r="I533" s="286" t="s">
        <v>89</v>
      </c>
      <c r="J533" s="290">
        <f>VLOOKUP(K532,임금대장!$A$6:$AH$86,17,0)</f>
        <v>3200000</v>
      </c>
    </row>
    <row r="534" spans="1:11" ht="20.45" hidden="1" customHeight="1" x14ac:dyDescent="0.6">
      <c r="A534" s="294">
        <f>VLOOKUP($K532,임금대장!$A$6:$AH$86,7,0)</f>
        <v>3200000</v>
      </c>
      <c r="B534" s="294"/>
      <c r="C534" s="286"/>
      <c r="D534" s="289"/>
      <c r="E534" s="289"/>
      <c r="F534" s="115" t="s">
        <v>90</v>
      </c>
      <c r="G534" s="359">
        <f>VLOOKUP(K532,임금대장!$A$6:$AH$86,16,0)</f>
        <v>31</v>
      </c>
      <c r="H534" s="359"/>
      <c r="I534" s="286"/>
      <c r="J534" s="290"/>
    </row>
    <row r="535" spans="1:11" ht="20.45" hidden="1" customHeight="1" x14ac:dyDescent="0.6">
      <c r="F535" s="250"/>
      <c r="G535" s="250"/>
      <c r="H535" s="32"/>
    </row>
    <row r="536" spans="1:11" ht="20.45" hidden="1" customHeight="1" x14ac:dyDescent="0.6">
      <c r="A536" s="251" t="s">
        <v>91</v>
      </c>
      <c r="B536" s="69" t="s">
        <v>20</v>
      </c>
      <c r="C536" s="25">
        <f>VLOOKUP($K532,임금대장!$A$6:$AH$86,9,0)</f>
        <v>2298282</v>
      </c>
      <c r="D536" s="33"/>
      <c r="E536" s="69"/>
      <c r="F536" s="254"/>
      <c r="G536" s="255"/>
      <c r="H536" s="25"/>
      <c r="I536" s="33"/>
      <c r="J536" s="34"/>
    </row>
    <row r="537" spans="1:11" ht="20.45" hidden="1" customHeight="1" x14ac:dyDescent="0.6">
      <c r="A537" s="252"/>
      <c r="B537" s="67" t="s">
        <v>21</v>
      </c>
      <c r="C537" s="35">
        <f>VLOOKUP($K532,임금대장!$A$6:$AH$86,10,0)</f>
        <v>716975</v>
      </c>
      <c r="D537" s="36"/>
      <c r="E537" s="67"/>
      <c r="F537" s="256"/>
      <c r="G537" s="257"/>
      <c r="H537" s="35"/>
      <c r="I537" s="36"/>
      <c r="J537" s="37"/>
    </row>
    <row r="538" spans="1:11" ht="20.45" hidden="1" customHeight="1" x14ac:dyDescent="0.6">
      <c r="A538" s="252"/>
      <c r="B538" s="52" t="s">
        <v>92</v>
      </c>
      <c r="C538" s="35">
        <f>VLOOKUP($K532,임금대장!$A$6:$AH$86,11,0)</f>
        <v>96770</v>
      </c>
      <c r="D538" s="36"/>
      <c r="E538" s="67"/>
      <c r="F538" s="256"/>
      <c r="G538" s="257"/>
      <c r="H538" s="35"/>
      <c r="I538" s="36"/>
      <c r="J538" s="37"/>
    </row>
    <row r="539" spans="1:11" ht="20.45" hidden="1" customHeight="1" x14ac:dyDescent="0.6">
      <c r="A539" s="252"/>
      <c r="B539" s="67" t="s">
        <v>115</v>
      </c>
      <c r="C539" s="35">
        <f>VLOOKUP($K532,임금대장!$A$6:$AH$86,12,0)</f>
        <v>0</v>
      </c>
      <c r="D539" s="36"/>
      <c r="E539" s="67"/>
      <c r="F539" s="256"/>
      <c r="G539" s="257"/>
      <c r="H539" s="35"/>
      <c r="I539" s="36"/>
      <c r="J539" s="37"/>
    </row>
    <row r="540" spans="1:11" ht="20.45" hidden="1" customHeight="1" x14ac:dyDescent="0.6">
      <c r="A540" s="252"/>
      <c r="B540" s="67" t="s">
        <v>94</v>
      </c>
      <c r="C540" s="35">
        <f>VLOOKUP($K532,임금대장!$A$6:$AH$86,13,0)</f>
        <v>87973</v>
      </c>
      <c r="D540" s="36"/>
      <c r="E540" s="36"/>
      <c r="F540" s="258"/>
      <c r="G540" s="259"/>
      <c r="H540" s="35"/>
      <c r="I540" s="36"/>
      <c r="J540" s="37"/>
    </row>
    <row r="541" spans="1:11" ht="20.45" hidden="1" customHeight="1" x14ac:dyDescent="0.6">
      <c r="A541" s="252"/>
      <c r="B541" s="67" t="s">
        <v>24</v>
      </c>
      <c r="C541" s="102">
        <f>VLOOKUP($K532,임금대장!$A$6:$AH$86,14,0)</f>
        <v>0</v>
      </c>
      <c r="D541" s="36"/>
      <c r="E541" s="36"/>
      <c r="F541" s="258"/>
      <c r="G541" s="259"/>
      <c r="H541" s="35"/>
      <c r="I541" s="36"/>
      <c r="J541" s="37"/>
    </row>
    <row r="542" spans="1:11" ht="20.45" hidden="1" customHeight="1" x14ac:dyDescent="0.6">
      <c r="A542" s="252"/>
      <c r="B542" s="67"/>
      <c r="C542" s="35"/>
      <c r="D542" s="36"/>
      <c r="E542" s="36"/>
      <c r="F542" s="258"/>
      <c r="G542" s="259"/>
      <c r="H542" s="35"/>
      <c r="I542" s="36"/>
      <c r="J542" s="37"/>
    </row>
    <row r="543" spans="1:11" ht="20.45" hidden="1" customHeight="1" x14ac:dyDescent="0.6">
      <c r="A543" s="252"/>
      <c r="B543" s="67"/>
      <c r="C543" s="35"/>
      <c r="D543" s="36"/>
      <c r="E543" s="36"/>
      <c r="F543" s="258"/>
      <c r="G543" s="259"/>
      <c r="H543" s="35"/>
      <c r="I543" s="36"/>
      <c r="J543" s="37"/>
    </row>
    <row r="544" spans="1:11" ht="20.45" hidden="1" customHeight="1" x14ac:dyDescent="0.6">
      <c r="A544" s="253"/>
      <c r="B544" s="68"/>
      <c r="C544" s="39"/>
      <c r="D544" s="40"/>
      <c r="E544" s="40"/>
      <c r="F544" s="260"/>
      <c r="G544" s="261"/>
      <c r="H544" s="39"/>
      <c r="I544" s="68" t="s">
        <v>95</v>
      </c>
      <c r="J544" s="41">
        <f>SUM(C536:H542)</f>
        <v>3200000</v>
      </c>
    </row>
    <row r="545" spans="1:11" ht="20.45" hidden="1" customHeight="1" x14ac:dyDescent="0.6">
      <c r="A545" s="251" t="s">
        <v>96</v>
      </c>
      <c r="B545" s="36" t="s">
        <v>97</v>
      </c>
      <c r="C545" s="35">
        <f>VLOOKUP($K532,임금대장!$A$6:$AH$86,25,0)</f>
        <v>0</v>
      </c>
      <c r="D545" s="33"/>
      <c r="E545" s="42"/>
      <c r="F545" s="262" t="s">
        <v>14</v>
      </c>
      <c r="G545" s="263"/>
      <c r="H545" s="35">
        <f>VLOOKUP($K532,임금대장!$A$6:$AH$86,19,0)</f>
        <v>0</v>
      </c>
      <c r="I545" s="33"/>
      <c r="J545" s="34"/>
    </row>
    <row r="546" spans="1:11" ht="20.45" hidden="1" customHeight="1" x14ac:dyDescent="0.6">
      <c r="A546" s="252"/>
      <c r="B546" s="36" t="s">
        <v>98</v>
      </c>
      <c r="C546" s="35">
        <f>VLOOKUP($K532,임금대장!$A$6:$AH$86,26,0)</f>
        <v>0</v>
      </c>
      <c r="D546" s="36"/>
      <c r="E546" s="43"/>
      <c r="F546" s="258" t="s">
        <v>12</v>
      </c>
      <c r="G546" s="259"/>
      <c r="H546" s="35">
        <f>VLOOKUP($K532,임금대장!$A$6:$AH$86,17,0)</f>
        <v>3200000</v>
      </c>
      <c r="I546" s="36"/>
      <c r="J546" s="37"/>
    </row>
    <row r="547" spans="1:11" ht="20.45" hidden="1" customHeight="1" x14ac:dyDescent="0.6">
      <c r="A547" s="252"/>
      <c r="B547" s="36" t="s">
        <v>99</v>
      </c>
      <c r="C547" s="35">
        <f>VLOOKUP($K532,임금대장!$A$6:$AH$86,27,0)</f>
        <v>0</v>
      </c>
      <c r="D547" s="36"/>
      <c r="E547" s="44"/>
      <c r="F547" s="258" t="s">
        <v>171</v>
      </c>
      <c r="G547" s="259"/>
      <c r="H547" s="35">
        <f>VLOOKUP($K532,임금대장!$A$6:$AH$86,31,0)</f>
        <v>0</v>
      </c>
      <c r="I547" s="36"/>
      <c r="J547" s="37"/>
    </row>
    <row r="548" spans="1:11" ht="20.45" hidden="1" customHeight="1" x14ac:dyDescent="0.6">
      <c r="A548" s="252"/>
      <c r="B548" s="36" t="s">
        <v>101</v>
      </c>
      <c r="C548" s="35">
        <f>VLOOKUP($K532,임금대장!$A$6:$AH$86,28,0)</f>
        <v>0</v>
      </c>
      <c r="D548" s="36"/>
      <c r="E548" s="43"/>
      <c r="F548" s="258" t="s">
        <v>102</v>
      </c>
      <c r="G548" s="259"/>
      <c r="H548" s="35">
        <f>VLOOKUP($K532,임금대장!$A$6:$AH$86,30,0)</f>
        <v>0</v>
      </c>
      <c r="I548" s="36"/>
      <c r="J548" s="37"/>
    </row>
    <row r="549" spans="1:11" ht="20.45" hidden="1" customHeight="1" x14ac:dyDescent="0.6">
      <c r="A549" s="252"/>
      <c r="B549" s="36" t="s">
        <v>31</v>
      </c>
      <c r="C549" s="35">
        <f>VLOOKUP($K532,임금대장!$A$6:$AH$86,29,0)</f>
        <v>0</v>
      </c>
      <c r="D549" s="36"/>
      <c r="E549" s="43"/>
      <c r="F549" s="45"/>
      <c r="G549" s="46"/>
      <c r="H549" s="36"/>
      <c r="I549" s="67" t="s">
        <v>103</v>
      </c>
      <c r="J549" s="47">
        <f>SUM(C545:H550)</f>
        <v>3200000</v>
      </c>
    </row>
    <row r="550" spans="1:11" ht="20.45" hidden="1" customHeight="1" x14ac:dyDescent="0.6">
      <c r="A550" s="253"/>
      <c r="B550" s="40"/>
      <c r="C550" s="101"/>
      <c r="D550" s="40"/>
      <c r="E550" s="48"/>
      <c r="F550" s="260"/>
      <c r="G550" s="261"/>
      <c r="H550" s="40"/>
      <c r="I550" s="68" t="s">
        <v>104</v>
      </c>
      <c r="J550" s="49">
        <f>J544-J549</f>
        <v>0</v>
      </c>
    </row>
    <row r="551" spans="1:11" ht="20.45" hidden="1" customHeight="1" x14ac:dyDescent="0.6">
      <c r="A551" s="50" t="s">
        <v>105</v>
      </c>
      <c r="J551" s="51" t="s">
        <v>0</v>
      </c>
    </row>
    <row r="552" spans="1:11" ht="20.45" hidden="1" customHeight="1" x14ac:dyDescent="0.6">
      <c r="A552" s="50"/>
      <c r="J552" s="51"/>
    </row>
    <row r="553" spans="1:11" ht="20.45" hidden="1" customHeight="1" x14ac:dyDescent="0.6">
      <c r="A553" s="264" t="s">
        <v>170</v>
      </c>
      <c r="B553" s="264"/>
      <c r="C553" s="264"/>
      <c r="D553" s="264"/>
      <c r="E553" s="264"/>
      <c r="F553" s="264"/>
      <c r="G553" s="264"/>
      <c r="H553" s="264"/>
      <c r="I553" s="264"/>
      <c r="J553" s="264"/>
    </row>
    <row r="554" spans="1:11" ht="20.45" hidden="1" customHeight="1" x14ac:dyDescent="0.6">
      <c r="A554" s="286" t="s">
        <v>83</v>
      </c>
      <c r="B554" s="286"/>
      <c r="C554" s="286"/>
      <c r="D554" s="286" t="s">
        <v>84</v>
      </c>
      <c r="E554" s="286"/>
      <c r="F554" s="286" t="s">
        <v>85</v>
      </c>
      <c r="G554" s="286"/>
      <c r="H554" s="286"/>
      <c r="I554" s="286" t="s">
        <v>86</v>
      </c>
      <c r="J554" s="286"/>
    </row>
    <row r="555" spans="1:11" ht="20.45" hidden="1" customHeight="1" x14ac:dyDescent="0.6">
      <c r="A555" s="286" t="str">
        <f>VLOOKUP(K555,임금대장!$A$6:$AH$86,3,0)</f>
        <v>롤</v>
      </c>
      <c r="B555" s="286"/>
      <c r="C555" s="286"/>
      <c r="D555" s="287" t="str">
        <f>VLOOKUP(K555,임금대장!$A$6:$AH$86,2,0)</f>
        <v>김연희</v>
      </c>
      <c r="E555" s="287"/>
      <c r="F555" s="287">
        <f>임금대장!$O$3</f>
        <v>31</v>
      </c>
      <c r="G555" s="286"/>
      <c r="H555" s="286"/>
      <c r="I555" s="288">
        <f>VLOOKUP(K555,임금대장!$A$6:$AH$86,16,0)</f>
        <v>0</v>
      </c>
      <c r="J555" s="288"/>
      <c r="K555" s="30">
        <v>25</v>
      </c>
    </row>
    <row r="556" spans="1:11" ht="20.45" hidden="1" customHeight="1" x14ac:dyDescent="0.6">
      <c r="A556" s="286" t="s">
        <v>87</v>
      </c>
      <c r="B556" s="286"/>
      <c r="C556" s="286" t="s">
        <v>5</v>
      </c>
      <c r="D556" s="289">
        <f>VLOOKUP($K555,임금대장!$A$6:$AH$86,5,0)</f>
        <v>45901</v>
      </c>
      <c r="E556" s="289"/>
      <c r="F556" s="114" t="s">
        <v>88</v>
      </c>
      <c r="G556" s="358">
        <f>VLOOKUP(K555,임금대장!$A$6:$AH$86,15,0)</f>
        <v>31</v>
      </c>
      <c r="H556" s="358"/>
      <c r="I556" s="286" t="s">
        <v>89</v>
      </c>
      <c r="J556" s="290">
        <f>VLOOKUP(K555,임금대장!$A$6:$AH$86,17,0)</f>
        <v>0</v>
      </c>
    </row>
    <row r="557" spans="1:11" ht="20.45" hidden="1" customHeight="1" x14ac:dyDescent="0.6">
      <c r="A557" s="294">
        <f>VLOOKUP($K555,임금대장!$A$6:$AH$86,7,0)</f>
        <v>3300000</v>
      </c>
      <c r="B557" s="294"/>
      <c r="C557" s="286"/>
      <c r="D557" s="289"/>
      <c r="E557" s="289"/>
      <c r="F557" s="115" t="s">
        <v>90</v>
      </c>
      <c r="G557" s="359">
        <f>VLOOKUP(K555,임금대장!$A$6:$AH$86,16,0)</f>
        <v>0</v>
      </c>
      <c r="H557" s="359"/>
      <c r="I557" s="286"/>
      <c r="J557" s="290"/>
    </row>
    <row r="558" spans="1:11" ht="20.45" hidden="1" customHeight="1" x14ac:dyDescent="0.6">
      <c r="F558" s="250"/>
      <c r="G558" s="250"/>
      <c r="H558" s="32"/>
    </row>
    <row r="559" spans="1:11" ht="20.45" hidden="1" customHeight="1" x14ac:dyDescent="0.6">
      <c r="A559" s="251" t="s">
        <v>91</v>
      </c>
      <c r="B559" s="69" t="s">
        <v>20</v>
      </c>
      <c r="C559" s="25">
        <f>VLOOKUP($K555,임금대장!$A$6:$AH$86,9,0)</f>
        <v>2370103</v>
      </c>
      <c r="D559" s="33"/>
      <c r="E559" s="69"/>
      <c r="F559" s="254"/>
      <c r="G559" s="255"/>
      <c r="H559" s="25"/>
      <c r="I559" s="33"/>
      <c r="J559" s="34"/>
    </row>
    <row r="560" spans="1:11" ht="20.45" hidden="1" customHeight="1" x14ac:dyDescent="0.6">
      <c r="A560" s="252"/>
      <c r="B560" s="67" t="s">
        <v>21</v>
      </c>
      <c r="C560" s="35">
        <f>VLOOKUP($K555,임금대장!$A$6:$AH$86,10,0)</f>
        <v>739381</v>
      </c>
      <c r="D560" s="36"/>
      <c r="E560" s="67"/>
      <c r="F560" s="256"/>
      <c r="G560" s="257"/>
      <c r="H560" s="35"/>
      <c r="I560" s="36"/>
      <c r="J560" s="37"/>
    </row>
    <row r="561" spans="1:10" ht="20.45" hidden="1" customHeight="1" x14ac:dyDescent="0.6">
      <c r="A561" s="252"/>
      <c r="B561" s="52" t="s">
        <v>92</v>
      </c>
      <c r="C561" s="35">
        <f>VLOOKUP($K555,임금대장!$A$6:$AH$86,11,0)</f>
        <v>99794</v>
      </c>
      <c r="D561" s="36"/>
      <c r="E561" s="67"/>
      <c r="F561" s="256"/>
      <c r="G561" s="257"/>
      <c r="H561" s="35"/>
      <c r="I561" s="36"/>
      <c r="J561" s="37"/>
    </row>
    <row r="562" spans="1:10" ht="20.45" hidden="1" customHeight="1" x14ac:dyDescent="0.6">
      <c r="A562" s="252"/>
      <c r="B562" s="67" t="s">
        <v>115</v>
      </c>
      <c r="C562" s="35">
        <f>VLOOKUP($K555,임금대장!$A$6:$AH$86,12,0)</f>
        <v>0</v>
      </c>
      <c r="D562" s="36"/>
      <c r="E562" s="67"/>
      <c r="F562" s="256"/>
      <c r="G562" s="257"/>
      <c r="H562" s="35"/>
      <c r="I562" s="36"/>
      <c r="J562" s="37"/>
    </row>
    <row r="563" spans="1:10" ht="20.45" hidden="1" customHeight="1" x14ac:dyDescent="0.6">
      <c r="A563" s="252"/>
      <c r="B563" s="67" t="s">
        <v>94</v>
      </c>
      <c r="C563" s="35">
        <f>VLOOKUP($K555,임금대장!$A$6:$AH$86,13,0)</f>
        <v>90722</v>
      </c>
      <c r="D563" s="36"/>
      <c r="E563" s="36"/>
      <c r="F563" s="258"/>
      <c r="G563" s="259"/>
      <c r="H563" s="35"/>
      <c r="I563" s="36"/>
      <c r="J563" s="37"/>
    </row>
    <row r="564" spans="1:10" ht="20.45" hidden="1" customHeight="1" x14ac:dyDescent="0.6">
      <c r="A564" s="252"/>
      <c r="B564" s="67" t="s">
        <v>24</v>
      </c>
      <c r="C564" s="102">
        <f>VLOOKUP($K555,임금대장!$A$6:$AH$86,14,0)</f>
        <v>159677.4193548387</v>
      </c>
      <c r="D564" s="36"/>
      <c r="E564" s="36"/>
      <c r="F564" s="258"/>
      <c r="G564" s="259"/>
      <c r="H564" s="35"/>
      <c r="I564" s="36"/>
      <c r="J564" s="37"/>
    </row>
    <row r="565" spans="1:10" ht="20.45" hidden="1" customHeight="1" x14ac:dyDescent="0.6">
      <c r="A565" s="252"/>
      <c r="B565" s="67"/>
      <c r="C565" s="35"/>
      <c r="D565" s="36"/>
      <c r="E565" s="36"/>
      <c r="F565" s="258"/>
      <c r="G565" s="259"/>
      <c r="H565" s="35"/>
      <c r="I565" s="36"/>
      <c r="J565" s="37"/>
    </row>
    <row r="566" spans="1:10" ht="20.45" hidden="1" customHeight="1" x14ac:dyDescent="0.6">
      <c r="A566" s="252"/>
      <c r="B566" s="67"/>
      <c r="C566" s="35"/>
      <c r="D566" s="36"/>
      <c r="E566" s="36"/>
      <c r="F566" s="258"/>
      <c r="G566" s="259"/>
      <c r="H566" s="35"/>
      <c r="I566" s="36"/>
      <c r="J566" s="37"/>
    </row>
    <row r="567" spans="1:10" ht="20.45" hidden="1" customHeight="1" x14ac:dyDescent="0.6">
      <c r="A567" s="253"/>
      <c r="B567" s="68"/>
      <c r="C567" s="39"/>
      <c r="D567" s="40"/>
      <c r="E567" s="40"/>
      <c r="F567" s="260"/>
      <c r="G567" s="261"/>
      <c r="H567" s="39"/>
      <c r="I567" s="68" t="s">
        <v>95</v>
      </c>
      <c r="J567" s="41">
        <f>SUM(C559:H565)</f>
        <v>3459677.4193548388</v>
      </c>
    </row>
    <row r="568" spans="1:10" ht="20.45" hidden="1" customHeight="1" x14ac:dyDescent="0.6">
      <c r="A568" s="251" t="s">
        <v>96</v>
      </c>
      <c r="B568" s="36" t="s">
        <v>97</v>
      </c>
      <c r="C568" s="35">
        <f>VLOOKUP($K555,임금대장!$A$6:$AH$86,25,0)</f>
        <v>117440</v>
      </c>
      <c r="D568" s="33"/>
      <c r="E568" s="42"/>
      <c r="F568" s="262" t="s">
        <v>14</v>
      </c>
      <c r="G568" s="263"/>
      <c r="H568" s="35">
        <f>VLOOKUP($K555,임금대장!$A$6:$AH$86,19,0)</f>
        <v>0</v>
      </c>
      <c r="I568" s="33"/>
      <c r="J568" s="34"/>
    </row>
    <row r="569" spans="1:10" ht="20.45" hidden="1" customHeight="1" x14ac:dyDescent="0.6">
      <c r="A569" s="252"/>
      <c r="B569" s="36" t="s">
        <v>98</v>
      </c>
      <c r="C569" s="35">
        <f>VLOOKUP($K555,임금대장!$A$6:$AH$86,26,0)</f>
        <v>11740</v>
      </c>
      <c r="D569" s="36"/>
      <c r="E569" s="43"/>
      <c r="F569" s="258" t="s">
        <v>12</v>
      </c>
      <c r="G569" s="259"/>
      <c r="H569" s="35">
        <f>VLOOKUP($K555,임금대장!$A$6:$AH$86,17,0)</f>
        <v>0</v>
      </c>
      <c r="I569" s="36"/>
      <c r="J569" s="37"/>
    </row>
    <row r="570" spans="1:10" ht="20.45" hidden="1" customHeight="1" x14ac:dyDescent="0.6">
      <c r="A570" s="252"/>
      <c r="B570" s="36" t="s">
        <v>99</v>
      </c>
      <c r="C570" s="35">
        <f>VLOOKUP($K555,임금대장!$A$6:$AH$86,27,0)</f>
        <v>85500</v>
      </c>
      <c r="D570" s="36"/>
      <c r="E570" s="44"/>
      <c r="F570" s="258" t="s">
        <v>171</v>
      </c>
      <c r="G570" s="259"/>
      <c r="H570" s="35">
        <f>VLOOKUP($K555,임금대장!$A$6:$AH$86,31,0)</f>
        <v>0</v>
      </c>
      <c r="I570" s="36"/>
      <c r="J570" s="37"/>
    </row>
    <row r="571" spans="1:10" ht="20.45" hidden="1" customHeight="1" x14ac:dyDescent="0.6">
      <c r="A571" s="252"/>
      <c r="B571" s="36" t="s">
        <v>101</v>
      </c>
      <c r="C571" s="35">
        <f>VLOOKUP($K555,임금대장!$A$6:$AH$86,28,0)</f>
        <v>124370</v>
      </c>
      <c r="D571" s="36"/>
      <c r="E571" s="43"/>
      <c r="F571" s="258" t="s">
        <v>102</v>
      </c>
      <c r="G571" s="259"/>
      <c r="H571" s="35">
        <f>VLOOKUP($K555,임금대장!$A$6:$AH$86,30,0)</f>
        <v>0</v>
      </c>
      <c r="I571" s="36"/>
      <c r="J571" s="37"/>
    </row>
    <row r="572" spans="1:10" ht="20.45" hidden="1" customHeight="1" x14ac:dyDescent="0.6">
      <c r="A572" s="252"/>
      <c r="B572" s="36" t="s">
        <v>31</v>
      </c>
      <c r="C572" s="35">
        <f>VLOOKUP($K555,임금대장!$A$6:$AH$86,29,0)</f>
        <v>16340</v>
      </c>
      <c r="D572" s="36"/>
      <c r="E572" s="43"/>
      <c r="F572" s="45"/>
      <c r="G572" s="46"/>
      <c r="H572" s="36"/>
      <c r="I572" s="67" t="s">
        <v>103</v>
      </c>
      <c r="J572" s="47">
        <f>SUM(C568:H573)</f>
        <v>355390</v>
      </c>
    </row>
    <row r="573" spans="1:10" ht="20.45" hidden="1" customHeight="1" x14ac:dyDescent="0.6">
      <c r="A573" s="253"/>
      <c r="B573" s="40"/>
      <c r="C573" s="101"/>
      <c r="D573" s="40"/>
      <c r="E573" s="48"/>
      <c r="F573" s="260"/>
      <c r="G573" s="261"/>
      <c r="H573" s="40"/>
      <c r="I573" s="68" t="s">
        <v>104</v>
      </c>
      <c r="J573" s="49">
        <f>J567-J572</f>
        <v>3104287.4193548388</v>
      </c>
    </row>
    <row r="574" spans="1:10" ht="20.45" hidden="1" customHeight="1" x14ac:dyDescent="0.6">
      <c r="A574" s="50" t="s">
        <v>105</v>
      </c>
      <c r="J574" s="51" t="s">
        <v>0</v>
      </c>
    </row>
    <row r="575" spans="1:10" ht="20.45" hidden="1" customHeight="1" x14ac:dyDescent="0.6">
      <c r="A575" s="50"/>
      <c r="J575" s="51"/>
    </row>
    <row r="576" spans="1:10" ht="20.45" hidden="1" customHeight="1" x14ac:dyDescent="0.6">
      <c r="A576" s="264" t="s">
        <v>170</v>
      </c>
      <c r="B576" s="264"/>
      <c r="C576" s="264"/>
      <c r="D576" s="264"/>
      <c r="E576" s="264"/>
      <c r="F576" s="264"/>
      <c r="G576" s="264"/>
      <c r="H576" s="264"/>
      <c r="I576" s="264"/>
      <c r="J576" s="264"/>
    </row>
    <row r="577" spans="1:11" ht="20.45" hidden="1" customHeight="1" x14ac:dyDescent="0.6">
      <c r="A577" s="286" t="s">
        <v>83</v>
      </c>
      <c r="B577" s="286"/>
      <c r="C577" s="286"/>
      <c r="D577" s="286" t="s">
        <v>84</v>
      </c>
      <c r="E577" s="286"/>
      <c r="F577" s="286" t="s">
        <v>85</v>
      </c>
      <c r="G577" s="286"/>
      <c r="H577" s="286"/>
      <c r="I577" s="286" t="s">
        <v>86</v>
      </c>
      <c r="J577" s="286"/>
    </row>
    <row r="578" spans="1:11" ht="20.45" hidden="1" customHeight="1" x14ac:dyDescent="0.6">
      <c r="A578" s="286" t="str">
        <f>VLOOKUP(K578,임금대장!$A$6:$AH$86,3,0)</f>
        <v>핫/즉석</v>
      </c>
      <c r="B578" s="286"/>
      <c r="C578" s="286"/>
      <c r="D578" s="287" t="str">
        <f>VLOOKUP(K578,임금대장!$A$6:$AH$86,2,0)</f>
        <v>전용현</v>
      </c>
      <c r="E578" s="287"/>
      <c r="F578" s="287">
        <f>임금대장!$O$3</f>
        <v>31</v>
      </c>
      <c r="G578" s="286"/>
      <c r="H578" s="286"/>
      <c r="I578" s="288">
        <f>VLOOKUP(K578,임금대장!$A$6:$AH$86,16,0)</f>
        <v>20</v>
      </c>
      <c r="J578" s="288"/>
      <c r="K578" s="30">
        <v>26</v>
      </c>
    </row>
    <row r="579" spans="1:11" ht="20.45" hidden="1" customHeight="1" x14ac:dyDescent="0.6">
      <c r="A579" s="286" t="s">
        <v>87</v>
      </c>
      <c r="B579" s="286"/>
      <c r="C579" s="286" t="s">
        <v>5</v>
      </c>
      <c r="D579" s="289">
        <f>VLOOKUP($K578,임금대장!$A$6:$AH$86,5,0)</f>
        <v>45908</v>
      </c>
      <c r="E579" s="289"/>
      <c r="F579" s="114" t="s">
        <v>88</v>
      </c>
      <c r="G579" s="358">
        <f>VLOOKUP(K578,임금대장!$A$6:$AH$86,15,0)</f>
        <v>11</v>
      </c>
      <c r="H579" s="358"/>
      <c r="I579" s="286" t="s">
        <v>89</v>
      </c>
      <c r="J579" s="290">
        <f>VLOOKUP(K578,임금대장!$A$6:$AH$86,17,0)</f>
        <v>2064510</v>
      </c>
    </row>
    <row r="580" spans="1:11" ht="20.45" hidden="1" customHeight="1" x14ac:dyDescent="0.6">
      <c r="A580" s="294">
        <f>VLOOKUP($K578,임금대장!$A$6:$AH$86,7,0)</f>
        <v>3200000</v>
      </c>
      <c r="B580" s="294"/>
      <c r="C580" s="286"/>
      <c r="D580" s="289"/>
      <c r="E580" s="289"/>
      <c r="F580" s="115" t="s">
        <v>90</v>
      </c>
      <c r="G580" s="359">
        <f>VLOOKUP(K578,임금대장!$A$6:$AH$86,16,0)</f>
        <v>20</v>
      </c>
      <c r="H580" s="359"/>
      <c r="I580" s="286"/>
      <c r="J580" s="290"/>
    </row>
    <row r="581" spans="1:11" ht="20.45" hidden="1" customHeight="1" x14ac:dyDescent="0.6">
      <c r="F581" s="250"/>
      <c r="G581" s="250"/>
      <c r="H581" s="32"/>
    </row>
    <row r="582" spans="1:11" ht="20.45" hidden="1" customHeight="1" x14ac:dyDescent="0.6">
      <c r="A582" s="251" t="s">
        <v>91</v>
      </c>
      <c r="B582" s="69" t="s">
        <v>20</v>
      </c>
      <c r="C582" s="25">
        <f>VLOOKUP($K578,임금대장!$A$6:$AH$86,9,0)</f>
        <v>2298282</v>
      </c>
      <c r="D582" s="33"/>
      <c r="E582" s="69"/>
      <c r="F582" s="254"/>
      <c r="G582" s="255"/>
      <c r="H582" s="25"/>
      <c r="I582" s="33"/>
      <c r="J582" s="34"/>
    </row>
    <row r="583" spans="1:11" ht="20.45" hidden="1" customHeight="1" x14ac:dyDescent="0.6">
      <c r="A583" s="252"/>
      <c r="B583" s="67" t="s">
        <v>21</v>
      </c>
      <c r="C583" s="35">
        <f>VLOOKUP($K578,임금대장!$A$6:$AH$86,10,0)</f>
        <v>716975</v>
      </c>
      <c r="D583" s="36"/>
      <c r="E583" s="67"/>
      <c r="F583" s="256"/>
      <c r="G583" s="257"/>
      <c r="H583" s="35"/>
      <c r="I583" s="36"/>
      <c r="J583" s="37"/>
    </row>
    <row r="584" spans="1:11" ht="20.45" hidden="1" customHeight="1" x14ac:dyDescent="0.6">
      <c r="A584" s="252"/>
      <c r="B584" s="52" t="s">
        <v>92</v>
      </c>
      <c r="C584" s="35">
        <f>VLOOKUP($K578,임금대장!$A$6:$AH$86,11,0)</f>
        <v>96770</v>
      </c>
      <c r="D584" s="36"/>
      <c r="E584" s="67"/>
      <c r="F584" s="256"/>
      <c r="G584" s="257"/>
      <c r="H584" s="35"/>
      <c r="I584" s="36"/>
      <c r="J584" s="37"/>
    </row>
    <row r="585" spans="1:11" ht="20.45" hidden="1" customHeight="1" x14ac:dyDescent="0.6">
      <c r="A585" s="252"/>
      <c r="B585" s="67" t="s">
        <v>115</v>
      </c>
      <c r="C585" s="35">
        <f>VLOOKUP($K578,임금대장!$A$6:$AH$86,12,0)</f>
        <v>0</v>
      </c>
      <c r="D585" s="36"/>
      <c r="E585" s="67"/>
      <c r="F585" s="256"/>
      <c r="G585" s="257"/>
      <c r="H585" s="35"/>
      <c r="I585" s="36"/>
      <c r="J585" s="37"/>
    </row>
    <row r="586" spans="1:11" ht="20.45" hidden="1" customHeight="1" x14ac:dyDescent="0.6">
      <c r="A586" s="252"/>
      <c r="B586" s="67" t="s">
        <v>94</v>
      </c>
      <c r="C586" s="35">
        <f>VLOOKUP($K578,임금대장!$A$6:$AH$86,13,0)</f>
        <v>87973</v>
      </c>
      <c r="D586" s="36"/>
      <c r="E586" s="36"/>
      <c r="F586" s="258"/>
      <c r="G586" s="259"/>
      <c r="H586" s="35"/>
      <c r="I586" s="36"/>
      <c r="J586" s="37"/>
    </row>
    <row r="587" spans="1:11" ht="20.45" hidden="1" customHeight="1" x14ac:dyDescent="0.6">
      <c r="A587" s="252"/>
      <c r="B587" s="67" t="s">
        <v>24</v>
      </c>
      <c r="C587" s="102">
        <f>VLOOKUP($K578,임금대장!$A$6:$AH$86,14,0)</f>
        <v>0</v>
      </c>
      <c r="D587" s="36"/>
      <c r="E587" s="36"/>
      <c r="F587" s="258"/>
      <c r="G587" s="259"/>
      <c r="H587" s="35"/>
      <c r="I587" s="36"/>
      <c r="J587" s="37"/>
    </row>
    <row r="588" spans="1:11" ht="20.45" hidden="1" customHeight="1" x14ac:dyDescent="0.6">
      <c r="A588" s="252"/>
      <c r="B588" s="67"/>
      <c r="C588" s="35"/>
      <c r="D588" s="36"/>
      <c r="E588" s="36"/>
      <c r="F588" s="258"/>
      <c r="G588" s="259"/>
      <c r="H588" s="35"/>
      <c r="I588" s="36"/>
      <c r="J588" s="37"/>
    </row>
    <row r="589" spans="1:11" ht="20.45" hidden="1" customHeight="1" x14ac:dyDescent="0.6">
      <c r="A589" s="252"/>
      <c r="B589" s="67"/>
      <c r="C589" s="35"/>
      <c r="D589" s="36"/>
      <c r="E589" s="36"/>
      <c r="F589" s="258"/>
      <c r="G589" s="259"/>
      <c r="H589" s="35"/>
      <c r="I589" s="36"/>
      <c r="J589" s="37"/>
    </row>
    <row r="590" spans="1:11" ht="20.45" hidden="1" customHeight="1" x14ac:dyDescent="0.6">
      <c r="A590" s="253"/>
      <c r="B590" s="68"/>
      <c r="C590" s="39"/>
      <c r="D590" s="40"/>
      <c r="E590" s="40"/>
      <c r="F590" s="260"/>
      <c r="G590" s="261"/>
      <c r="H590" s="39"/>
      <c r="I590" s="68" t="s">
        <v>95</v>
      </c>
      <c r="J590" s="41">
        <f>SUM(C582:H588)</f>
        <v>3200000</v>
      </c>
    </row>
    <row r="591" spans="1:11" ht="20.45" hidden="1" customHeight="1" x14ac:dyDescent="0.6">
      <c r="A591" s="251" t="s">
        <v>96</v>
      </c>
      <c r="B591" s="36" t="s">
        <v>97</v>
      </c>
      <c r="C591" s="35">
        <f>VLOOKUP($K578,임금대장!$A$6:$AH$86,25,0)</f>
        <v>0</v>
      </c>
      <c r="D591" s="33"/>
      <c r="E591" s="42"/>
      <c r="F591" s="262" t="s">
        <v>14</v>
      </c>
      <c r="G591" s="263"/>
      <c r="H591" s="35">
        <f>VLOOKUP($K578,임금대장!$A$6:$AH$86,19,0)</f>
        <v>0</v>
      </c>
      <c r="I591" s="33"/>
      <c r="J591" s="34"/>
    </row>
    <row r="592" spans="1:11" ht="20.45" hidden="1" customHeight="1" x14ac:dyDescent="0.6">
      <c r="A592" s="252"/>
      <c r="B592" s="36" t="s">
        <v>98</v>
      </c>
      <c r="C592" s="35">
        <f>VLOOKUP($K578,임금대장!$A$6:$AH$86,26,0)</f>
        <v>0</v>
      </c>
      <c r="D592" s="36"/>
      <c r="E592" s="43"/>
      <c r="F592" s="258" t="s">
        <v>12</v>
      </c>
      <c r="G592" s="259"/>
      <c r="H592" s="35">
        <f>VLOOKUP($K578,임금대장!$A$6:$AH$86,17,0)</f>
        <v>2064510</v>
      </c>
      <c r="I592" s="36"/>
      <c r="J592" s="37"/>
    </row>
    <row r="593" spans="1:12" ht="20.45" hidden="1" customHeight="1" x14ac:dyDescent="0.6">
      <c r="A593" s="252"/>
      <c r="B593" s="36" t="s">
        <v>99</v>
      </c>
      <c r="C593" s="35">
        <f>VLOOKUP($K578,임금대장!$A$6:$AH$86,27,0)</f>
        <v>85500</v>
      </c>
      <c r="D593" s="36"/>
      <c r="E593" s="44"/>
      <c r="F593" s="258" t="s">
        <v>171</v>
      </c>
      <c r="G593" s="259"/>
      <c r="H593" s="35">
        <f>VLOOKUP($K578,임금대장!$A$6:$AH$86,31,0)</f>
        <v>0</v>
      </c>
      <c r="I593" s="36"/>
      <c r="J593" s="37"/>
    </row>
    <row r="594" spans="1:12" ht="20.45" hidden="1" customHeight="1" x14ac:dyDescent="0.6">
      <c r="A594" s="252"/>
      <c r="B594" s="36" t="s">
        <v>101</v>
      </c>
      <c r="C594" s="35">
        <f>VLOOKUP($K578,임금대장!$A$6:$AH$86,28,0)</f>
        <v>40820</v>
      </c>
      <c r="D594" s="36"/>
      <c r="E594" s="43"/>
      <c r="F594" s="258" t="s">
        <v>102</v>
      </c>
      <c r="G594" s="259"/>
      <c r="H594" s="35">
        <f>VLOOKUP($K578,임금대장!$A$6:$AH$86,30,0)</f>
        <v>10210</v>
      </c>
      <c r="I594" s="36"/>
      <c r="J594" s="37"/>
    </row>
    <row r="595" spans="1:12" ht="20.45" hidden="1" customHeight="1" x14ac:dyDescent="0.6">
      <c r="A595" s="252"/>
      <c r="B595" s="36" t="s">
        <v>31</v>
      </c>
      <c r="C595" s="35">
        <f>VLOOKUP($K578,임금대장!$A$6:$AH$86,29,0)</f>
        <v>5360</v>
      </c>
      <c r="D595" s="36"/>
      <c r="E595" s="43"/>
      <c r="F595" s="45"/>
      <c r="G595" s="46"/>
      <c r="H595" s="36"/>
      <c r="I595" s="67" t="s">
        <v>103</v>
      </c>
      <c r="J595" s="47">
        <f>SUM(C591:H596)</f>
        <v>2206400</v>
      </c>
    </row>
    <row r="596" spans="1:12" ht="20.45" hidden="1" customHeight="1" x14ac:dyDescent="0.6">
      <c r="A596" s="253"/>
      <c r="B596" s="40"/>
      <c r="C596" s="101"/>
      <c r="D596" s="40"/>
      <c r="E596" s="48"/>
      <c r="F596" s="260"/>
      <c r="G596" s="261"/>
      <c r="H596" s="40"/>
      <c r="I596" s="68" t="s">
        <v>104</v>
      </c>
      <c r="J596" s="49">
        <f>J590-J595</f>
        <v>993600</v>
      </c>
    </row>
    <row r="597" spans="1:12" ht="20.45" hidden="1" customHeight="1" x14ac:dyDescent="0.6">
      <c r="A597" s="50" t="s">
        <v>105</v>
      </c>
      <c r="J597" s="51" t="s">
        <v>0</v>
      </c>
    </row>
    <row r="598" spans="1:12" ht="20.45" hidden="1" customHeight="1" x14ac:dyDescent="0.6">
      <c r="A598" s="50"/>
      <c r="J598" s="51"/>
    </row>
    <row r="599" spans="1:12" ht="20.45" hidden="1" customHeight="1" x14ac:dyDescent="0.6">
      <c r="A599" s="264" t="s">
        <v>170</v>
      </c>
      <c r="B599" s="264"/>
      <c r="C599" s="264"/>
      <c r="D599" s="264"/>
      <c r="E599" s="264"/>
      <c r="F599" s="264"/>
      <c r="G599" s="264"/>
      <c r="H599" s="264"/>
      <c r="I599" s="264"/>
      <c r="J599" s="264"/>
    </row>
    <row r="600" spans="1:12" ht="20.45" hidden="1" customHeight="1" x14ac:dyDescent="0.6">
      <c r="A600" s="286" t="s">
        <v>83</v>
      </c>
      <c r="B600" s="286"/>
      <c r="C600" s="286"/>
      <c r="D600" s="286" t="s">
        <v>84</v>
      </c>
      <c r="E600" s="286"/>
      <c r="F600" s="286" t="s">
        <v>85</v>
      </c>
      <c r="G600" s="286"/>
      <c r="H600" s="286"/>
      <c r="I600" s="286" t="s">
        <v>86</v>
      </c>
      <c r="J600" s="286"/>
    </row>
    <row r="601" spans="1:12" ht="20.45" hidden="1" customHeight="1" x14ac:dyDescent="0.6">
      <c r="A601" s="286" t="str">
        <f>VLOOKUP(K601,임금대장!$A$6:$AH$86,3,0)</f>
        <v>핫/즉석</v>
      </c>
      <c r="B601" s="286"/>
      <c r="C601" s="286"/>
      <c r="D601" s="287" t="str">
        <f>VLOOKUP(K601,임금대장!$A$6:$AH$86,2,0)</f>
        <v>노근희</v>
      </c>
      <c r="E601" s="287"/>
      <c r="F601" s="287">
        <f>임금대장!$O$3</f>
        <v>31</v>
      </c>
      <c r="G601" s="286"/>
      <c r="H601" s="286"/>
      <c r="I601" s="288">
        <f>VLOOKUP(K601,임금대장!$A$6:$AH$86,16,0)</f>
        <v>0</v>
      </c>
      <c r="J601" s="288"/>
      <c r="K601" s="30">
        <v>27</v>
      </c>
      <c r="L601" s="30"/>
    </row>
    <row r="602" spans="1:12" ht="20.45" hidden="1" customHeight="1" x14ac:dyDescent="0.6">
      <c r="A602" s="286" t="s">
        <v>87</v>
      </c>
      <c r="B602" s="286"/>
      <c r="C602" s="286" t="s">
        <v>5</v>
      </c>
      <c r="D602" s="289">
        <f>VLOOKUP($K601,임금대장!$A$6:$AH$86,5,0)</f>
        <v>45922</v>
      </c>
      <c r="E602" s="289"/>
      <c r="F602" s="114" t="s">
        <v>88</v>
      </c>
      <c r="G602" s="358">
        <f>VLOOKUP(K601,임금대장!$A$6:$AH$86,15,0)</f>
        <v>31</v>
      </c>
      <c r="H602" s="358"/>
      <c r="I602" s="286" t="s">
        <v>89</v>
      </c>
      <c r="J602" s="290">
        <f>VLOOKUP(K601,임금대장!$A$6:$AH$86,17,0)</f>
        <v>0</v>
      </c>
    </row>
    <row r="603" spans="1:12" ht="20.45" hidden="1" customHeight="1" x14ac:dyDescent="0.6">
      <c r="A603" s="294">
        <f>VLOOKUP($K601,임금대장!$A$6:$AH$86,7,0)</f>
        <v>3200000</v>
      </c>
      <c r="B603" s="294"/>
      <c r="C603" s="286"/>
      <c r="D603" s="289"/>
      <c r="E603" s="289"/>
      <c r="F603" s="115" t="s">
        <v>90</v>
      </c>
      <c r="G603" s="359">
        <f>VLOOKUP(K601,임금대장!$A$6:$AH$86,16,0)</f>
        <v>0</v>
      </c>
      <c r="H603" s="359"/>
      <c r="I603" s="286"/>
      <c r="J603" s="290"/>
    </row>
    <row r="604" spans="1:12" ht="20.45" hidden="1" customHeight="1" x14ac:dyDescent="0.6">
      <c r="F604" s="250"/>
      <c r="G604" s="250"/>
      <c r="H604" s="32"/>
    </row>
    <row r="605" spans="1:12" ht="20.45" hidden="1" customHeight="1" x14ac:dyDescent="0.6">
      <c r="A605" s="251" t="s">
        <v>91</v>
      </c>
      <c r="B605" s="69" t="s">
        <v>20</v>
      </c>
      <c r="C605" s="25">
        <f>VLOOKUP($K601,임금대장!$A$6:$AH$86,9,0)</f>
        <v>2298282</v>
      </c>
      <c r="D605" s="33"/>
      <c r="E605" s="69"/>
      <c r="F605" s="254"/>
      <c r="G605" s="255"/>
      <c r="H605" s="25"/>
      <c r="I605" s="33"/>
      <c r="J605" s="34"/>
    </row>
    <row r="606" spans="1:12" ht="20.45" hidden="1" customHeight="1" x14ac:dyDescent="0.6">
      <c r="A606" s="252"/>
      <c r="B606" s="67" t="s">
        <v>21</v>
      </c>
      <c r="C606" s="35">
        <f>VLOOKUP($K601,임금대장!$A$6:$AH$86,10,0)</f>
        <v>716975</v>
      </c>
      <c r="D606" s="36"/>
      <c r="E606" s="67"/>
      <c r="F606" s="256"/>
      <c r="G606" s="257"/>
      <c r="H606" s="35"/>
      <c r="I606" s="36"/>
      <c r="J606" s="37"/>
    </row>
    <row r="607" spans="1:12" ht="20.45" hidden="1" customHeight="1" x14ac:dyDescent="0.6">
      <c r="A607" s="252"/>
      <c r="B607" s="52" t="s">
        <v>92</v>
      </c>
      <c r="C607" s="35">
        <f>VLOOKUP($K601,임금대장!$A$6:$AH$86,11,0)</f>
        <v>96770</v>
      </c>
      <c r="D607" s="36"/>
      <c r="E607" s="67"/>
      <c r="F607" s="256"/>
      <c r="G607" s="257"/>
      <c r="H607" s="35"/>
      <c r="I607" s="36"/>
      <c r="J607" s="37"/>
    </row>
    <row r="608" spans="1:12" ht="20.45" hidden="1" customHeight="1" x14ac:dyDescent="0.6">
      <c r="A608" s="252"/>
      <c r="B608" s="67" t="s">
        <v>115</v>
      </c>
      <c r="C608" s="35">
        <f>VLOOKUP($K601,임금대장!$A$6:$AH$86,12,0)</f>
        <v>0</v>
      </c>
      <c r="D608" s="36"/>
      <c r="E608" s="67"/>
      <c r="F608" s="256"/>
      <c r="G608" s="257"/>
      <c r="H608" s="35"/>
      <c r="I608" s="36"/>
      <c r="J608" s="37"/>
    </row>
    <row r="609" spans="1:11" ht="20.45" hidden="1" customHeight="1" x14ac:dyDescent="0.6">
      <c r="A609" s="252"/>
      <c r="B609" s="67" t="s">
        <v>94</v>
      </c>
      <c r="C609" s="35">
        <f>VLOOKUP($K601,임금대장!$A$6:$AH$86,13,0)</f>
        <v>87973</v>
      </c>
      <c r="D609" s="36"/>
      <c r="E609" s="36"/>
      <c r="F609" s="258"/>
      <c r="G609" s="259"/>
      <c r="H609" s="35"/>
      <c r="I609" s="36"/>
      <c r="J609" s="37"/>
    </row>
    <row r="610" spans="1:11" ht="20.45" hidden="1" customHeight="1" x14ac:dyDescent="0.6">
      <c r="A610" s="252"/>
      <c r="B610" s="67" t="s">
        <v>24</v>
      </c>
      <c r="C610" s="102">
        <f>VLOOKUP($K601,임금대장!$A$6:$AH$86,14,0)</f>
        <v>154838.70967741936</v>
      </c>
      <c r="D610" s="36"/>
      <c r="E610" s="36"/>
      <c r="F610" s="258"/>
      <c r="G610" s="259"/>
      <c r="H610" s="35"/>
      <c r="I610" s="36"/>
      <c r="J610" s="37"/>
    </row>
    <row r="611" spans="1:11" ht="20.45" hidden="1" customHeight="1" x14ac:dyDescent="0.6">
      <c r="A611" s="252"/>
      <c r="B611" s="67"/>
      <c r="C611" s="35"/>
      <c r="D611" s="36"/>
      <c r="E611" s="36"/>
      <c r="F611" s="258"/>
      <c r="G611" s="259"/>
      <c r="H611" s="35"/>
      <c r="I611" s="36"/>
      <c r="J611" s="37"/>
    </row>
    <row r="612" spans="1:11" ht="20.45" hidden="1" customHeight="1" x14ac:dyDescent="0.6">
      <c r="A612" s="252"/>
      <c r="B612" s="67"/>
      <c r="C612" s="35"/>
      <c r="D612" s="36"/>
      <c r="E612" s="36"/>
      <c r="F612" s="258"/>
      <c r="G612" s="259"/>
      <c r="H612" s="35"/>
      <c r="I612" s="36"/>
      <c r="J612" s="37"/>
    </row>
    <row r="613" spans="1:11" ht="20.45" hidden="1" customHeight="1" x14ac:dyDescent="0.6">
      <c r="A613" s="253"/>
      <c r="B613" s="68"/>
      <c r="C613" s="39"/>
      <c r="D613" s="40"/>
      <c r="E613" s="40"/>
      <c r="F613" s="260"/>
      <c r="G613" s="261"/>
      <c r="H613" s="39"/>
      <c r="I613" s="68" t="s">
        <v>95</v>
      </c>
      <c r="J613" s="41">
        <f>SUM(C605:H611)</f>
        <v>3354838.7096774192</v>
      </c>
    </row>
    <row r="614" spans="1:11" ht="20.45" hidden="1" customHeight="1" x14ac:dyDescent="0.6">
      <c r="A614" s="251" t="s">
        <v>96</v>
      </c>
      <c r="B614" s="36" t="s">
        <v>97</v>
      </c>
      <c r="C614" s="35">
        <f>VLOOKUP($K601,임금대장!$A$6:$AH$86,25,0)</f>
        <v>105210</v>
      </c>
      <c r="D614" s="33"/>
      <c r="E614" s="42"/>
      <c r="F614" s="262" t="s">
        <v>14</v>
      </c>
      <c r="G614" s="263"/>
      <c r="H614" s="35">
        <f>VLOOKUP($K601,임금대장!$A$6:$AH$86,19,0)</f>
        <v>0</v>
      </c>
      <c r="I614" s="33"/>
      <c r="J614" s="34"/>
    </row>
    <row r="615" spans="1:11" ht="20.45" hidden="1" customHeight="1" x14ac:dyDescent="0.6">
      <c r="A615" s="252"/>
      <c r="B615" s="36" t="s">
        <v>98</v>
      </c>
      <c r="C615" s="35">
        <f>VLOOKUP($K601,임금대장!$A$6:$AH$86,26,0)</f>
        <v>10520</v>
      </c>
      <c r="D615" s="36"/>
      <c r="E615" s="43"/>
      <c r="F615" s="258" t="s">
        <v>12</v>
      </c>
      <c r="G615" s="259"/>
      <c r="H615" s="35">
        <f>VLOOKUP($K601,임금대장!$A$6:$AH$86,17,0)</f>
        <v>0</v>
      </c>
      <c r="I615" s="36"/>
      <c r="J615" s="37"/>
    </row>
    <row r="616" spans="1:11" ht="20.45" hidden="1" customHeight="1" x14ac:dyDescent="0.6">
      <c r="A616" s="252"/>
      <c r="B616" s="36" t="s">
        <v>99</v>
      </c>
      <c r="C616" s="35">
        <f>VLOOKUP($K601,임금대장!$A$6:$AH$86,27,0)</f>
        <v>85500</v>
      </c>
      <c r="D616" s="36"/>
      <c r="E616" s="44"/>
      <c r="F616" s="258" t="s">
        <v>171</v>
      </c>
      <c r="G616" s="259"/>
      <c r="H616" s="35">
        <f>VLOOKUP($K601,임금대장!$A$6:$AH$86,31,0)</f>
        <v>0</v>
      </c>
      <c r="I616" s="36"/>
      <c r="J616" s="37"/>
    </row>
    <row r="617" spans="1:11" ht="20.45" hidden="1" customHeight="1" x14ac:dyDescent="0.6">
      <c r="A617" s="252"/>
      <c r="B617" s="36" t="s">
        <v>101</v>
      </c>
      <c r="C617" s="35">
        <f>VLOOKUP($K601,임금대장!$A$6:$AH$86,28,0)</f>
        <v>120600</v>
      </c>
      <c r="D617" s="36"/>
      <c r="E617" s="43"/>
      <c r="F617" s="258" t="s">
        <v>102</v>
      </c>
      <c r="G617" s="259"/>
      <c r="H617" s="35">
        <f>VLOOKUP($K601,임금대장!$A$6:$AH$86,30,0)</f>
        <v>30190</v>
      </c>
      <c r="I617" s="36"/>
      <c r="J617" s="37"/>
    </row>
    <row r="618" spans="1:11" ht="20.45" hidden="1" customHeight="1" x14ac:dyDescent="0.6">
      <c r="A618" s="252"/>
      <c r="B618" s="36" t="s">
        <v>31</v>
      </c>
      <c r="C618" s="35">
        <f>VLOOKUP($K601,임금대장!$A$6:$AH$86,29,0)</f>
        <v>15840</v>
      </c>
      <c r="D618" s="36"/>
      <c r="E618" s="43"/>
      <c r="F618" s="45"/>
      <c r="G618" s="46"/>
      <c r="H618" s="36"/>
      <c r="I618" s="67" t="s">
        <v>103</v>
      </c>
      <c r="J618" s="47">
        <f>SUM(C614:H619)</f>
        <v>367860</v>
      </c>
    </row>
    <row r="619" spans="1:11" ht="20.45" hidden="1" customHeight="1" x14ac:dyDescent="0.6">
      <c r="A619" s="253"/>
      <c r="B619" s="40"/>
      <c r="C619" s="101"/>
      <c r="D619" s="40"/>
      <c r="E619" s="48"/>
      <c r="F619" s="260"/>
      <c r="G619" s="261"/>
      <c r="H619" s="40"/>
      <c r="I619" s="68" t="s">
        <v>104</v>
      </c>
      <c r="J619" s="49">
        <f>J613-J618</f>
        <v>2986978.7096774192</v>
      </c>
    </row>
    <row r="620" spans="1:11" ht="20.45" hidden="1" customHeight="1" x14ac:dyDescent="0.6">
      <c r="A620" s="50" t="s">
        <v>105</v>
      </c>
      <c r="J620" s="51" t="s">
        <v>0</v>
      </c>
    </row>
    <row r="621" spans="1:11" ht="20.45" hidden="1" customHeight="1" x14ac:dyDescent="0.6">
      <c r="A621" s="50"/>
      <c r="J621" s="51"/>
    </row>
    <row r="622" spans="1:11" ht="20.45" hidden="1" customHeight="1" x14ac:dyDescent="0.6">
      <c r="A622" s="264" t="s">
        <v>170</v>
      </c>
      <c r="B622" s="264"/>
      <c r="C622" s="264"/>
      <c r="D622" s="264"/>
      <c r="E622" s="264"/>
      <c r="F622" s="264"/>
      <c r="G622" s="264"/>
      <c r="H622" s="264"/>
      <c r="I622" s="264"/>
      <c r="J622" s="264"/>
    </row>
    <row r="623" spans="1:11" ht="20.45" hidden="1" customHeight="1" x14ac:dyDescent="0.6">
      <c r="A623" s="286" t="s">
        <v>83</v>
      </c>
      <c r="B623" s="286"/>
      <c r="C623" s="286"/>
      <c r="D623" s="286" t="s">
        <v>84</v>
      </c>
      <c r="E623" s="286"/>
      <c r="F623" s="286" t="s">
        <v>85</v>
      </c>
      <c r="G623" s="286"/>
      <c r="H623" s="286"/>
      <c r="I623" s="286" t="s">
        <v>86</v>
      </c>
      <c r="J623" s="286"/>
    </row>
    <row r="624" spans="1:11" ht="20.45" hidden="1" customHeight="1" x14ac:dyDescent="0.6">
      <c r="A624" s="286" t="str">
        <f>VLOOKUP(K624,임금대장!$A$6:$AH$86,3,0)</f>
        <v>초다이</v>
      </c>
      <c r="B624" s="286"/>
      <c r="C624" s="286"/>
      <c r="D624" s="287" t="str">
        <f>VLOOKUP(K624,임금대장!$A$6:$AH$86,2,0)</f>
        <v>강현경</v>
      </c>
      <c r="E624" s="287"/>
      <c r="F624" s="287">
        <f>임금대장!$O$3</f>
        <v>31</v>
      </c>
      <c r="G624" s="286"/>
      <c r="H624" s="286"/>
      <c r="I624" s="288">
        <f>VLOOKUP(K624,임금대장!$A$6:$AH$86,16,0)</f>
        <v>0</v>
      </c>
      <c r="J624" s="288"/>
      <c r="K624" s="30">
        <v>28</v>
      </c>
    </row>
    <row r="625" spans="1:10" ht="20.45" hidden="1" customHeight="1" x14ac:dyDescent="0.6">
      <c r="A625" s="286" t="s">
        <v>87</v>
      </c>
      <c r="B625" s="286"/>
      <c r="C625" s="286" t="s">
        <v>5</v>
      </c>
      <c r="D625" s="289">
        <f>VLOOKUP($K624,임금대장!$A$6:$AH$86,5,0)</f>
        <v>45941</v>
      </c>
      <c r="E625" s="289"/>
      <c r="F625" s="114" t="s">
        <v>88</v>
      </c>
      <c r="G625" s="358">
        <f>VLOOKUP(K624,임금대장!$A$6:$AH$86,15,0)</f>
        <v>31</v>
      </c>
      <c r="H625" s="358"/>
      <c r="I625" s="286" t="s">
        <v>89</v>
      </c>
      <c r="J625" s="290">
        <f>VLOOKUP(K624,임금대장!$A$6:$AH$86,17,0)</f>
        <v>0</v>
      </c>
    </row>
    <row r="626" spans="1:10" ht="20.45" hidden="1" customHeight="1" x14ac:dyDescent="0.6">
      <c r="A626" s="294">
        <f>VLOOKUP($K624,임금대장!$A$6:$AH$86,7,0)</f>
        <v>3300000</v>
      </c>
      <c r="B626" s="294"/>
      <c r="C626" s="286"/>
      <c r="D626" s="289"/>
      <c r="E626" s="289"/>
      <c r="F626" s="115" t="s">
        <v>90</v>
      </c>
      <c r="G626" s="359">
        <f>VLOOKUP(K624,임금대장!$A$6:$AH$86,16,0)</f>
        <v>0</v>
      </c>
      <c r="H626" s="359"/>
      <c r="I626" s="286"/>
      <c r="J626" s="290"/>
    </row>
    <row r="627" spans="1:10" ht="20.45" hidden="1" customHeight="1" x14ac:dyDescent="0.6">
      <c r="F627" s="250"/>
      <c r="G627" s="250"/>
      <c r="H627" s="32"/>
    </row>
    <row r="628" spans="1:10" ht="20.45" hidden="1" customHeight="1" x14ac:dyDescent="0.6">
      <c r="A628" s="251" t="s">
        <v>91</v>
      </c>
      <c r="B628" s="69" t="s">
        <v>20</v>
      </c>
      <c r="C628" s="25">
        <f>VLOOKUP($K624,임금대장!$A$6:$AH$86,9,0)</f>
        <v>2370103</v>
      </c>
      <c r="D628" s="33"/>
      <c r="E628" s="69"/>
      <c r="F628" s="254"/>
      <c r="G628" s="255"/>
      <c r="H628" s="25"/>
      <c r="I628" s="33"/>
      <c r="J628" s="34"/>
    </row>
    <row r="629" spans="1:10" ht="20.45" hidden="1" customHeight="1" x14ac:dyDescent="0.6">
      <c r="A629" s="252"/>
      <c r="B629" s="67" t="s">
        <v>21</v>
      </c>
      <c r="C629" s="35">
        <f>VLOOKUP($K624,임금대장!$A$6:$AH$86,10,0)</f>
        <v>739381</v>
      </c>
      <c r="D629" s="36"/>
      <c r="E629" s="67"/>
      <c r="F629" s="256"/>
      <c r="G629" s="257"/>
      <c r="H629" s="35"/>
      <c r="I629" s="36"/>
      <c r="J629" s="37"/>
    </row>
    <row r="630" spans="1:10" ht="20.45" hidden="1" customHeight="1" x14ac:dyDescent="0.6">
      <c r="A630" s="252"/>
      <c r="B630" s="52" t="s">
        <v>92</v>
      </c>
      <c r="C630" s="35">
        <f>VLOOKUP($K624,임금대장!$A$6:$AH$86,11,0)</f>
        <v>99794</v>
      </c>
      <c r="D630" s="36"/>
      <c r="E630" s="67"/>
      <c r="F630" s="256"/>
      <c r="G630" s="257"/>
      <c r="H630" s="35"/>
      <c r="I630" s="36"/>
      <c r="J630" s="37"/>
    </row>
    <row r="631" spans="1:10" ht="20.45" hidden="1" customHeight="1" x14ac:dyDescent="0.6">
      <c r="A631" s="252"/>
      <c r="B631" s="67" t="s">
        <v>115</v>
      </c>
      <c r="C631" s="35">
        <f>VLOOKUP($K624,임금대장!$A$6:$AH$86,12,0)</f>
        <v>0</v>
      </c>
      <c r="D631" s="36"/>
      <c r="E631" s="67"/>
      <c r="F631" s="256"/>
      <c r="G631" s="257"/>
      <c r="H631" s="35"/>
      <c r="I631" s="36"/>
      <c r="J631" s="37"/>
    </row>
    <row r="632" spans="1:10" ht="20.45" hidden="1" customHeight="1" x14ac:dyDescent="0.6">
      <c r="A632" s="252"/>
      <c r="B632" s="67" t="s">
        <v>94</v>
      </c>
      <c r="C632" s="35">
        <f>VLOOKUP($K624,임금대장!$A$6:$AH$86,13,0)</f>
        <v>90722</v>
      </c>
      <c r="D632" s="36"/>
      <c r="E632" s="36"/>
      <c r="F632" s="258"/>
      <c r="G632" s="259"/>
      <c r="H632" s="35"/>
      <c r="I632" s="36"/>
      <c r="J632" s="37"/>
    </row>
    <row r="633" spans="1:10" ht="20.45" hidden="1" customHeight="1" x14ac:dyDescent="0.6">
      <c r="A633" s="252"/>
      <c r="B633" s="67" t="s">
        <v>24</v>
      </c>
      <c r="C633" s="102">
        <f>VLOOKUP($K624,임금대장!$A$6:$AH$86,14,0)</f>
        <v>53225.806451612902</v>
      </c>
      <c r="D633" s="36"/>
      <c r="E633" s="36"/>
      <c r="F633" s="258"/>
      <c r="G633" s="259"/>
      <c r="H633" s="35"/>
      <c r="I633" s="36"/>
      <c r="J633" s="37"/>
    </row>
    <row r="634" spans="1:10" ht="20.45" hidden="1" customHeight="1" x14ac:dyDescent="0.6">
      <c r="A634" s="252"/>
      <c r="B634" s="67"/>
      <c r="C634" s="35"/>
      <c r="D634" s="36"/>
      <c r="E634" s="36"/>
      <c r="F634" s="258"/>
      <c r="G634" s="259"/>
      <c r="H634" s="35"/>
      <c r="I634" s="36"/>
      <c r="J634" s="37"/>
    </row>
    <row r="635" spans="1:10" ht="20.45" hidden="1" customHeight="1" x14ac:dyDescent="0.6">
      <c r="A635" s="252"/>
      <c r="B635" s="67"/>
      <c r="C635" s="35"/>
      <c r="D635" s="36"/>
      <c r="E635" s="36"/>
      <c r="F635" s="258"/>
      <c r="G635" s="259"/>
      <c r="H635" s="35"/>
      <c r="I635" s="36"/>
      <c r="J635" s="37"/>
    </row>
    <row r="636" spans="1:10" ht="20.45" hidden="1" customHeight="1" x14ac:dyDescent="0.6">
      <c r="A636" s="253"/>
      <c r="B636" s="68"/>
      <c r="C636" s="39"/>
      <c r="D636" s="40"/>
      <c r="E636" s="40"/>
      <c r="F636" s="260"/>
      <c r="G636" s="261"/>
      <c r="H636" s="39"/>
      <c r="I636" s="68" t="s">
        <v>95</v>
      </c>
      <c r="J636" s="41">
        <f>SUM(C628:H634)</f>
        <v>3353225.8064516131</v>
      </c>
    </row>
    <row r="637" spans="1:10" ht="20.45" hidden="1" customHeight="1" x14ac:dyDescent="0.6">
      <c r="A637" s="251" t="s">
        <v>96</v>
      </c>
      <c r="B637" s="36" t="s">
        <v>97</v>
      </c>
      <c r="C637" s="35">
        <f>VLOOKUP($K624,임금대장!$A$6:$AH$86,25,0)</f>
        <v>105210</v>
      </c>
      <c r="D637" s="33"/>
      <c r="E637" s="42"/>
      <c r="F637" s="262" t="s">
        <v>14</v>
      </c>
      <c r="G637" s="263"/>
      <c r="H637" s="35">
        <f>VLOOKUP($K624,임금대장!$A$6:$AH$86,19,0)</f>
        <v>0</v>
      </c>
      <c r="I637" s="33"/>
      <c r="J637" s="34"/>
    </row>
    <row r="638" spans="1:10" ht="20.45" hidden="1" customHeight="1" x14ac:dyDescent="0.6">
      <c r="A638" s="252"/>
      <c r="B638" s="36" t="s">
        <v>98</v>
      </c>
      <c r="C638" s="35">
        <f>VLOOKUP($K624,임금대장!$A$6:$AH$86,26,0)</f>
        <v>10520</v>
      </c>
      <c r="D638" s="36"/>
      <c r="E638" s="43"/>
      <c r="F638" s="258" t="s">
        <v>12</v>
      </c>
      <c r="G638" s="259"/>
      <c r="H638" s="35">
        <f>VLOOKUP($K624,임금대장!$A$6:$AH$86,17,0)</f>
        <v>0</v>
      </c>
      <c r="I638" s="36"/>
      <c r="J638" s="37"/>
    </row>
    <row r="639" spans="1:10" ht="20.45" hidden="1" customHeight="1" x14ac:dyDescent="0.6">
      <c r="A639" s="252"/>
      <c r="B639" s="36" t="s">
        <v>99</v>
      </c>
      <c r="C639" s="35">
        <f>VLOOKUP($K624,임금대장!$A$6:$AH$86,27,0)</f>
        <v>85500</v>
      </c>
      <c r="D639" s="36"/>
      <c r="E639" s="44"/>
      <c r="F639" s="258" t="s">
        <v>171</v>
      </c>
      <c r="G639" s="259"/>
      <c r="H639" s="35">
        <f>VLOOKUP($K624,임금대장!$A$6:$AH$86,31,0)</f>
        <v>0</v>
      </c>
      <c r="I639" s="36"/>
      <c r="J639" s="37"/>
    </row>
    <row r="640" spans="1:10" ht="20.45" hidden="1" customHeight="1" x14ac:dyDescent="0.6">
      <c r="A640" s="252"/>
      <c r="B640" s="36" t="s">
        <v>101</v>
      </c>
      <c r="C640" s="35">
        <f>VLOOKUP($K624,임금대장!$A$6:$AH$86,28,0)</f>
        <v>120540</v>
      </c>
      <c r="D640" s="36"/>
      <c r="E640" s="43"/>
      <c r="F640" s="258" t="s">
        <v>102</v>
      </c>
      <c r="G640" s="259"/>
      <c r="H640" s="35">
        <f>VLOOKUP($K624,임금대장!$A$6:$AH$86,30,0)</f>
        <v>30170</v>
      </c>
      <c r="I640" s="36"/>
      <c r="J640" s="37"/>
    </row>
    <row r="641" spans="1:11" ht="20.45" hidden="1" customHeight="1" x14ac:dyDescent="0.6">
      <c r="A641" s="252"/>
      <c r="B641" s="36" t="s">
        <v>31</v>
      </c>
      <c r="C641" s="35">
        <f>VLOOKUP($K624,임금대장!$A$6:$AH$86,29,0)</f>
        <v>15830</v>
      </c>
      <c r="D641" s="36"/>
      <c r="E641" s="43"/>
      <c r="F641" s="45"/>
      <c r="G641" s="46"/>
      <c r="H641" s="36"/>
      <c r="I641" s="67" t="s">
        <v>103</v>
      </c>
      <c r="J641" s="47">
        <f>SUM(C637:H642)</f>
        <v>367770</v>
      </c>
    </row>
    <row r="642" spans="1:11" ht="20.45" hidden="1" customHeight="1" x14ac:dyDescent="0.6">
      <c r="A642" s="253"/>
      <c r="B642" s="40"/>
      <c r="C642" s="101"/>
      <c r="D642" s="40"/>
      <c r="E642" s="48"/>
      <c r="F642" s="260"/>
      <c r="G642" s="261"/>
      <c r="H642" s="40"/>
      <c r="I642" s="68" t="s">
        <v>104</v>
      </c>
      <c r="J642" s="49">
        <f>J636-J641</f>
        <v>2985455.8064516131</v>
      </c>
    </row>
    <row r="643" spans="1:11" ht="20.45" hidden="1" customHeight="1" x14ac:dyDescent="0.6">
      <c r="A643" s="50" t="s">
        <v>105</v>
      </c>
      <c r="J643" s="51" t="s">
        <v>0</v>
      </c>
    </row>
    <row r="644" spans="1:11" ht="20.45" hidden="1" customHeight="1" x14ac:dyDescent="0.6">
      <c r="A644" s="50"/>
      <c r="J644" s="51"/>
    </row>
    <row r="645" spans="1:11" ht="20.45" hidden="1" customHeight="1" x14ac:dyDescent="0.6">
      <c r="A645" s="264" t="s">
        <v>170</v>
      </c>
      <c r="B645" s="264"/>
      <c r="C645" s="264"/>
      <c r="D645" s="264"/>
      <c r="E645" s="264"/>
      <c r="F645" s="264"/>
      <c r="G645" s="264"/>
      <c r="H645" s="264"/>
      <c r="I645" s="264"/>
      <c r="J645" s="264"/>
    </row>
    <row r="646" spans="1:11" ht="20.45" hidden="1" customHeight="1" x14ac:dyDescent="0.6">
      <c r="A646" s="286" t="s">
        <v>83</v>
      </c>
      <c r="B646" s="286"/>
      <c r="C646" s="286"/>
      <c r="D646" s="286" t="s">
        <v>84</v>
      </c>
      <c r="E646" s="286"/>
      <c r="F646" s="286" t="s">
        <v>85</v>
      </c>
      <c r="G646" s="286"/>
      <c r="H646" s="286"/>
      <c r="I646" s="286" t="s">
        <v>86</v>
      </c>
      <c r="J646" s="286"/>
    </row>
    <row r="647" spans="1:11" ht="20.45" hidden="1" customHeight="1" x14ac:dyDescent="0.6">
      <c r="A647" s="286" t="str">
        <f>VLOOKUP(K647,임금대장!$A$6:$AH$86,3,0)</f>
        <v>세척</v>
      </c>
      <c r="B647" s="286"/>
      <c r="C647" s="286"/>
      <c r="D647" s="287" t="str">
        <f>VLOOKUP(K647,임금대장!$A$6:$AH$86,2,0)</f>
        <v>김미숙</v>
      </c>
      <c r="E647" s="287"/>
      <c r="F647" s="287">
        <f>임금대장!$O$3</f>
        <v>31</v>
      </c>
      <c r="G647" s="286"/>
      <c r="H647" s="286"/>
      <c r="I647" s="288">
        <f>VLOOKUP(K647,임금대장!$A$6:$AH$86,16,0)</f>
        <v>0</v>
      </c>
      <c r="J647" s="288"/>
      <c r="K647" s="30">
        <v>29</v>
      </c>
    </row>
    <row r="648" spans="1:11" ht="20.45" hidden="1" customHeight="1" x14ac:dyDescent="0.6">
      <c r="A648" s="286" t="s">
        <v>87</v>
      </c>
      <c r="B648" s="286"/>
      <c r="C648" s="286" t="s">
        <v>5</v>
      </c>
      <c r="D648" s="289">
        <f>VLOOKUP($K647,임금대장!$A$6:$AH$86,5,0)</f>
        <v>45933</v>
      </c>
      <c r="E648" s="289"/>
      <c r="F648" s="114" t="s">
        <v>88</v>
      </c>
      <c r="G648" s="358">
        <f>VLOOKUP(K647,임금대장!$A$6:$AH$86,15,0)</f>
        <v>31</v>
      </c>
      <c r="H648" s="358"/>
      <c r="I648" s="286" t="s">
        <v>89</v>
      </c>
      <c r="J648" s="290">
        <f>VLOOKUP(K647,임금대장!$A$6:$AH$86,17,0)</f>
        <v>0</v>
      </c>
    </row>
    <row r="649" spans="1:11" ht="20.45" hidden="1" customHeight="1" x14ac:dyDescent="0.6">
      <c r="A649" s="294">
        <f>VLOOKUP($K647,임금대장!$A$6:$AH$86,7,0)</f>
        <v>3300000</v>
      </c>
      <c r="B649" s="294"/>
      <c r="C649" s="286"/>
      <c r="D649" s="289"/>
      <c r="E649" s="289"/>
      <c r="F649" s="115" t="s">
        <v>90</v>
      </c>
      <c r="G649" s="359">
        <f>VLOOKUP(K647,임금대장!$A$6:$AH$86,16,0)</f>
        <v>0</v>
      </c>
      <c r="H649" s="359"/>
      <c r="I649" s="286"/>
      <c r="J649" s="290"/>
    </row>
    <row r="650" spans="1:11" ht="20.45" hidden="1" customHeight="1" x14ac:dyDescent="0.6">
      <c r="F650" s="250"/>
      <c r="G650" s="250"/>
      <c r="H650" s="32"/>
    </row>
    <row r="651" spans="1:11" ht="20.45" hidden="1" customHeight="1" x14ac:dyDescent="0.6">
      <c r="A651" s="251" t="s">
        <v>91</v>
      </c>
      <c r="B651" s="69" t="s">
        <v>20</v>
      </c>
      <c r="C651" s="25">
        <f>VLOOKUP($K647,임금대장!$A$6:$AH$86,9,0)</f>
        <v>2370103</v>
      </c>
      <c r="D651" s="33"/>
      <c r="E651" s="69"/>
      <c r="F651" s="254"/>
      <c r="G651" s="255"/>
      <c r="H651" s="25"/>
      <c r="I651" s="33"/>
      <c r="J651" s="34"/>
    </row>
    <row r="652" spans="1:11" ht="20.45" hidden="1" customHeight="1" x14ac:dyDescent="0.6">
      <c r="A652" s="252"/>
      <c r="B652" s="67" t="s">
        <v>21</v>
      </c>
      <c r="C652" s="35">
        <f>VLOOKUP($K647,임금대장!$A$6:$AH$86,10,0)</f>
        <v>739381</v>
      </c>
      <c r="D652" s="36"/>
      <c r="E652" s="67"/>
      <c r="F652" s="256"/>
      <c r="G652" s="257"/>
      <c r="H652" s="35"/>
      <c r="I652" s="36"/>
      <c r="J652" s="37"/>
    </row>
    <row r="653" spans="1:11" ht="20.45" hidden="1" customHeight="1" x14ac:dyDescent="0.6">
      <c r="A653" s="252"/>
      <c r="B653" s="52" t="s">
        <v>92</v>
      </c>
      <c r="C653" s="35">
        <f>VLOOKUP($K647,임금대장!$A$6:$AH$86,11,0)</f>
        <v>99794</v>
      </c>
      <c r="D653" s="36"/>
      <c r="E653" s="67"/>
      <c r="F653" s="256"/>
      <c r="G653" s="257"/>
      <c r="H653" s="35"/>
      <c r="I653" s="36"/>
      <c r="J653" s="37"/>
    </row>
    <row r="654" spans="1:11" ht="20.45" hidden="1" customHeight="1" x14ac:dyDescent="0.6">
      <c r="A654" s="252"/>
      <c r="B654" s="67" t="s">
        <v>115</v>
      </c>
      <c r="C654" s="35">
        <f>VLOOKUP($K647,임금대장!$A$6:$AH$86,12,0)</f>
        <v>0</v>
      </c>
      <c r="D654" s="36"/>
      <c r="E654" s="67"/>
      <c r="F654" s="256"/>
      <c r="G654" s="257"/>
      <c r="H654" s="35"/>
      <c r="I654" s="36"/>
      <c r="J654" s="37"/>
    </row>
    <row r="655" spans="1:11" ht="20.45" hidden="1" customHeight="1" x14ac:dyDescent="0.6">
      <c r="A655" s="252"/>
      <c r="B655" s="67" t="s">
        <v>94</v>
      </c>
      <c r="C655" s="35">
        <f>VLOOKUP($K647,임금대장!$A$6:$AH$86,13,0)</f>
        <v>90722</v>
      </c>
      <c r="D655" s="36"/>
      <c r="E655" s="36"/>
      <c r="F655" s="258"/>
      <c r="G655" s="259"/>
      <c r="H655" s="35"/>
      <c r="I655" s="36"/>
      <c r="J655" s="37"/>
    </row>
    <row r="656" spans="1:11" ht="20.45" hidden="1" customHeight="1" x14ac:dyDescent="0.6">
      <c r="A656" s="252"/>
      <c r="B656" s="67" t="s">
        <v>24</v>
      </c>
      <c r="C656" s="102">
        <f>VLOOKUP($K647,임금대장!$A$6:$AH$86,14,0)</f>
        <v>159677.4193548387</v>
      </c>
      <c r="D656" s="36"/>
      <c r="E656" s="36"/>
      <c r="F656" s="258"/>
      <c r="G656" s="259"/>
      <c r="H656" s="35"/>
      <c r="I656" s="36"/>
      <c r="J656" s="37"/>
    </row>
    <row r="657" spans="1:11" ht="20.45" hidden="1" customHeight="1" x14ac:dyDescent="0.6">
      <c r="A657" s="252"/>
      <c r="B657" s="67"/>
      <c r="C657" s="35"/>
      <c r="D657" s="36"/>
      <c r="E657" s="36"/>
      <c r="F657" s="258"/>
      <c r="G657" s="259"/>
      <c r="H657" s="35"/>
      <c r="I657" s="36"/>
      <c r="J657" s="37"/>
    </row>
    <row r="658" spans="1:11" ht="20.45" hidden="1" customHeight="1" x14ac:dyDescent="0.6">
      <c r="A658" s="252"/>
      <c r="B658" s="67"/>
      <c r="C658" s="35"/>
      <c r="D658" s="36"/>
      <c r="E658" s="36"/>
      <c r="F658" s="258"/>
      <c r="G658" s="259"/>
      <c r="H658" s="35"/>
      <c r="I658" s="36"/>
      <c r="J658" s="37"/>
    </row>
    <row r="659" spans="1:11" ht="20.45" hidden="1" customHeight="1" x14ac:dyDescent="0.6">
      <c r="A659" s="253"/>
      <c r="B659" s="68"/>
      <c r="C659" s="39"/>
      <c r="D659" s="40"/>
      <c r="E659" s="40"/>
      <c r="F659" s="260"/>
      <c r="G659" s="261"/>
      <c r="H659" s="39"/>
      <c r="I659" s="68" t="s">
        <v>95</v>
      </c>
      <c r="J659" s="41">
        <f>SUM(C651:H657)</f>
        <v>3459677.4193548388</v>
      </c>
    </row>
    <row r="660" spans="1:11" ht="20.45" hidden="1" customHeight="1" x14ac:dyDescent="0.6">
      <c r="A660" s="251" t="s">
        <v>96</v>
      </c>
      <c r="B660" s="36" t="s">
        <v>97</v>
      </c>
      <c r="C660" s="35">
        <f>VLOOKUP($K647,임금대장!$A$6:$AH$86,25,0)</f>
        <v>117440</v>
      </c>
      <c r="D660" s="33"/>
      <c r="E660" s="42"/>
      <c r="F660" s="262" t="s">
        <v>14</v>
      </c>
      <c r="G660" s="263"/>
      <c r="H660" s="35">
        <f>VLOOKUP($K647,임금대장!$A$6:$AH$86,19,0)</f>
        <v>0</v>
      </c>
      <c r="I660" s="33"/>
      <c r="J660" s="34"/>
    </row>
    <row r="661" spans="1:11" ht="20.45" hidden="1" customHeight="1" x14ac:dyDescent="0.6">
      <c r="A661" s="252"/>
      <c r="B661" s="36" t="s">
        <v>98</v>
      </c>
      <c r="C661" s="35">
        <f>VLOOKUP($K647,임금대장!$A$6:$AH$86,26,0)</f>
        <v>11740</v>
      </c>
      <c r="D661" s="36"/>
      <c r="E661" s="43"/>
      <c r="F661" s="258" t="s">
        <v>12</v>
      </c>
      <c r="G661" s="259"/>
      <c r="H661" s="35">
        <f>VLOOKUP($K647,임금대장!$A$6:$AH$86,17,0)</f>
        <v>0</v>
      </c>
      <c r="I661" s="36"/>
      <c r="J661" s="37"/>
    </row>
    <row r="662" spans="1:11" ht="20.45" hidden="1" customHeight="1" x14ac:dyDescent="0.6">
      <c r="A662" s="252"/>
      <c r="B662" s="36" t="s">
        <v>99</v>
      </c>
      <c r="C662" s="35">
        <f>VLOOKUP($K647,임금대장!$A$6:$AH$86,27,0)</f>
        <v>85500</v>
      </c>
      <c r="D662" s="36"/>
      <c r="E662" s="44"/>
      <c r="F662" s="258" t="s">
        <v>171</v>
      </c>
      <c r="G662" s="259"/>
      <c r="H662" s="35">
        <f>VLOOKUP($K647,임금대장!$A$6:$AH$86,31,0)</f>
        <v>0</v>
      </c>
      <c r="I662" s="36"/>
      <c r="J662" s="37"/>
    </row>
    <row r="663" spans="1:11" ht="20.45" hidden="1" customHeight="1" x14ac:dyDescent="0.6">
      <c r="A663" s="252"/>
      <c r="B663" s="36" t="s">
        <v>101</v>
      </c>
      <c r="C663" s="35">
        <f>VLOOKUP($K647,임금대장!$A$6:$AH$86,28,0)</f>
        <v>124370</v>
      </c>
      <c r="D663" s="36"/>
      <c r="E663" s="43"/>
      <c r="F663" s="258" t="s">
        <v>102</v>
      </c>
      <c r="G663" s="259"/>
      <c r="H663" s="35">
        <f>VLOOKUP($K647,임금대장!$A$6:$AH$86,30,0)</f>
        <v>31130</v>
      </c>
      <c r="I663" s="36"/>
      <c r="J663" s="37"/>
    </row>
    <row r="664" spans="1:11" ht="20.45" hidden="1" customHeight="1" x14ac:dyDescent="0.6">
      <c r="A664" s="252"/>
      <c r="B664" s="36" t="s">
        <v>31</v>
      </c>
      <c r="C664" s="35">
        <f>VLOOKUP($K647,임금대장!$A$6:$AH$86,29,0)</f>
        <v>16340</v>
      </c>
      <c r="D664" s="36"/>
      <c r="E664" s="43"/>
      <c r="F664" s="45"/>
      <c r="G664" s="46"/>
      <c r="H664" s="36"/>
      <c r="I664" s="67" t="s">
        <v>103</v>
      </c>
      <c r="J664" s="47">
        <f>SUM(C660:H665)</f>
        <v>386520</v>
      </c>
    </row>
    <row r="665" spans="1:11" ht="20.45" hidden="1" customHeight="1" x14ac:dyDescent="0.6">
      <c r="A665" s="253"/>
      <c r="B665" s="40"/>
      <c r="C665" s="101"/>
      <c r="D665" s="40"/>
      <c r="E665" s="48"/>
      <c r="F665" s="260"/>
      <c r="G665" s="261"/>
      <c r="H665" s="40"/>
      <c r="I665" s="68" t="s">
        <v>104</v>
      </c>
      <c r="J665" s="49">
        <f>J659-J664</f>
        <v>3073157.4193548388</v>
      </c>
    </row>
    <row r="666" spans="1:11" ht="20.45" hidden="1" customHeight="1" x14ac:dyDescent="0.6">
      <c r="A666" s="50" t="s">
        <v>105</v>
      </c>
      <c r="J666" s="51" t="s">
        <v>0</v>
      </c>
    </row>
    <row r="667" spans="1:11" ht="20.45" hidden="1" customHeight="1" x14ac:dyDescent="0.6">
      <c r="A667" s="50"/>
      <c r="J667" s="51"/>
    </row>
    <row r="668" spans="1:11" ht="20.45" hidden="1" customHeight="1" x14ac:dyDescent="0.6">
      <c r="A668" s="264" t="s">
        <v>170</v>
      </c>
      <c r="B668" s="264"/>
      <c r="C668" s="264"/>
      <c r="D668" s="264"/>
      <c r="E668" s="264"/>
      <c r="F668" s="264"/>
      <c r="G668" s="264"/>
      <c r="H668" s="264"/>
      <c r="I668" s="264"/>
      <c r="J668" s="264"/>
    </row>
    <row r="669" spans="1:11" ht="20.45" hidden="1" customHeight="1" x14ac:dyDescent="0.6">
      <c r="A669" s="286" t="s">
        <v>83</v>
      </c>
      <c r="B669" s="286"/>
      <c r="C669" s="286"/>
      <c r="D669" s="286" t="s">
        <v>84</v>
      </c>
      <c r="E669" s="286"/>
      <c r="F669" s="286" t="s">
        <v>85</v>
      </c>
      <c r="G669" s="286"/>
      <c r="H669" s="286"/>
      <c r="I669" s="286" t="s">
        <v>86</v>
      </c>
      <c r="J669" s="286"/>
    </row>
    <row r="670" spans="1:11" ht="20.45" hidden="1" customHeight="1" x14ac:dyDescent="0.6">
      <c r="A670" s="286" t="str">
        <f>VLOOKUP(K670,임금대장!$A$6:$AH$86,3,0)</f>
        <v>초다이</v>
      </c>
      <c r="B670" s="286"/>
      <c r="C670" s="286"/>
      <c r="D670" s="287" t="str">
        <f>VLOOKUP(K670,임금대장!$A$6:$AH$86,2,0)</f>
        <v>정지훈</v>
      </c>
      <c r="E670" s="287"/>
      <c r="F670" s="287">
        <f>임금대장!$O$3</f>
        <v>31</v>
      </c>
      <c r="G670" s="286"/>
      <c r="H670" s="286"/>
      <c r="I670" s="288">
        <f>VLOOKUP(K670,임금대장!$A$6:$AH$86,16,0)</f>
        <v>0</v>
      </c>
      <c r="J670" s="288"/>
      <c r="K670" s="30">
        <v>30</v>
      </c>
    </row>
    <row r="671" spans="1:11" ht="20.45" hidden="1" customHeight="1" x14ac:dyDescent="0.6">
      <c r="A671" s="286" t="s">
        <v>87</v>
      </c>
      <c r="B671" s="286"/>
      <c r="C671" s="286" t="s">
        <v>5</v>
      </c>
      <c r="D671" s="289">
        <f>VLOOKUP($K670,임금대장!$A$6:$AH$86,5,0)</f>
        <v>45971</v>
      </c>
      <c r="E671" s="289"/>
      <c r="F671" s="114" t="s">
        <v>88</v>
      </c>
      <c r="G671" s="358">
        <f>VLOOKUP(K670,임금대장!$A$6:$AH$86,15,0)</f>
        <v>31</v>
      </c>
      <c r="H671" s="358"/>
      <c r="I671" s="286" t="s">
        <v>89</v>
      </c>
      <c r="J671" s="290">
        <f>VLOOKUP(K670,임금대장!$A$6:$AH$86,17,0)</f>
        <v>0</v>
      </c>
    </row>
    <row r="672" spans="1:11" ht="20.45" hidden="1" customHeight="1" x14ac:dyDescent="0.6">
      <c r="A672" s="294">
        <f>VLOOKUP($K670,임금대장!$A$6:$AH$86,7,0)</f>
        <v>3800000</v>
      </c>
      <c r="B672" s="294"/>
      <c r="C672" s="286"/>
      <c r="D672" s="289"/>
      <c r="E672" s="289"/>
      <c r="F672" s="115" t="s">
        <v>90</v>
      </c>
      <c r="G672" s="359">
        <f>VLOOKUP(K670,임금대장!$A$6:$AH$86,16,0)</f>
        <v>0</v>
      </c>
      <c r="H672" s="359"/>
      <c r="I672" s="286"/>
      <c r="J672" s="290"/>
    </row>
    <row r="673" spans="1:10" ht="20.45" hidden="1" customHeight="1" x14ac:dyDescent="0.6">
      <c r="F673" s="250"/>
      <c r="G673" s="250"/>
      <c r="H673" s="32"/>
    </row>
    <row r="674" spans="1:10" ht="20.45" hidden="1" customHeight="1" x14ac:dyDescent="0.6">
      <c r="A674" s="251" t="s">
        <v>91</v>
      </c>
      <c r="B674" s="69" t="s">
        <v>20</v>
      </c>
      <c r="C674" s="25">
        <f>VLOOKUP($K670,임금대장!$A$6:$AH$86,9,0)</f>
        <v>2729209</v>
      </c>
      <c r="D674" s="33"/>
      <c r="E674" s="69"/>
      <c r="F674" s="254"/>
      <c r="G674" s="255"/>
      <c r="H674" s="25"/>
      <c r="I674" s="33"/>
      <c r="J674" s="34"/>
    </row>
    <row r="675" spans="1:10" ht="20.45" hidden="1" customHeight="1" x14ac:dyDescent="0.6">
      <c r="A675" s="252"/>
      <c r="B675" s="67" t="s">
        <v>21</v>
      </c>
      <c r="C675" s="35">
        <f>VLOOKUP($K670,임금대장!$A$6:$AH$86,10,0)</f>
        <v>851408</v>
      </c>
      <c r="D675" s="36"/>
      <c r="E675" s="67"/>
      <c r="F675" s="256"/>
      <c r="G675" s="257"/>
      <c r="H675" s="35"/>
      <c r="I675" s="36"/>
      <c r="J675" s="37"/>
    </row>
    <row r="676" spans="1:10" ht="20.45" hidden="1" customHeight="1" x14ac:dyDescent="0.6">
      <c r="A676" s="252"/>
      <c r="B676" s="52" t="s">
        <v>92</v>
      </c>
      <c r="C676" s="35">
        <f>VLOOKUP($K670,임금대장!$A$6:$AH$86,11,0)</f>
        <v>114915</v>
      </c>
      <c r="D676" s="36"/>
      <c r="E676" s="67"/>
      <c r="F676" s="256"/>
      <c r="G676" s="257"/>
      <c r="H676" s="35"/>
      <c r="I676" s="36"/>
      <c r="J676" s="37"/>
    </row>
    <row r="677" spans="1:10" ht="20.45" hidden="1" customHeight="1" x14ac:dyDescent="0.6">
      <c r="A677" s="252"/>
      <c r="B677" s="67" t="s">
        <v>115</v>
      </c>
      <c r="C677" s="35">
        <f>VLOOKUP($K670,임금대장!$A$6:$AH$86,12,0)</f>
        <v>0</v>
      </c>
      <c r="D677" s="36"/>
      <c r="E677" s="67"/>
      <c r="F677" s="256"/>
      <c r="G677" s="257"/>
      <c r="H677" s="35"/>
      <c r="I677" s="36"/>
      <c r="J677" s="37"/>
    </row>
    <row r="678" spans="1:10" ht="20.45" hidden="1" customHeight="1" x14ac:dyDescent="0.6">
      <c r="A678" s="252"/>
      <c r="B678" s="67" t="s">
        <v>94</v>
      </c>
      <c r="C678" s="35">
        <f>VLOOKUP($K670,임금대장!$A$6:$AH$86,13,0)</f>
        <v>104468</v>
      </c>
      <c r="D678" s="36"/>
      <c r="E678" s="36"/>
      <c r="F678" s="258"/>
      <c r="G678" s="259"/>
      <c r="H678" s="35"/>
      <c r="I678" s="36"/>
      <c r="J678" s="37"/>
    </row>
    <row r="679" spans="1:10" ht="20.45" hidden="1" customHeight="1" x14ac:dyDescent="0.6">
      <c r="A679" s="252"/>
      <c r="B679" s="67" t="s">
        <v>24</v>
      </c>
      <c r="C679" s="102">
        <f>VLOOKUP($K670,임금대장!$A$6:$AH$86,14,0)</f>
        <v>183870.96774193548</v>
      </c>
      <c r="D679" s="36"/>
      <c r="E679" s="36"/>
      <c r="F679" s="258"/>
      <c r="G679" s="259"/>
      <c r="H679" s="35"/>
      <c r="I679" s="36"/>
      <c r="J679" s="37"/>
    </row>
    <row r="680" spans="1:10" ht="20.45" hidden="1" customHeight="1" x14ac:dyDescent="0.6">
      <c r="A680" s="252"/>
      <c r="B680" s="67"/>
      <c r="C680" s="35"/>
      <c r="D680" s="36"/>
      <c r="E680" s="36"/>
      <c r="F680" s="258"/>
      <c r="G680" s="259"/>
      <c r="H680" s="35"/>
      <c r="I680" s="36"/>
      <c r="J680" s="37"/>
    </row>
    <row r="681" spans="1:10" ht="20.45" hidden="1" customHeight="1" x14ac:dyDescent="0.6">
      <c r="A681" s="252"/>
      <c r="B681" s="67"/>
      <c r="C681" s="35"/>
      <c r="D681" s="36"/>
      <c r="E681" s="36"/>
      <c r="F681" s="258"/>
      <c r="G681" s="259"/>
      <c r="H681" s="35"/>
      <c r="I681" s="36"/>
      <c r="J681" s="37"/>
    </row>
    <row r="682" spans="1:10" ht="20.45" hidden="1" customHeight="1" x14ac:dyDescent="0.6">
      <c r="A682" s="253"/>
      <c r="B682" s="68"/>
      <c r="C682" s="39"/>
      <c r="D682" s="40"/>
      <c r="E682" s="40"/>
      <c r="F682" s="260"/>
      <c r="G682" s="261"/>
      <c r="H682" s="39"/>
      <c r="I682" s="68" t="s">
        <v>95</v>
      </c>
      <c r="J682" s="41">
        <f>SUM(C674:H680)</f>
        <v>3983870.9677419355</v>
      </c>
    </row>
    <row r="683" spans="1:10" ht="20.45" hidden="1" customHeight="1" x14ac:dyDescent="0.6">
      <c r="A683" s="251" t="s">
        <v>96</v>
      </c>
      <c r="B683" s="36" t="s">
        <v>97</v>
      </c>
      <c r="C683" s="35">
        <f>VLOOKUP($K670,임금대장!$A$6:$AH$86,25,0)</f>
        <v>190620</v>
      </c>
      <c r="D683" s="33"/>
      <c r="E683" s="42"/>
      <c r="F683" s="262" t="s">
        <v>14</v>
      </c>
      <c r="G683" s="263"/>
      <c r="H683" s="35">
        <f>VLOOKUP($K670,임금대장!$A$6:$AH$86,19,0)</f>
        <v>0</v>
      </c>
      <c r="I683" s="33"/>
      <c r="J683" s="34"/>
    </row>
    <row r="684" spans="1:10" ht="20.45" hidden="1" customHeight="1" x14ac:dyDescent="0.6">
      <c r="A684" s="252"/>
      <c r="B684" s="36" t="s">
        <v>98</v>
      </c>
      <c r="C684" s="35">
        <f>VLOOKUP($K670,임금대장!$A$6:$AH$86,26,0)</f>
        <v>19060</v>
      </c>
      <c r="D684" s="36"/>
      <c r="E684" s="43"/>
      <c r="F684" s="258" t="s">
        <v>12</v>
      </c>
      <c r="G684" s="259"/>
      <c r="H684" s="35">
        <f>VLOOKUP($K670,임금대장!$A$6:$AH$86,17,0)</f>
        <v>0</v>
      </c>
      <c r="I684" s="36"/>
      <c r="J684" s="37"/>
    </row>
    <row r="685" spans="1:10" ht="20.45" hidden="1" customHeight="1" x14ac:dyDescent="0.6">
      <c r="A685" s="252"/>
      <c r="B685" s="36" t="s">
        <v>99</v>
      </c>
      <c r="C685" s="35">
        <f>VLOOKUP($K670,임금대장!$A$6:$AH$86,27,0)</f>
        <v>85500</v>
      </c>
      <c r="D685" s="36"/>
      <c r="E685" s="44"/>
      <c r="F685" s="258" t="s">
        <v>171</v>
      </c>
      <c r="G685" s="259"/>
      <c r="H685" s="35">
        <f>VLOOKUP($K670,임금대장!$A$6:$AH$86,31,0)</f>
        <v>0</v>
      </c>
      <c r="I685" s="36"/>
      <c r="J685" s="37"/>
    </row>
    <row r="686" spans="1:10" ht="20.45" hidden="1" customHeight="1" x14ac:dyDescent="0.6">
      <c r="A686" s="252"/>
      <c r="B686" s="36" t="s">
        <v>101</v>
      </c>
      <c r="C686" s="35">
        <f>VLOOKUP($K670,임금대장!$A$6:$AH$86,28,0)</f>
        <v>143220</v>
      </c>
      <c r="D686" s="36"/>
      <c r="E686" s="43"/>
      <c r="F686" s="258" t="s">
        <v>102</v>
      </c>
      <c r="G686" s="259"/>
      <c r="H686" s="35">
        <f>VLOOKUP($K670,임금대장!$A$6:$AH$86,30,0)</f>
        <v>35850</v>
      </c>
      <c r="I686" s="36"/>
      <c r="J686" s="37"/>
    </row>
    <row r="687" spans="1:10" ht="20.45" hidden="1" customHeight="1" x14ac:dyDescent="0.6">
      <c r="A687" s="252"/>
      <c r="B687" s="36" t="s">
        <v>31</v>
      </c>
      <c r="C687" s="35">
        <f>VLOOKUP($K670,임금대장!$A$6:$AH$86,29,0)</f>
        <v>18810</v>
      </c>
      <c r="D687" s="36"/>
      <c r="E687" s="43"/>
      <c r="F687" s="45"/>
      <c r="G687" s="46"/>
      <c r="H687" s="36"/>
      <c r="I687" s="67" t="s">
        <v>103</v>
      </c>
      <c r="J687" s="47">
        <f>SUM(C683:H688)</f>
        <v>493060</v>
      </c>
    </row>
    <row r="688" spans="1:10" ht="20.45" hidden="1" customHeight="1" x14ac:dyDescent="0.6">
      <c r="A688" s="253"/>
      <c r="B688" s="40"/>
      <c r="C688" s="101"/>
      <c r="D688" s="40"/>
      <c r="E688" s="48"/>
      <c r="F688" s="260"/>
      <c r="G688" s="261"/>
      <c r="H688" s="40"/>
      <c r="I688" s="68" t="s">
        <v>104</v>
      </c>
      <c r="J688" s="49">
        <f>J682-J687</f>
        <v>3490810.9677419355</v>
      </c>
    </row>
    <row r="689" spans="1:11" ht="20.45" hidden="1" customHeight="1" x14ac:dyDescent="0.6">
      <c r="A689" s="50" t="s">
        <v>105</v>
      </c>
      <c r="J689" s="51" t="s">
        <v>0</v>
      </c>
    </row>
    <row r="690" spans="1:11" ht="20.45" hidden="1" customHeight="1" x14ac:dyDescent="0.6">
      <c r="A690" s="50"/>
      <c r="J690" s="51"/>
    </row>
    <row r="691" spans="1:11" ht="20.45" hidden="1" customHeight="1" x14ac:dyDescent="0.6">
      <c r="A691" s="264" t="s">
        <v>170</v>
      </c>
      <c r="B691" s="264"/>
      <c r="C691" s="264"/>
      <c r="D691" s="264"/>
      <c r="E691" s="264"/>
      <c r="F691" s="264"/>
      <c r="G691" s="264"/>
      <c r="H691" s="264"/>
      <c r="I691" s="264"/>
      <c r="J691" s="264"/>
    </row>
    <row r="692" spans="1:11" ht="20.45" hidden="1" customHeight="1" x14ac:dyDescent="0.6">
      <c r="A692" s="286" t="s">
        <v>83</v>
      </c>
      <c r="B692" s="286"/>
      <c r="C692" s="286"/>
      <c r="D692" s="286" t="s">
        <v>84</v>
      </c>
      <c r="E692" s="286"/>
      <c r="F692" s="286" t="s">
        <v>85</v>
      </c>
      <c r="G692" s="286"/>
      <c r="H692" s="286"/>
      <c r="I692" s="286" t="s">
        <v>86</v>
      </c>
      <c r="J692" s="286"/>
    </row>
    <row r="693" spans="1:11" ht="20.45" hidden="1" customHeight="1" x14ac:dyDescent="0.6">
      <c r="A693" s="286" t="str">
        <f>VLOOKUP(K693,임금대장!$A$6:$AH$86,3,0)</f>
        <v>핫/즉석</v>
      </c>
      <c r="B693" s="286"/>
      <c r="C693" s="286"/>
      <c r="D693" s="287" t="str">
        <f>VLOOKUP(K693,임금대장!$A$6:$AH$86,2,0)</f>
        <v>안유빈</v>
      </c>
      <c r="E693" s="287"/>
      <c r="F693" s="287">
        <f>임금대장!$O$3</f>
        <v>31</v>
      </c>
      <c r="G693" s="286"/>
      <c r="H693" s="286"/>
      <c r="I693" s="288">
        <f>VLOOKUP(K693,임금대장!$A$6:$AH$86,16,0)</f>
        <v>0</v>
      </c>
      <c r="J693" s="288"/>
      <c r="K693" s="30">
        <v>31</v>
      </c>
    </row>
    <row r="694" spans="1:11" ht="20.45" hidden="1" customHeight="1" x14ac:dyDescent="0.6">
      <c r="A694" s="286" t="s">
        <v>87</v>
      </c>
      <c r="B694" s="286"/>
      <c r="C694" s="286" t="s">
        <v>5</v>
      </c>
      <c r="D694" s="289">
        <f>VLOOKUP($K693,임금대장!$A$6:$AH$86,5,0)</f>
        <v>45992</v>
      </c>
      <c r="E694" s="289"/>
      <c r="F694" s="114" t="s">
        <v>88</v>
      </c>
      <c r="G694" s="358">
        <f>VLOOKUP(K693,임금대장!$A$6:$AH$86,15,0)</f>
        <v>31</v>
      </c>
      <c r="H694" s="358"/>
      <c r="I694" s="286" t="s">
        <v>89</v>
      </c>
      <c r="J694" s="290">
        <f>VLOOKUP(K693,임금대장!$A$6:$AH$86,17,0)</f>
        <v>0</v>
      </c>
    </row>
    <row r="695" spans="1:11" ht="20.45" hidden="1" customHeight="1" x14ac:dyDescent="0.6">
      <c r="A695" s="294">
        <f>VLOOKUP($K693,임금대장!$A$6:$AH$86,7,0)</f>
        <v>3300000</v>
      </c>
      <c r="B695" s="294"/>
      <c r="C695" s="286"/>
      <c r="D695" s="289"/>
      <c r="E695" s="289"/>
      <c r="F695" s="115" t="s">
        <v>90</v>
      </c>
      <c r="G695" s="359">
        <f>VLOOKUP(K693,임금대장!$A$6:$AH$86,16,0)</f>
        <v>0</v>
      </c>
      <c r="H695" s="359"/>
      <c r="I695" s="286"/>
      <c r="J695" s="290"/>
    </row>
    <row r="696" spans="1:11" ht="20.45" hidden="1" customHeight="1" x14ac:dyDescent="0.6">
      <c r="F696" s="250"/>
      <c r="G696" s="250"/>
      <c r="H696" s="32"/>
    </row>
    <row r="697" spans="1:11" ht="20.45" hidden="1" customHeight="1" x14ac:dyDescent="0.6">
      <c r="A697" s="251" t="s">
        <v>91</v>
      </c>
      <c r="B697" s="69" t="s">
        <v>20</v>
      </c>
      <c r="C697" s="25">
        <f>VLOOKUP($K693,임금대장!$A$6:$AH$86,9,0)</f>
        <v>2370103</v>
      </c>
      <c r="D697" s="33"/>
      <c r="E697" s="69"/>
      <c r="F697" s="254"/>
      <c r="G697" s="255"/>
      <c r="H697" s="25"/>
      <c r="I697" s="33"/>
      <c r="J697" s="34"/>
    </row>
    <row r="698" spans="1:11" ht="20.45" hidden="1" customHeight="1" x14ac:dyDescent="0.6">
      <c r="A698" s="252"/>
      <c r="B698" s="67" t="s">
        <v>21</v>
      </c>
      <c r="C698" s="35">
        <f>VLOOKUP($K693,임금대장!$A$6:$AH$86,10,0)</f>
        <v>739381</v>
      </c>
      <c r="D698" s="36"/>
      <c r="E698" s="67"/>
      <c r="F698" s="256"/>
      <c r="G698" s="257"/>
      <c r="H698" s="35"/>
      <c r="I698" s="36"/>
      <c r="J698" s="37"/>
    </row>
    <row r="699" spans="1:11" ht="20.45" hidden="1" customHeight="1" x14ac:dyDescent="0.6">
      <c r="A699" s="252"/>
      <c r="B699" s="52" t="s">
        <v>92</v>
      </c>
      <c r="C699" s="35">
        <f>VLOOKUP($K693,임금대장!$A$6:$AH$86,11,0)</f>
        <v>99794</v>
      </c>
      <c r="D699" s="36"/>
      <c r="E699" s="67"/>
      <c r="F699" s="256"/>
      <c r="G699" s="257"/>
      <c r="H699" s="35"/>
      <c r="I699" s="36"/>
      <c r="J699" s="37"/>
    </row>
    <row r="700" spans="1:11" ht="20.45" hidden="1" customHeight="1" x14ac:dyDescent="0.6">
      <c r="A700" s="252"/>
      <c r="B700" s="67" t="s">
        <v>115</v>
      </c>
      <c r="C700" s="35">
        <f>VLOOKUP($K693,임금대장!$A$6:$AH$86,12,0)</f>
        <v>0</v>
      </c>
      <c r="D700" s="36"/>
      <c r="E700" s="67"/>
      <c r="F700" s="256"/>
      <c r="G700" s="257"/>
      <c r="H700" s="35"/>
      <c r="I700" s="36"/>
      <c r="J700" s="37"/>
    </row>
    <row r="701" spans="1:11" ht="20.45" hidden="1" customHeight="1" x14ac:dyDescent="0.6">
      <c r="A701" s="252"/>
      <c r="B701" s="67" t="s">
        <v>94</v>
      </c>
      <c r="C701" s="35">
        <f>VLOOKUP($K693,임금대장!$A$6:$AH$86,13,0)</f>
        <v>90722</v>
      </c>
      <c r="D701" s="36"/>
      <c r="E701" s="36"/>
      <c r="F701" s="258"/>
      <c r="G701" s="259"/>
      <c r="H701" s="35"/>
      <c r="I701" s="36"/>
      <c r="J701" s="37"/>
    </row>
    <row r="702" spans="1:11" ht="20.45" hidden="1" customHeight="1" x14ac:dyDescent="0.6">
      <c r="A702" s="252"/>
      <c r="B702" s="67" t="s">
        <v>24</v>
      </c>
      <c r="C702" s="102">
        <f>VLOOKUP($K693,임금대장!$A$6:$AH$86,14,0)</f>
        <v>53225.806451612902</v>
      </c>
      <c r="D702" s="36"/>
      <c r="E702" s="36"/>
      <c r="F702" s="258"/>
      <c r="G702" s="259"/>
      <c r="H702" s="35"/>
      <c r="I702" s="36"/>
      <c r="J702" s="37"/>
    </row>
    <row r="703" spans="1:11" ht="20.45" hidden="1" customHeight="1" x14ac:dyDescent="0.6">
      <c r="A703" s="252"/>
      <c r="B703" s="67"/>
      <c r="C703" s="35"/>
      <c r="D703" s="36"/>
      <c r="E703" s="36"/>
      <c r="F703" s="258"/>
      <c r="G703" s="259"/>
      <c r="H703" s="35"/>
      <c r="I703" s="36"/>
      <c r="J703" s="37"/>
    </row>
    <row r="704" spans="1:11" ht="20.45" hidden="1" customHeight="1" x14ac:dyDescent="0.6">
      <c r="A704" s="252"/>
      <c r="B704" s="67"/>
      <c r="C704" s="35"/>
      <c r="D704" s="36"/>
      <c r="E704" s="36"/>
      <c r="F704" s="258"/>
      <c r="G704" s="259"/>
      <c r="H704" s="35"/>
      <c r="I704" s="36"/>
      <c r="J704" s="37"/>
    </row>
    <row r="705" spans="1:11" ht="20.45" hidden="1" customHeight="1" x14ac:dyDescent="0.6">
      <c r="A705" s="253"/>
      <c r="B705" s="68"/>
      <c r="C705" s="39"/>
      <c r="D705" s="40"/>
      <c r="E705" s="40"/>
      <c r="F705" s="260"/>
      <c r="G705" s="261"/>
      <c r="H705" s="39"/>
      <c r="I705" s="68" t="s">
        <v>95</v>
      </c>
      <c r="J705" s="41">
        <f>SUM(C697:H703)</f>
        <v>3353225.8064516131</v>
      </c>
    </row>
    <row r="706" spans="1:11" ht="20.45" hidden="1" customHeight="1" x14ac:dyDescent="0.6">
      <c r="A706" s="251" t="s">
        <v>96</v>
      </c>
      <c r="B706" s="36" t="s">
        <v>97</v>
      </c>
      <c r="C706" s="35">
        <f>VLOOKUP($K693,임금대장!$A$6:$AH$86,25,0)</f>
        <v>105210</v>
      </c>
      <c r="D706" s="33"/>
      <c r="E706" s="42"/>
      <c r="F706" s="262" t="s">
        <v>14</v>
      </c>
      <c r="G706" s="263"/>
      <c r="H706" s="35">
        <f>VLOOKUP($K693,임금대장!$A$6:$AH$86,19,0)</f>
        <v>0</v>
      </c>
      <c r="I706" s="33"/>
      <c r="J706" s="34"/>
    </row>
    <row r="707" spans="1:11" ht="20.45" hidden="1" customHeight="1" x14ac:dyDescent="0.6">
      <c r="A707" s="252"/>
      <c r="B707" s="36" t="s">
        <v>98</v>
      </c>
      <c r="C707" s="35">
        <f>VLOOKUP($K693,임금대장!$A$6:$AH$86,26,0)</f>
        <v>10520</v>
      </c>
      <c r="D707" s="36"/>
      <c r="E707" s="43"/>
      <c r="F707" s="258" t="s">
        <v>12</v>
      </c>
      <c r="G707" s="259"/>
      <c r="H707" s="35">
        <f>VLOOKUP($K693,임금대장!$A$6:$AH$86,17,0)</f>
        <v>0</v>
      </c>
      <c r="I707" s="36"/>
      <c r="J707" s="37"/>
    </row>
    <row r="708" spans="1:11" ht="20.45" hidden="1" customHeight="1" x14ac:dyDescent="0.6">
      <c r="A708" s="252"/>
      <c r="B708" s="36" t="s">
        <v>99</v>
      </c>
      <c r="C708" s="35">
        <f>VLOOKUP($K693,임금대장!$A$6:$AH$86,27,0)</f>
        <v>85500</v>
      </c>
      <c r="D708" s="36"/>
      <c r="E708" s="44"/>
      <c r="F708" s="258" t="s">
        <v>171</v>
      </c>
      <c r="G708" s="259"/>
      <c r="H708" s="35">
        <f>VLOOKUP($K693,임금대장!$A$6:$AH$86,31,0)</f>
        <v>0</v>
      </c>
      <c r="I708" s="36"/>
      <c r="J708" s="37"/>
    </row>
    <row r="709" spans="1:11" ht="20.45" hidden="1" customHeight="1" x14ac:dyDescent="0.6">
      <c r="A709" s="252"/>
      <c r="B709" s="36" t="s">
        <v>101</v>
      </c>
      <c r="C709" s="35">
        <f>VLOOKUP($K693,임금대장!$A$6:$AH$86,28,0)</f>
        <v>120540</v>
      </c>
      <c r="D709" s="36"/>
      <c r="E709" s="43"/>
      <c r="F709" s="258" t="s">
        <v>102</v>
      </c>
      <c r="G709" s="259"/>
      <c r="H709" s="35">
        <f>VLOOKUP($K693,임금대장!$A$6:$AH$86,30,0)</f>
        <v>30170</v>
      </c>
      <c r="I709" s="36"/>
      <c r="J709" s="37"/>
    </row>
    <row r="710" spans="1:11" ht="20.45" hidden="1" customHeight="1" x14ac:dyDescent="0.6">
      <c r="A710" s="252"/>
      <c r="B710" s="36" t="s">
        <v>31</v>
      </c>
      <c r="C710" s="35">
        <f>VLOOKUP($K693,임금대장!$A$6:$AH$86,29,0)</f>
        <v>15830</v>
      </c>
      <c r="D710" s="36"/>
      <c r="E710" s="43"/>
      <c r="F710" s="45"/>
      <c r="G710" s="46"/>
      <c r="H710" s="36"/>
      <c r="I710" s="67" t="s">
        <v>103</v>
      </c>
      <c r="J710" s="47">
        <f>SUM(C706:H711)</f>
        <v>367770</v>
      </c>
    </row>
    <row r="711" spans="1:11" ht="20.45" hidden="1" customHeight="1" x14ac:dyDescent="0.6">
      <c r="A711" s="253"/>
      <c r="B711" s="40"/>
      <c r="C711" s="101"/>
      <c r="D711" s="40"/>
      <c r="E711" s="48"/>
      <c r="F711" s="260"/>
      <c r="G711" s="261"/>
      <c r="H711" s="40"/>
      <c r="I711" s="68" t="s">
        <v>104</v>
      </c>
      <c r="J711" s="49">
        <f>J705-J710</f>
        <v>2985455.8064516131</v>
      </c>
    </row>
    <row r="712" spans="1:11" ht="20.45" hidden="1" customHeight="1" x14ac:dyDescent="0.6">
      <c r="A712" s="50" t="s">
        <v>105</v>
      </c>
      <c r="J712" s="51" t="s">
        <v>0</v>
      </c>
    </row>
    <row r="713" spans="1:11" ht="20.45" hidden="1" customHeight="1" x14ac:dyDescent="0.6">
      <c r="A713" s="50"/>
      <c r="J713" s="51"/>
    </row>
    <row r="714" spans="1:11" ht="20.45" hidden="1" customHeight="1" x14ac:dyDescent="0.6">
      <c r="A714" s="264" t="s">
        <v>170</v>
      </c>
      <c r="B714" s="264"/>
      <c r="C714" s="264"/>
      <c r="D714" s="264"/>
      <c r="E714" s="264"/>
      <c r="F714" s="264"/>
      <c r="G714" s="264"/>
      <c r="H714" s="264"/>
      <c r="I714" s="264"/>
      <c r="J714" s="264"/>
    </row>
    <row r="715" spans="1:11" ht="20.45" hidden="1" customHeight="1" x14ac:dyDescent="0.6">
      <c r="A715" s="286" t="s">
        <v>83</v>
      </c>
      <c r="B715" s="286"/>
      <c r="C715" s="286"/>
      <c r="D715" s="286" t="s">
        <v>84</v>
      </c>
      <c r="E715" s="286"/>
      <c r="F715" s="286" t="s">
        <v>85</v>
      </c>
      <c r="G715" s="286"/>
      <c r="H715" s="286"/>
      <c r="I715" s="286" t="s">
        <v>86</v>
      </c>
      <c r="J715" s="286"/>
    </row>
    <row r="716" spans="1:11" ht="20.45" hidden="1" customHeight="1" x14ac:dyDescent="0.6">
      <c r="A716" s="286" t="str">
        <f>VLOOKUP(K716,임금대장!$A$6:$AH$86,3,0)</f>
        <v>초다이</v>
      </c>
      <c r="B716" s="286"/>
      <c r="C716" s="286"/>
      <c r="D716" s="287" t="str">
        <f>VLOOKUP(K716,임금대장!$A$6:$AH$86,2,0)</f>
        <v>정유진</v>
      </c>
      <c r="E716" s="287"/>
      <c r="F716" s="287">
        <f>임금대장!$O$3</f>
        <v>31</v>
      </c>
      <c r="G716" s="286"/>
      <c r="H716" s="286"/>
      <c r="I716" s="288">
        <f>VLOOKUP(K716,임금대장!$A$6:$AH$86,16,0)</f>
        <v>0</v>
      </c>
      <c r="J716" s="288"/>
      <c r="K716" s="30">
        <v>32</v>
      </c>
    </row>
    <row r="717" spans="1:11" ht="20.45" hidden="1" customHeight="1" x14ac:dyDescent="0.6">
      <c r="A717" s="286" t="s">
        <v>87</v>
      </c>
      <c r="B717" s="286"/>
      <c r="C717" s="286" t="s">
        <v>5</v>
      </c>
      <c r="D717" s="289">
        <f>VLOOKUP($K716,임금대장!$A$6:$AH$86,5,0)</f>
        <v>46000</v>
      </c>
      <c r="E717" s="289"/>
      <c r="F717" s="114" t="s">
        <v>88</v>
      </c>
      <c r="G717" s="358">
        <f>VLOOKUP(K716,임금대장!$A$6:$AH$86,15,0)</f>
        <v>31</v>
      </c>
      <c r="H717" s="358"/>
      <c r="I717" s="286" t="s">
        <v>89</v>
      </c>
      <c r="J717" s="290">
        <f>VLOOKUP(K716,임금대장!$A$6:$AH$86,17,0)</f>
        <v>0</v>
      </c>
    </row>
    <row r="718" spans="1:11" ht="20.45" hidden="1" customHeight="1" x14ac:dyDescent="0.6">
      <c r="A718" s="294">
        <f>VLOOKUP($K716,임금대장!$A$6:$AH$86,7,0)</f>
        <v>3200000</v>
      </c>
      <c r="B718" s="294"/>
      <c r="C718" s="286"/>
      <c r="D718" s="289"/>
      <c r="E718" s="289"/>
      <c r="F718" s="115" t="s">
        <v>90</v>
      </c>
      <c r="G718" s="359">
        <f>VLOOKUP(K716,임금대장!$A$6:$AH$86,16,0)</f>
        <v>0</v>
      </c>
      <c r="H718" s="359"/>
      <c r="I718" s="286"/>
      <c r="J718" s="290"/>
    </row>
    <row r="719" spans="1:11" ht="20.45" hidden="1" customHeight="1" x14ac:dyDescent="0.6">
      <c r="F719" s="250"/>
      <c r="G719" s="250"/>
      <c r="H719" s="32"/>
    </row>
    <row r="720" spans="1:11" ht="20.45" hidden="1" customHeight="1" x14ac:dyDescent="0.6">
      <c r="A720" s="251" t="s">
        <v>91</v>
      </c>
      <c r="B720" s="69" t="s">
        <v>20</v>
      </c>
      <c r="C720" s="25">
        <f>VLOOKUP($K716,임금대장!$A$6:$AH$86,9,0)</f>
        <v>2298282</v>
      </c>
      <c r="D720" s="33"/>
      <c r="E720" s="69"/>
      <c r="F720" s="254"/>
      <c r="G720" s="255"/>
      <c r="H720" s="25"/>
      <c r="I720" s="33"/>
      <c r="J720" s="34"/>
    </row>
    <row r="721" spans="1:10" ht="20.45" hidden="1" customHeight="1" x14ac:dyDescent="0.6">
      <c r="A721" s="252"/>
      <c r="B721" s="67" t="s">
        <v>21</v>
      </c>
      <c r="C721" s="35">
        <f>VLOOKUP($K716,임금대장!$A$6:$AH$86,10,0)</f>
        <v>716975</v>
      </c>
      <c r="D721" s="36"/>
      <c r="E721" s="67"/>
      <c r="F721" s="256"/>
      <c r="G721" s="257"/>
      <c r="H721" s="35"/>
      <c r="I721" s="36"/>
      <c r="J721" s="37"/>
    </row>
    <row r="722" spans="1:10" ht="20.45" hidden="1" customHeight="1" x14ac:dyDescent="0.6">
      <c r="A722" s="252"/>
      <c r="B722" s="52" t="s">
        <v>92</v>
      </c>
      <c r="C722" s="35">
        <f>VLOOKUP($K716,임금대장!$A$6:$AH$86,11,0)</f>
        <v>96770</v>
      </c>
      <c r="D722" s="36"/>
      <c r="E722" s="67"/>
      <c r="F722" s="256"/>
      <c r="G722" s="257"/>
      <c r="H722" s="35"/>
      <c r="I722" s="36"/>
      <c r="J722" s="37"/>
    </row>
    <row r="723" spans="1:10" ht="20.45" hidden="1" customHeight="1" x14ac:dyDescent="0.6">
      <c r="A723" s="252"/>
      <c r="B723" s="67" t="s">
        <v>115</v>
      </c>
      <c r="C723" s="35">
        <f>VLOOKUP($K716,임금대장!$A$6:$AH$86,12,0)</f>
        <v>0</v>
      </c>
      <c r="D723" s="36"/>
      <c r="E723" s="67"/>
      <c r="F723" s="256"/>
      <c r="G723" s="257"/>
      <c r="H723" s="35"/>
      <c r="I723" s="36"/>
      <c r="J723" s="37"/>
    </row>
    <row r="724" spans="1:10" ht="20.45" hidden="1" customHeight="1" x14ac:dyDescent="0.6">
      <c r="A724" s="252"/>
      <c r="B724" s="67" t="s">
        <v>94</v>
      </c>
      <c r="C724" s="35">
        <f>VLOOKUP($K716,임금대장!$A$6:$AH$86,13,0)</f>
        <v>87973</v>
      </c>
      <c r="D724" s="36"/>
      <c r="E724" s="36"/>
      <c r="F724" s="258"/>
      <c r="G724" s="259"/>
      <c r="H724" s="35"/>
      <c r="I724" s="36"/>
      <c r="J724" s="37"/>
    </row>
    <row r="725" spans="1:10" ht="20.45" hidden="1" customHeight="1" x14ac:dyDescent="0.6">
      <c r="A725" s="252"/>
      <c r="B725" s="67" t="s">
        <v>24</v>
      </c>
      <c r="C725" s="102">
        <f>VLOOKUP($K716,임금대장!$A$6:$AH$86,14,0)</f>
        <v>154838.70967741936</v>
      </c>
      <c r="D725" s="36"/>
      <c r="E725" s="36"/>
      <c r="F725" s="258"/>
      <c r="G725" s="259"/>
      <c r="H725" s="35"/>
      <c r="I725" s="36"/>
      <c r="J725" s="37"/>
    </row>
    <row r="726" spans="1:10" ht="20.45" hidden="1" customHeight="1" x14ac:dyDescent="0.6">
      <c r="A726" s="252"/>
      <c r="B726" s="67"/>
      <c r="C726" s="35"/>
      <c r="D726" s="36"/>
      <c r="E726" s="36"/>
      <c r="F726" s="258"/>
      <c r="G726" s="259"/>
      <c r="H726" s="35"/>
      <c r="I726" s="36"/>
      <c r="J726" s="37"/>
    </row>
    <row r="727" spans="1:10" ht="20.45" hidden="1" customHeight="1" x14ac:dyDescent="0.6">
      <c r="A727" s="252"/>
      <c r="B727" s="67"/>
      <c r="C727" s="35"/>
      <c r="D727" s="36"/>
      <c r="E727" s="36"/>
      <c r="F727" s="258"/>
      <c r="G727" s="259"/>
      <c r="H727" s="35"/>
      <c r="I727" s="36"/>
      <c r="J727" s="37"/>
    </row>
    <row r="728" spans="1:10" ht="20.45" hidden="1" customHeight="1" x14ac:dyDescent="0.6">
      <c r="A728" s="253"/>
      <c r="B728" s="68"/>
      <c r="C728" s="39"/>
      <c r="D728" s="40"/>
      <c r="E728" s="40"/>
      <c r="F728" s="260"/>
      <c r="G728" s="261"/>
      <c r="H728" s="39"/>
      <c r="I728" s="68" t="s">
        <v>95</v>
      </c>
      <c r="J728" s="41">
        <f>SUM(C720:H726)</f>
        <v>3354838.7096774192</v>
      </c>
    </row>
    <row r="729" spans="1:10" ht="20.45" hidden="1" customHeight="1" x14ac:dyDescent="0.6">
      <c r="A729" s="251" t="s">
        <v>96</v>
      </c>
      <c r="B729" s="36" t="s">
        <v>97</v>
      </c>
      <c r="C729" s="35">
        <f>VLOOKUP($K716,임금대장!$A$6:$AH$86,25,0)</f>
        <v>105210</v>
      </c>
      <c r="D729" s="33"/>
      <c r="E729" s="42"/>
      <c r="F729" s="262" t="s">
        <v>14</v>
      </c>
      <c r="G729" s="263"/>
      <c r="H729" s="35">
        <f>VLOOKUP($K716,임금대장!$A$6:$AH$86,19,0)</f>
        <v>0</v>
      </c>
      <c r="I729" s="33"/>
      <c r="J729" s="34"/>
    </row>
    <row r="730" spans="1:10" ht="20.45" hidden="1" customHeight="1" x14ac:dyDescent="0.6">
      <c r="A730" s="252"/>
      <c r="B730" s="36" t="s">
        <v>98</v>
      </c>
      <c r="C730" s="35">
        <f>VLOOKUP($K716,임금대장!$A$6:$AH$86,26,0)</f>
        <v>10520</v>
      </c>
      <c r="D730" s="36"/>
      <c r="E730" s="43"/>
      <c r="F730" s="258" t="s">
        <v>12</v>
      </c>
      <c r="G730" s="259"/>
      <c r="H730" s="35">
        <f>VLOOKUP($K716,임금대장!$A$6:$AH$86,17,0)</f>
        <v>0</v>
      </c>
      <c r="I730" s="36"/>
      <c r="J730" s="37"/>
    </row>
    <row r="731" spans="1:10" ht="20.45" hidden="1" customHeight="1" x14ac:dyDescent="0.6">
      <c r="A731" s="252"/>
      <c r="B731" s="36" t="s">
        <v>99</v>
      </c>
      <c r="C731" s="35">
        <f>VLOOKUP($K716,임금대장!$A$6:$AH$86,27,0)</f>
        <v>85500</v>
      </c>
      <c r="D731" s="36"/>
      <c r="E731" s="44"/>
      <c r="F731" s="258" t="s">
        <v>171</v>
      </c>
      <c r="G731" s="259"/>
      <c r="H731" s="35">
        <f>VLOOKUP($K716,임금대장!$A$6:$AH$86,31,0)</f>
        <v>0</v>
      </c>
      <c r="I731" s="36"/>
      <c r="J731" s="37"/>
    </row>
    <row r="732" spans="1:10" ht="20.45" hidden="1" customHeight="1" x14ac:dyDescent="0.6">
      <c r="A732" s="252"/>
      <c r="B732" s="36" t="s">
        <v>101</v>
      </c>
      <c r="C732" s="35">
        <f>VLOOKUP($K716,임금대장!$A$6:$AH$86,28,0)</f>
        <v>120600</v>
      </c>
      <c r="D732" s="36"/>
      <c r="E732" s="43"/>
      <c r="F732" s="258" t="s">
        <v>102</v>
      </c>
      <c r="G732" s="259"/>
      <c r="H732" s="35">
        <f>VLOOKUP($K716,임금대장!$A$6:$AH$86,30,0)</f>
        <v>30190</v>
      </c>
      <c r="I732" s="36"/>
      <c r="J732" s="37"/>
    </row>
    <row r="733" spans="1:10" ht="20.45" hidden="1" customHeight="1" x14ac:dyDescent="0.6">
      <c r="A733" s="252"/>
      <c r="B733" s="36" t="s">
        <v>31</v>
      </c>
      <c r="C733" s="35">
        <f>VLOOKUP($K716,임금대장!$A$6:$AH$86,29,0)</f>
        <v>15840</v>
      </c>
      <c r="D733" s="36"/>
      <c r="E733" s="43"/>
      <c r="F733" s="45"/>
      <c r="G733" s="46"/>
      <c r="H733" s="36"/>
      <c r="I733" s="67" t="s">
        <v>103</v>
      </c>
      <c r="J733" s="47">
        <f>SUM(C729:H734)</f>
        <v>367860</v>
      </c>
    </row>
    <row r="734" spans="1:10" ht="20.45" hidden="1" customHeight="1" x14ac:dyDescent="0.6">
      <c r="A734" s="253"/>
      <c r="B734" s="40"/>
      <c r="C734" s="101"/>
      <c r="D734" s="40"/>
      <c r="E734" s="48"/>
      <c r="F734" s="260"/>
      <c r="G734" s="261"/>
      <c r="H734" s="40"/>
      <c r="I734" s="68" t="s">
        <v>104</v>
      </c>
      <c r="J734" s="49">
        <f>J728-J733</f>
        <v>2986978.7096774192</v>
      </c>
    </row>
    <row r="735" spans="1:10" ht="20.45" hidden="1" customHeight="1" x14ac:dyDescent="0.6">
      <c r="A735" s="50" t="s">
        <v>105</v>
      </c>
      <c r="J735" s="51" t="s">
        <v>0</v>
      </c>
    </row>
    <row r="736" spans="1:10" ht="20.45" hidden="1" customHeight="1" x14ac:dyDescent="0.6">
      <c r="A736" s="50"/>
      <c r="J736" s="51"/>
    </row>
    <row r="737" spans="1:11" ht="20.45" hidden="1" customHeight="1" x14ac:dyDescent="0.6">
      <c r="A737" s="264" t="s">
        <v>170</v>
      </c>
      <c r="B737" s="264"/>
      <c r="C737" s="264"/>
      <c r="D737" s="264"/>
      <c r="E737" s="264"/>
      <c r="F737" s="264"/>
      <c r="G737" s="264"/>
      <c r="H737" s="264"/>
      <c r="I737" s="264"/>
      <c r="J737" s="264"/>
    </row>
    <row r="738" spans="1:11" ht="20.45" hidden="1" customHeight="1" x14ac:dyDescent="0.6">
      <c r="A738" s="286" t="s">
        <v>83</v>
      </c>
      <c r="B738" s="286"/>
      <c r="C738" s="286"/>
      <c r="D738" s="286" t="s">
        <v>84</v>
      </c>
      <c r="E738" s="286"/>
      <c r="F738" s="286" t="s">
        <v>85</v>
      </c>
      <c r="G738" s="286"/>
      <c r="H738" s="286"/>
      <c r="I738" s="286" t="s">
        <v>86</v>
      </c>
      <c r="J738" s="286"/>
    </row>
    <row r="739" spans="1:11" ht="20.45" hidden="1" customHeight="1" x14ac:dyDescent="0.6">
      <c r="A739" s="286" t="str">
        <f>VLOOKUP(K739,임금대장!$A$6:$AH$86,3,0)</f>
        <v>세척</v>
      </c>
      <c r="B739" s="286"/>
      <c r="C739" s="286"/>
      <c r="D739" s="287" t="str">
        <f>VLOOKUP(K739,임금대장!$A$6:$AH$86,2,0)</f>
        <v>이경숙</v>
      </c>
      <c r="E739" s="287"/>
      <c r="F739" s="287">
        <f>임금대장!$O$3</f>
        <v>31</v>
      </c>
      <c r="G739" s="286"/>
      <c r="H739" s="286"/>
      <c r="I739" s="288">
        <f>VLOOKUP(K739,임금대장!$A$6:$AH$86,16,0)</f>
        <v>0</v>
      </c>
      <c r="J739" s="288"/>
      <c r="K739" s="30">
        <v>33</v>
      </c>
    </row>
    <row r="740" spans="1:11" ht="20.45" hidden="1" customHeight="1" x14ac:dyDescent="0.6">
      <c r="A740" s="286" t="s">
        <v>87</v>
      </c>
      <c r="B740" s="286"/>
      <c r="C740" s="286" t="s">
        <v>5</v>
      </c>
      <c r="D740" s="289">
        <f>VLOOKUP($K739,임금대장!$A$6:$AH$86,5,0)</f>
        <v>46001</v>
      </c>
      <c r="E740" s="289"/>
      <c r="F740" s="114" t="s">
        <v>88</v>
      </c>
      <c r="G740" s="358">
        <f>VLOOKUP(K739,임금대장!$A$6:$AH$86,15,0)</f>
        <v>31</v>
      </c>
      <c r="H740" s="358"/>
      <c r="I740" s="286" t="s">
        <v>89</v>
      </c>
      <c r="J740" s="290">
        <f>VLOOKUP(K739,임금대장!$A$6:$AH$86,17,0)</f>
        <v>0</v>
      </c>
    </row>
    <row r="741" spans="1:11" ht="20.45" hidden="1" customHeight="1" x14ac:dyDescent="0.6">
      <c r="A741" s="294">
        <f>VLOOKUP($K739,임금대장!$A$6:$AH$86,7,0)</f>
        <v>3300000</v>
      </c>
      <c r="B741" s="294"/>
      <c r="C741" s="286"/>
      <c r="D741" s="289"/>
      <c r="E741" s="289"/>
      <c r="F741" s="115" t="s">
        <v>90</v>
      </c>
      <c r="G741" s="359">
        <f>VLOOKUP(K739,임금대장!$A$6:$AH$86,16,0)</f>
        <v>0</v>
      </c>
      <c r="H741" s="359"/>
      <c r="I741" s="286"/>
      <c r="J741" s="290"/>
    </row>
    <row r="742" spans="1:11" ht="20.45" hidden="1" customHeight="1" x14ac:dyDescent="0.6">
      <c r="F742" s="250"/>
      <c r="G742" s="250"/>
      <c r="H742" s="32"/>
    </row>
    <row r="743" spans="1:11" ht="20.45" hidden="1" customHeight="1" x14ac:dyDescent="0.6">
      <c r="A743" s="251" t="s">
        <v>91</v>
      </c>
      <c r="B743" s="69" t="s">
        <v>20</v>
      </c>
      <c r="C743" s="25">
        <f>VLOOKUP($K739,임금대장!$A$6:$AH$86,9,0)</f>
        <v>2370103</v>
      </c>
      <c r="D743" s="33"/>
      <c r="E743" s="69"/>
      <c r="F743" s="254"/>
      <c r="G743" s="255"/>
      <c r="H743" s="25"/>
      <c r="I743" s="33"/>
      <c r="J743" s="34"/>
    </row>
    <row r="744" spans="1:11" ht="20.45" hidden="1" customHeight="1" x14ac:dyDescent="0.6">
      <c r="A744" s="252"/>
      <c r="B744" s="67" t="s">
        <v>21</v>
      </c>
      <c r="C744" s="35">
        <f>VLOOKUP($K739,임금대장!$A$6:$AH$86,10,0)</f>
        <v>739381</v>
      </c>
      <c r="D744" s="36"/>
      <c r="E744" s="67"/>
      <c r="F744" s="256"/>
      <c r="G744" s="257"/>
      <c r="H744" s="35"/>
      <c r="I744" s="36"/>
      <c r="J744" s="37"/>
    </row>
    <row r="745" spans="1:11" ht="20.45" hidden="1" customHeight="1" x14ac:dyDescent="0.6">
      <c r="A745" s="252"/>
      <c r="B745" s="52" t="s">
        <v>92</v>
      </c>
      <c r="C745" s="35">
        <f>VLOOKUP($K739,임금대장!$A$6:$AH$86,11,0)</f>
        <v>99794</v>
      </c>
      <c r="D745" s="36"/>
      <c r="E745" s="67"/>
      <c r="F745" s="256"/>
      <c r="G745" s="257"/>
      <c r="H745" s="35"/>
      <c r="I745" s="36"/>
      <c r="J745" s="37"/>
    </row>
    <row r="746" spans="1:11" ht="20.45" hidden="1" customHeight="1" x14ac:dyDescent="0.6">
      <c r="A746" s="252"/>
      <c r="B746" s="67" t="s">
        <v>115</v>
      </c>
      <c r="C746" s="35">
        <f>VLOOKUP($K739,임금대장!$A$6:$AH$86,12,0)</f>
        <v>0</v>
      </c>
      <c r="D746" s="36"/>
      <c r="E746" s="67"/>
      <c r="F746" s="256"/>
      <c r="G746" s="257"/>
      <c r="H746" s="35"/>
      <c r="I746" s="36"/>
      <c r="J746" s="37"/>
    </row>
    <row r="747" spans="1:11" ht="20.45" hidden="1" customHeight="1" x14ac:dyDescent="0.6">
      <c r="A747" s="252"/>
      <c r="B747" s="67" t="s">
        <v>94</v>
      </c>
      <c r="C747" s="35">
        <f>VLOOKUP($K739,임금대장!$A$6:$AH$86,13,0)</f>
        <v>90722</v>
      </c>
      <c r="D747" s="36"/>
      <c r="E747" s="36"/>
      <c r="F747" s="258"/>
      <c r="G747" s="259"/>
      <c r="H747" s="35"/>
      <c r="I747" s="36"/>
      <c r="J747" s="37"/>
    </row>
    <row r="748" spans="1:11" ht="20.45" hidden="1" customHeight="1" x14ac:dyDescent="0.6">
      <c r="A748" s="252"/>
      <c r="B748" s="67" t="s">
        <v>24</v>
      </c>
      <c r="C748" s="102">
        <f>VLOOKUP($K739,임금대장!$A$6:$AH$86,14,0)</f>
        <v>53225.806451612902</v>
      </c>
      <c r="D748" s="36"/>
      <c r="E748" s="36"/>
      <c r="F748" s="258"/>
      <c r="G748" s="259"/>
      <c r="H748" s="35"/>
      <c r="I748" s="36"/>
      <c r="J748" s="37"/>
    </row>
    <row r="749" spans="1:11" ht="20.45" hidden="1" customHeight="1" x14ac:dyDescent="0.6">
      <c r="A749" s="252"/>
      <c r="B749" s="67"/>
      <c r="C749" s="35"/>
      <c r="D749" s="36"/>
      <c r="E749" s="36"/>
      <c r="F749" s="258"/>
      <c r="G749" s="259"/>
      <c r="H749" s="35"/>
      <c r="I749" s="36"/>
      <c r="J749" s="37"/>
    </row>
    <row r="750" spans="1:11" ht="20.45" hidden="1" customHeight="1" x14ac:dyDescent="0.6">
      <c r="A750" s="252"/>
      <c r="B750" s="67"/>
      <c r="C750" s="35"/>
      <c r="D750" s="36"/>
      <c r="E750" s="36"/>
      <c r="F750" s="258"/>
      <c r="G750" s="259"/>
      <c r="H750" s="35"/>
      <c r="I750" s="36"/>
      <c r="J750" s="37"/>
    </row>
    <row r="751" spans="1:11" ht="20.45" hidden="1" customHeight="1" x14ac:dyDescent="0.6">
      <c r="A751" s="253"/>
      <c r="B751" s="68"/>
      <c r="C751" s="39"/>
      <c r="D751" s="40"/>
      <c r="E751" s="40"/>
      <c r="F751" s="260"/>
      <c r="G751" s="261"/>
      <c r="H751" s="39"/>
      <c r="I751" s="68" t="s">
        <v>95</v>
      </c>
      <c r="J751" s="41">
        <f>SUM(C743:H749)</f>
        <v>3353225.8064516131</v>
      </c>
    </row>
    <row r="752" spans="1:11" ht="20.45" hidden="1" customHeight="1" x14ac:dyDescent="0.6">
      <c r="A752" s="251" t="s">
        <v>96</v>
      </c>
      <c r="B752" s="36" t="s">
        <v>97</v>
      </c>
      <c r="C752" s="35">
        <f>VLOOKUP($K739,임금대장!$A$6:$AH$86,25,0)</f>
        <v>0</v>
      </c>
      <c r="D752" s="33"/>
      <c r="E752" s="42"/>
      <c r="F752" s="262" t="s">
        <v>14</v>
      </c>
      <c r="G752" s="263"/>
      <c r="H752" s="35">
        <f>VLOOKUP($K739,임금대장!$A$6:$AH$86,19,0)</f>
        <v>0</v>
      </c>
      <c r="I752" s="33"/>
      <c r="J752" s="34"/>
    </row>
    <row r="753" spans="1:11" ht="20.45" hidden="1" customHeight="1" x14ac:dyDescent="0.6">
      <c r="A753" s="252"/>
      <c r="B753" s="36" t="s">
        <v>98</v>
      </c>
      <c r="C753" s="35">
        <f>VLOOKUP($K739,임금대장!$A$6:$AH$86,26,0)</f>
        <v>0</v>
      </c>
      <c r="D753" s="36"/>
      <c r="E753" s="43"/>
      <c r="F753" s="258" t="s">
        <v>12</v>
      </c>
      <c r="G753" s="259"/>
      <c r="H753" s="35">
        <f>VLOOKUP($K739,임금대장!$A$6:$AH$86,17,0)</f>
        <v>0</v>
      </c>
      <c r="I753" s="36"/>
      <c r="J753" s="37"/>
    </row>
    <row r="754" spans="1:11" ht="20.45" hidden="1" customHeight="1" x14ac:dyDescent="0.6">
      <c r="A754" s="252"/>
      <c r="B754" s="36" t="s">
        <v>99</v>
      </c>
      <c r="C754" s="35">
        <f>VLOOKUP($K739,임금대장!$A$6:$AH$86,27,0)</f>
        <v>0</v>
      </c>
      <c r="D754" s="36"/>
      <c r="E754" s="44"/>
      <c r="F754" s="258" t="s">
        <v>171</v>
      </c>
      <c r="G754" s="259"/>
      <c r="H754" s="35">
        <f>VLOOKUP($K739,임금대장!$A$6:$AH$86,31,0)</f>
        <v>0</v>
      </c>
      <c r="I754" s="36"/>
      <c r="J754" s="37"/>
    </row>
    <row r="755" spans="1:11" ht="20.45" hidden="1" customHeight="1" x14ac:dyDescent="0.6">
      <c r="A755" s="252"/>
      <c r="B755" s="36" t="s">
        <v>101</v>
      </c>
      <c r="C755" s="35">
        <f>VLOOKUP($K739,임금대장!$A$6:$AH$86,28,0)</f>
        <v>120540</v>
      </c>
      <c r="D755" s="36"/>
      <c r="E755" s="43"/>
      <c r="F755" s="258" t="s">
        <v>102</v>
      </c>
      <c r="G755" s="259"/>
      <c r="H755" s="35">
        <f>VLOOKUP($K739,임금대장!$A$6:$AH$86,30,0)</f>
        <v>30170</v>
      </c>
      <c r="I755" s="36"/>
      <c r="J755" s="37"/>
    </row>
    <row r="756" spans="1:11" ht="20.45" hidden="1" customHeight="1" x14ac:dyDescent="0.6">
      <c r="A756" s="252"/>
      <c r="B756" s="36" t="s">
        <v>31</v>
      </c>
      <c r="C756" s="35">
        <f>VLOOKUP($K739,임금대장!$A$6:$AH$86,29,0)</f>
        <v>15830</v>
      </c>
      <c r="D756" s="36"/>
      <c r="E756" s="43"/>
      <c r="F756" s="45"/>
      <c r="G756" s="46"/>
      <c r="H756" s="36"/>
      <c r="I756" s="67" t="s">
        <v>103</v>
      </c>
      <c r="J756" s="47">
        <f>SUM(C752:H757)</f>
        <v>166540</v>
      </c>
    </row>
    <row r="757" spans="1:11" ht="20.45" hidden="1" customHeight="1" x14ac:dyDescent="0.6">
      <c r="A757" s="253"/>
      <c r="B757" s="40"/>
      <c r="C757" s="101"/>
      <c r="D757" s="40"/>
      <c r="E757" s="48"/>
      <c r="F757" s="260"/>
      <c r="G757" s="261"/>
      <c r="H757" s="40"/>
      <c r="I757" s="68" t="s">
        <v>104</v>
      </c>
      <c r="J757" s="49">
        <f>J751-J756</f>
        <v>3186685.8064516131</v>
      </c>
    </row>
    <row r="758" spans="1:11" ht="20.45" hidden="1" customHeight="1" x14ac:dyDescent="0.6">
      <c r="A758" s="50" t="s">
        <v>105</v>
      </c>
      <c r="J758" s="51" t="s">
        <v>0</v>
      </c>
    </row>
    <row r="759" spans="1:11" ht="20.45" hidden="1" customHeight="1" x14ac:dyDescent="0.6">
      <c r="A759" s="50"/>
      <c r="J759" s="51"/>
    </row>
    <row r="760" spans="1:11" ht="20.45" hidden="1" customHeight="1" x14ac:dyDescent="0.6">
      <c r="A760" s="264" t="s">
        <v>170</v>
      </c>
      <c r="B760" s="264"/>
      <c r="C760" s="264"/>
      <c r="D760" s="264"/>
      <c r="E760" s="264"/>
      <c r="F760" s="264"/>
      <c r="G760" s="264"/>
      <c r="H760" s="264"/>
      <c r="I760" s="264"/>
      <c r="J760" s="264"/>
    </row>
    <row r="761" spans="1:11" ht="20.45" hidden="1" customHeight="1" x14ac:dyDescent="0.6">
      <c r="A761" s="286" t="s">
        <v>83</v>
      </c>
      <c r="B761" s="286"/>
      <c r="C761" s="286"/>
      <c r="D761" s="286" t="s">
        <v>84</v>
      </c>
      <c r="E761" s="286"/>
      <c r="F761" s="286" t="s">
        <v>85</v>
      </c>
      <c r="G761" s="286"/>
      <c r="H761" s="286"/>
      <c r="I761" s="286" t="s">
        <v>86</v>
      </c>
      <c r="J761" s="286"/>
    </row>
    <row r="762" spans="1:11" ht="20.45" hidden="1" customHeight="1" x14ac:dyDescent="0.6">
      <c r="A762" s="286" t="str">
        <f>VLOOKUP(K762,임금대장!$A$6:$AH$86,3,0)</f>
        <v>홀</v>
      </c>
      <c r="B762" s="286"/>
      <c r="C762" s="286"/>
      <c r="D762" s="287" t="str">
        <f>VLOOKUP(K762,임금대장!$A$6:$AH$86,2,0)</f>
        <v>이경수</v>
      </c>
      <c r="E762" s="287"/>
      <c r="F762" s="287">
        <f>임금대장!$O$3</f>
        <v>31</v>
      </c>
      <c r="G762" s="286"/>
      <c r="H762" s="286"/>
      <c r="I762" s="288">
        <f>VLOOKUP(K762,임금대장!$A$6:$AH$86,16,0)</f>
        <v>0</v>
      </c>
      <c r="J762" s="288"/>
      <c r="K762" s="30">
        <v>34</v>
      </c>
    </row>
    <row r="763" spans="1:11" ht="20.45" hidden="1" customHeight="1" x14ac:dyDescent="0.6">
      <c r="A763" s="286" t="s">
        <v>87</v>
      </c>
      <c r="B763" s="286"/>
      <c r="C763" s="286" t="s">
        <v>5</v>
      </c>
      <c r="D763" s="289">
        <f>VLOOKUP($K762,임금대장!$A$6:$AH$86,5,0)</f>
        <v>46013</v>
      </c>
      <c r="E763" s="289"/>
      <c r="F763" s="114" t="s">
        <v>88</v>
      </c>
      <c r="G763" s="358">
        <f>VLOOKUP(K762,임금대장!$A$6:$AH$86,15,0)</f>
        <v>31</v>
      </c>
      <c r="H763" s="358"/>
      <c r="I763" s="286" t="s">
        <v>89</v>
      </c>
      <c r="J763" s="290">
        <f>VLOOKUP(K762,임금대장!$A$6:$AH$86,17,0)</f>
        <v>0</v>
      </c>
    </row>
    <row r="764" spans="1:11" ht="20.45" hidden="1" customHeight="1" x14ac:dyDescent="0.6">
      <c r="A764" s="294">
        <f>VLOOKUP($K762,임금대장!$A$6:$AH$86,7,0)</f>
        <v>3000000</v>
      </c>
      <c r="B764" s="294"/>
      <c r="C764" s="286"/>
      <c r="D764" s="289"/>
      <c r="E764" s="289"/>
      <c r="F764" s="115" t="s">
        <v>90</v>
      </c>
      <c r="G764" s="359">
        <f>VLOOKUP(K762,임금대장!$A$6:$AH$86,16,0)</f>
        <v>0</v>
      </c>
      <c r="H764" s="359"/>
      <c r="I764" s="286"/>
      <c r="J764" s="290"/>
    </row>
    <row r="765" spans="1:11" ht="20.45" hidden="1" customHeight="1" x14ac:dyDescent="0.6">
      <c r="F765" s="250"/>
      <c r="G765" s="250"/>
      <c r="H765" s="32"/>
    </row>
    <row r="766" spans="1:11" ht="20.45" hidden="1" customHeight="1" x14ac:dyDescent="0.6">
      <c r="A766" s="251" t="s">
        <v>91</v>
      </c>
      <c r="B766" s="69" t="s">
        <v>20</v>
      </c>
      <c r="C766" s="25">
        <f>VLOOKUP($K762,임금대장!$A$6:$AH$86,9,0)</f>
        <v>2154639</v>
      </c>
      <c r="D766" s="33"/>
      <c r="E766" s="69"/>
      <c r="F766" s="254"/>
      <c r="G766" s="255"/>
      <c r="H766" s="25"/>
      <c r="I766" s="33"/>
      <c r="J766" s="34"/>
    </row>
    <row r="767" spans="1:11" ht="20.45" hidden="1" customHeight="1" x14ac:dyDescent="0.6">
      <c r="A767" s="252"/>
      <c r="B767" s="67" t="s">
        <v>21</v>
      </c>
      <c r="C767" s="35">
        <f>VLOOKUP($K762,임금대장!$A$6:$AH$86,10,0)</f>
        <v>672164</v>
      </c>
      <c r="D767" s="36"/>
      <c r="E767" s="67"/>
      <c r="F767" s="256"/>
      <c r="G767" s="257"/>
      <c r="H767" s="35"/>
      <c r="I767" s="36"/>
      <c r="J767" s="37"/>
    </row>
    <row r="768" spans="1:11" ht="20.45" hidden="1" customHeight="1" x14ac:dyDescent="0.6">
      <c r="A768" s="252"/>
      <c r="B768" s="52" t="s">
        <v>92</v>
      </c>
      <c r="C768" s="35">
        <f>VLOOKUP($K762,임금대장!$A$6:$AH$86,11,0)</f>
        <v>90722</v>
      </c>
      <c r="D768" s="36"/>
      <c r="E768" s="67"/>
      <c r="F768" s="256"/>
      <c r="G768" s="257"/>
      <c r="H768" s="35"/>
      <c r="I768" s="36"/>
      <c r="J768" s="37"/>
    </row>
    <row r="769" spans="1:10" ht="20.45" hidden="1" customHeight="1" x14ac:dyDescent="0.6">
      <c r="A769" s="252"/>
      <c r="B769" s="67" t="s">
        <v>115</v>
      </c>
      <c r="C769" s="35">
        <f>VLOOKUP($K762,임금대장!$A$6:$AH$86,12,0)</f>
        <v>0</v>
      </c>
      <c r="D769" s="36"/>
      <c r="E769" s="67"/>
      <c r="F769" s="256"/>
      <c r="G769" s="257"/>
      <c r="H769" s="35"/>
      <c r="I769" s="36"/>
      <c r="J769" s="37"/>
    </row>
    <row r="770" spans="1:10" ht="20.45" hidden="1" customHeight="1" x14ac:dyDescent="0.6">
      <c r="A770" s="252"/>
      <c r="B770" s="67" t="s">
        <v>94</v>
      </c>
      <c r="C770" s="35">
        <f>VLOOKUP($K762,임금대장!$A$6:$AH$86,13,0)</f>
        <v>82475</v>
      </c>
      <c r="D770" s="36"/>
      <c r="E770" s="36"/>
      <c r="F770" s="258"/>
      <c r="G770" s="259"/>
      <c r="H770" s="35"/>
      <c r="I770" s="36"/>
      <c r="J770" s="37"/>
    </row>
    <row r="771" spans="1:10" ht="20.45" hidden="1" customHeight="1" x14ac:dyDescent="0.6">
      <c r="A771" s="252"/>
      <c r="B771" s="67" t="s">
        <v>24</v>
      </c>
      <c r="C771" s="102">
        <f>VLOOKUP($K762,임금대장!$A$6:$AH$86,14,0)</f>
        <v>0</v>
      </c>
      <c r="D771" s="36"/>
      <c r="E771" s="36"/>
      <c r="F771" s="258"/>
      <c r="G771" s="259"/>
      <c r="H771" s="35"/>
      <c r="I771" s="36"/>
      <c r="J771" s="37"/>
    </row>
    <row r="772" spans="1:10" ht="20.45" hidden="1" customHeight="1" x14ac:dyDescent="0.6">
      <c r="A772" s="252"/>
      <c r="B772" s="67"/>
      <c r="C772" s="35"/>
      <c r="D772" s="36"/>
      <c r="E772" s="36"/>
      <c r="F772" s="258"/>
      <c r="G772" s="259"/>
      <c r="H772" s="35"/>
      <c r="I772" s="36"/>
      <c r="J772" s="37"/>
    </row>
    <row r="773" spans="1:10" ht="20.45" hidden="1" customHeight="1" x14ac:dyDescent="0.6">
      <c r="A773" s="252"/>
      <c r="B773" s="67"/>
      <c r="C773" s="35"/>
      <c r="D773" s="36"/>
      <c r="E773" s="36"/>
      <c r="F773" s="258"/>
      <c r="G773" s="259"/>
      <c r="H773" s="35"/>
      <c r="I773" s="36"/>
      <c r="J773" s="37"/>
    </row>
    <row r="774" spans="1:10" ht="20.45" hidden="1" customHeight="1" x14ac:dyDescent="0.6">
      <c r="A774" s="253"/>
      <c r="B774" s="68"/>
      <c r="C774" s="39"/>
      <c r="D774" s="40"/>
      <c r="E774" s="40"/>
      <c r="F774" s="260"/>
      <c r="G774" s="261"/>
      <c r="H774" s="39"/>
      <c r="I774" s="68" t="s">
        <v>95</v>
      </c>
      <c r="J774" s="41">
        <f>SUM(C766:H772)</f>
        <v>3000000</v>
      </c>
    </row>
    <row r="775" spans="1:10" ht="20.45" hidden="1" customHeight="1" x14ac:dyDescent="0.6">
      <c r="A775" s="251" t="s">
        <v>96</v>
      </c>
      <c r="B775" s="36" t="s">
        <v>97</v>
      </c>
      <c r="C775" s="35">
        <f>VLOOKUP($K762,임금대장!$A$6:$AH$86,25,0)</f>
        <v>73060</v>
      </c>
      <c r="D775" s="33"/>
      <c r="E775" s="42"/>
      <c r="F775" s="262" t="s">
        <v>14</v>
      </c>
      <c r="G775" s="263"/>
      <c r="H775" s="35">
        <f>VLOOKUP($K762,임금대장!$A$6:$AH$86,19,0)</f>
        <v>0</v>
      </c>
      <c r="I775" s="33"/>
      <c r="J775" s="34"/>
    </row>
    <row r="776" spans="1:10" ht="20.45" hidden="1" customHeight="1" x14ac:dyDescent="0.6">
      <c r="A776" s="252"/>
      <c r="B776" s="36" t="s">
        <v>98</v>
      </c>
      <c r="C776" s="35">
        <f>VLOOKUP($K762,임금대장!$A$6:$AH$86,26,0)</f>
        <v>7300</v>
      </c>
      <c r="D776" s="36"/>
      <c r="E776" s="43"/>
      <c r="F776" s="258" t="s">
        <v>12</v>
      </c>
      <c r="G776" s="259"/>
      <c r="H776" s="35">
        <f>VLOOKUP($K762,임금대장!$A$6:$AH$86,17,0)</f>
        <v>0</v>
      </c>
      <c r="I776" s="36"/>
      <c r="J776" s="37"/>
    </row>
    <row r="777" spans="1:10" ht="20.45" hidden="1" customHeight="1" x14ac:dyDescent="0.6">
      <c r="A777" s="252"/>
      <c r="B777" s="36" t="s">
        <v>99</v>
      </c>
      <c r="C777" s="35">
        <f>VLOOKUP($K762,임금대장!$A$6:$AH$86,27,0)</f>
        <v>85500</v>
      </c>
      <c r="D777" s="36"/>
      <c r="E777" s="44"/>
      <c r="F777" s="258" t="s">
        <v>171</v>
      </c>
      <c r="G777" s="259"/>
      <c r="H777" s="35">
        <f>VLOOKUP($K762,임금대장!$A$6:$AH$86,31,0)</f>
        <v>0</v>
      </c>
      <c r="I777" s="36"/>
      <c r="J777" s="37"/>
    </row>
    <row r="778" spans="1:10" ht="20.45" hidden="1" customHeight="1" x14ac:dyDescent="0.6">
      <c r="A778" s="252"/>
      <c r="B778" s="36" t="s">
        <v>101</v>
      </c>
      <c r="C778" s="35">
        <f>VLOOKUP($K762,임금대장!$A$6:$AH$86,28,0)</f>
        <v>107850</v>
      </c>
      <c r="D778" s="36"/>
      <c r="E778" s="43"/>
      <c r="F778" s="258" t="s">
        <v>102</v>
      </c>
      <c r="G778" s="259"/>
      <c r="H778" s="35">
        <f>VLOOKUP($K762,임금대장!$A$6:$AH$86,30,0)</f>
        <v>27000</v>
      </c>
      <c r="I778" s="36"/>
      <c r="J778" s="37"/>
    </row>
    <row r="779" spans="1:10" ht="20.45" hidden="1" customHeight="1" x14ac:dyDescent="0.6">
      <c r="A779" s="252"/>
      <c r="B779" s="36" t="s">
        <v>31</v>
      </c>
      <c r="C779" s="35">
        <f>VLOOKUP($K762,임금대장!$A$6:$AH$86,29,0)</f>
        <v>14170</v>
      </c>
      <c r="D779" s="36"/>
      <c r="E779" s="43"/>
      <c r="F779" s="45"/>
      <c r="G779" s="46"/>
      <c r="H779" s="36"/>
      <c r="I779" s="67" t="s">
        <v>103</v>
      </c>
      <c r="J779" s="47">
        <f>SUM(C775:H780)</f>
        <v>314880</v>
      </c>
    </row>
    <row r="780" spans="1:10" ht="20.45" hidden="1" customHeight="1" x14ac:dyDescent="0.6">
      <c r="A780" s="253"/>
      <c r="B780" s="40"/>
      <c r="C780" s="101"/>
      <c r="D780" s="40"/>
      <c r="E780" s="48"/>
      <c r="F780" s="260"/>
      <c r="G780" s="261"/>
      <c r="H780" s="40"/>
      <c r="I780" s="68" t="s">
        <v>104</v>
      </c>
      <c r="J780" s="49">
        <f>J774-J779</f>
        <v>2685120</v>
      </c>
    </row>
    <row r="781" spans="1:10" ht="20.45" hidden="1" customHeight="1" x14ac:dyDescent="0.6">
      <c r="A781" s="50" t="s">
        <v>105</v>
      </c>
      <c r="J781" s="51" t="s">
        <v>0</v>
      </c>
    </row>
    <row r="782" spans="1:10" ht="20.45" hidden="1" customHeight="1" x14ac:dyDescent="0.6">
      <c r="A782" s="50"/>
      <c r="J782" s="51"/>
    </row>
    <row r="783" spans="1:10" ht="20.45" hidden="1" customHeight="1" x14ac:dyDescent="0.6">
      <c r="A783" s="264" t="s">
        <v>170</v>
      </c>
      <c r="B783" s="264"/>
      <c r="C783" s="264"/>
      <c r="D783" s="264"/>
      <c r="E783" s="264"/>
      <c r="F783" s="264"/>
      <c r="G783" s="264"/>
      <c r="H783" s="264"/>
      <c r="I783" s="264"/>
      <c r="J783" s="264"/>
    </row>
    <row r="784" spans="1:10" ht="20.45" hidden="1" customHeight="1" x14ac:dyDescent="0.6">
      <c r="A784" s="286" t="s">
        <v>83</v>
      </c>
      <c r="B784" s="286"/>
      <c r="C784" s="286"/>
      <c r="D784" s="286" t="s">
        <v>84</v>
      </c>
      <c r="E784" s="286"/>
      <c r="F784" s="286" t="s">
        <v>85</v>
      </c>
      <c r="G784" s="286"/>
      <c r="H784" s="286"/>
      <c r="I784" s="286" t="s">
        <v>86</v>
      </c>
      <c r="J784" s="286"/>
    </row>
    <row r="785" spans="1:11" ht="20.45" hidden="1" customHeight="1" x14ac:dyDescent="0.6">
      <c r="A785" s="286" t="str">
        <f>VLOOKUP(K785,임금대장!$A$6:$AH$86,3,0)</f>
        <v>초다이</v>
      </c>
      <c r="B785" s="286"/>
      <c r="C785" s="286"/>
      <c r="D785" s="287" t="str">
        <f>VLOOKUP(K785,임금대장!$A$6:$AH$86,2,0)</f>
        <v>김제우</v>
      </c>
      <c r="E785" s="287"/>
      <c r="F785" s="287">
        <f>임금대장!$O$3</f>
        <v>31</v>
      </c>
      <c r="G785" s="286"/>
      <c r="H785" s="286"/>
      <c r="I785" s="288">
        <f>VLOOKUP(K785,임금대장!$A$6:$AH$86,16,0)</f>
        <v>0</v>
      </c>
      <c r="J785" s="288"/>
      <c r="K785" s="30">
        <v>35</v>
      </c>
    </row>
    <row r="786" spans="1:11" ht="20.45" hidden="1" customHeight="1" x14ac:dyDescent="0.6">
      <c r="A786" s="286" t="s">
        <v>87</v>
      </c>
      <c r="B786" s="286"/>
      <c r="C786" s="286" t="s">
        <v>5</v>
      </c>
      <c r="D786" s="289">
        <f>VLOOKUP($K785,임금대장!$A$6:$AH$86,5,0)</f>
        <v>46013</v>
      </c>
      <c r="E786" s="289"/>
      <c r="F786" s="114" t="s">
        <v>88</v>
      </c>
      <c r="G786" s="358">
        <f>VLOOKUP(K785,임금대장!$A$6:$AH$86,15,0)</f>
        <v>31</v>
      </c>
      <c r="H786" s="358"/>
      <c r="I786" s="286" t="s">
        <v>89</v>
      </c>
      <c r="J786" s="290">
        <f>VLOOKUP(K785,임금대장!$A$6:$AH$86,17,0)</f>
        <v>0</v>
      </c>
    </row>
    <row r="787" spans="1:11" ht="20.45" hidden="1" customHeight="1" x14ac:dyDescent="0.6">
      <c r="A787" s="294">
        <f>VLOOKUP($K785,임금대장!$A$6:$AH$86,7,0)</f>
        <v>3800000</v>
      </c>
      <c r="B787" s="294"/>
      <c r="C787" s="286"/>
      <c r="D787" s="289"/>
      <c r="E787" s="289"/>
      <c r="F787" s="115" t="s">
        <v>90</v>
      </c>
      <c r="G787" s="359">
        <f>VLOOKUP(K785,임금대장!$A$6:$AH$86,16,0)</f>
        <v>0</v>
      </c>
      <c r="H787" s="359"/>
      <c r="I787" s="286"/>
      <c r="J787" s="290"/>
    </row>
    <row r="788" spans="1:11" ht="20.45" hidden="1" customHeight="1" x14ac:dyDescent="0.6">
      <c r="F788" s="250"/>
      <c r="G788" s="250"/>
      <c r="H788" s="32"/>
    </row>
    <row r="789" spans="1:11" ht="20.45" hidden="1" customHeight="1" x14ac:dyDescent="0.6">
      <c r="A789" s="251" t="s">
        <v>91</v>
      </c>
      <c r="B789" s="69" t="s">
        <v>20</v>
      </c>
      <c r="C789" s="25">
        <f>VLOOKUP($K785,임금대장!$A$6:$AH$86,9,0)</f>
        <v>2729209</v>
      </c>
      <c r="D789" s="33"/>
      <c r="E789" s="69"/>
      <c r="F789" s="254"/>
      <c r="G789" s="255"/>
      <c r="H789" s="25"/>
      <c r="I789" s="33"/>
      <c r="J789" s="34"/>
    </row>
    <row r="790" spans="1:11" ht="20.45" hidden="1" customHeight="1" x14ac:dyDescent="0.6">
      <c r="A790" s="252"/>
      <c r="B790" s="67" t="s">
        <v>21</v>
      </c>
      <c r="C790" s="35">
        <f>VLOOKUP($K785,임금대장!$A$6:$AH$86,10,0)</f>
        <v>851408</v>
      </c>
      <c r="D790" s="36"/>
      <c r="E790" s="67"/>
      <c r="F790" s="256"/>
      <c r="G790" s="257"/>
      <c r="H790" s="35"/>
      <c r="I790" s="36"/>
      <c r="J790" s="37"/>
    </row>
    <row r="791" spans="1:11" ht="20.45" hidden="1" customHeight="1" x14ac:dyDescent="0.6">
      <c r="A791" s="252"/>
      <c r="B791" s="52" t="s">
        <v>92</v>
      </c>
      <c r="C791" s="35">
        <f>VLOOKUP($K785,임금대장!$A$6:$AH$86,11,0)</f>
        <v>114915</v>
      </c>
      <c r="D791" s="36"/>
      <c r="E791" s="67"/>
      <c r="F791" s="256"/>
      <c r="G791" s="257"/>
      <c r="H791" s="35"/>
      <c r="I791" s="36"/>
      <c r="J791" s="37"/>
    </row>
    <row r="792" spans="1:11" ht="20.45" hidden="1" customHeight="1" x14ac:dyDescent="0.6">
      <c r="A792" s="252"/>
      <c r="B792" s="67" t="s">
        <v>115</v>
      </c>
      <c r="C792" s="35">
        <f>VLOOKUP($K785,임금대장!$A$6:$AH$86,12,0)</f>
        <v>0</v>
      </c>
      <c r="D792" s="36"/>
      <c r="E792" s="67"/>
      <c r="F792" s="256"/>
      <c r="G792" s="257"/>
      <c r="H792" s="35"/>
      <c r="I792" s="36"/>
      <c r="J792" s="37"/>
    </row>
    <row r="793" spans="1:11" ht="20.45" hidden="1" customHeight="1" x14ac:dyDescent="0.6">
      <c r="A793" s="252"/>
      <c r="B793" s="67" t="s">
        <v>94</v>
      </c>
      <c r="C793" s="35">
        <f>VLOOKUP($K785,임금대장!$A$6:$AH$86,13,0)</f>
        <v>104468</v>
      </c>
      <c r="D793" s="36"/>
      <c r="E793" s="36"/>
      <c r="F793" s="258"/>
      <c r="G793" s="259"/>
      <c r="H793" s="35"/>
      <c r="I793" s="36"/>
      <c r="J793" s="37"/>
    </row>
    <row r="794" spans="1:11" ht="20.45" hidden="1" customHeight="1" x14ac:dyDescent="0.6">
      <c r="A794" s="252"/>
      <c r="B794" s="67" t="s">
        <v>24</v>
      </c>
      <c r="C794" s="102">
        <f>VLOOKUP($K785,임금대장!$A$6:$AH$86,14,0)</f>
        <v>183870.96774193548</v>
      </c>
      <c r="D794" s="36"/>
      <c r="E794" s="36"/>
      <c r="F794" s="258"/>
      <c r="G794" s="259"/>
      <c r="H794" s="35"/>
      <c r="I794" s="36"/>
      <c r="J794" s="37"/>
    </row>
    <row r="795" spans="1:11" ht="20.45" hidden="1" customHeight="1" x14ac:dyDescent="0.6">
      <c r="A795" s="252"/>
      <c r="B795" s="67"/>
      <c r="C795" s="35"/>
      <c r="D795" s="36"/>
      <c r="E795" s="36"/>
      <c r="F795" s="258"/>
      <c r="G795" s="259"/>
      <c r="H795" s="35"/>
      <c r="I795" s="36"/>
      <c r="J795" s="37"/>
    </row>
    <row r="796" spans="1:11" ht="20.45" hidden="1" customHeight="1" x14ac:dyDescent="0.6">
      <c r="A796" s="252"/>
      <c r="B796" s="67"/>
      <c r="C796" s="35"/>
      <c r="D796" s="36"/>
      <c r="E796" s="36"/>
      <c r="F796" s="258"/>
      <c r="G796" s="259"/>
      <c r="H796" s="35"/>
      <c r="I796" s="36"/>
      <c r="J796" s="37"/>
    </row>
    <row r="797" spans="1:11" ht="20.45" hidden="1" customHeight="1" x14ac:dyDescent="0.6">
      <c r="A797" s="253"/>
      <c r="B797" s="68"/>
      <c r="C797" s="39"/>
      <c r="D797" s="40"/>
      <c r="E797" s="40"/>
      <c r="F797" s="260"/>
      <c r="G797" s="261"/>
      <c r="H797" s="39"/>
      <c r="I797" s="68" t="s">
        <v>95</v>
      </c>
      <c r="J797" s="41">
        <f>SUM(C789:H795)</f>
        <v>3983870.9677419355</v>
      </c>
    </row>
    <row r="798" spans="1:11" ht="20.45" hidden="1" customHeight="1" x14ac:dyDescent="0.6">
      <c r="A798" s="251" t="s">
        <v>96</v>
      </c>
      <c r="B798" s="36" t="s">
        <v>97</v>
      </c>
      <c r="C798" s="35">
        <f>VLOOKUP($K785,임금대장!$A$6:$AH$86,25,0)</f>
        <v>190620</v>
      </c>
      <c r="D798" s="33"/>
      <c r="E798" s="42"/>
      <c r="F798" s="262" t="s">
        <v>14</v>
      </c>
      <c r="G798" s="263"/>
      <c r="H798" s="35">
        <f>VLOOKUP($K785,임금대장!$A$6:$AH$86,19,0)</f>
        <v>0</v>
      </c>
      <c r="I798" s="33"/>
      <c r="J798" s="34"/>
    </row>
    <row r="799" spans="1:11" ht="20.45" hidden="1" customHeight="1" x14ac:dyDescent="0.6">
      <c r="A799" s="252"/>
      <c r="B799" s="36" t="s">
        <v>98</v>
      </c>
      <c r="C799" s="35">
        <f>VLOOKUP($K785,임금대장!$A$6:$AH$86,26,0)</f>
        <v>19060</v>
      </c>
      <c r="D799" s="36"/>
      <c r="E799" s="43"/>
      <c r="F799" s="258" t="s">
        <v>12</v>
      </c>
      <c r="G799" s="259"/>
      <c r="H799" s="35">
        <f>VLOOKUP($K785,임금대장!$A$6:$AH$86,17,0)</f>
        <v>0</v>
      </c>
      <c r="I799" s="36"/>
      <c r="J799" s="37"/>
    </row>
    <row r="800" spans="1:11" ht="20.45" hidden="1" customHeight="1" x14ac:dyDescent="0.6">
      <c r="A800" s="252"/>
      <c r="B800" s="36" t="s">
        <v>99</v>
      </c>
      <c r="C800" s="35">
        <f>VLOOKUP($K785,임금대장!$A$6:$AH$86,27,0)</f>
        <v>85500</v>
      </c>
      <c r="D800" s="36"/>
      <c r="E800" s="44"/>
      <c r="F800" s="258" t="s">
        <v>171</v>
      </c>
      <c r="G800" s="259"/>
      <c r="H800" s="35">
        <f>VLOOKUP($K785,임금대장!$A$6:$AH$86,31,0)</f>
        <v>0</v>
      </c>
      <c r="I800" s="36"/>
      <c r="J800" s="37"/>
    </row>
    <row r="801" spans="1:11" ht="20.45" hidden="1" customHeight="1" x14ac:dyDescent="0.6">
      <c r="A801" s="252"/>
      <c r="B801" s="36" t="s">
        <v>101</v>
      </c>
      <c r="C801" s="35">
        <f>VLOOKUP($K785,임금대장!$A$6:$AH$86,28,0)</f>
        <v>143220</v>
      </c>
      <c r="D801" s="36"/>
      <c r="E801" s="43"/>
      <c r="F801" s="258" t="s">
        <v>102</v>
      </c>
      <c r="G801" s="259"/>
      <c r="H801" s="35">
        <f>VLOOKUP($K785,임금대장!$A$6:$AH$86,30,0)</f>
        <v>35850</v>
      </c>
      <c r="I801" s="36"/>
      <c r="J801" s="37"/>
    </row>
    <row r="802" spans="1:11" ht="20.45" hidden="1" customHeight="1" x14ac:dyDescent="0.6">
      <c r="A802" s="252"/>
      <c r="B802" s="36" t="s">
        <v>31</v>
      </c>
      <c r="C802" s="35">
        <f>VLOOKUP($K785,임금대장!$A$6:$AH$86,29,0)</f>
        <v>18810</v>
      </c>
      <c r="D802" s="36"/>
      <c r="E802" s="43"/>
      <c r="F802" s="45"/>
      <c r="G802" s="46"/>
      <c r="H802" s="36"/>
      <c r="I802" s="67" t="s">
        <v>103</v>
      </c>
      <c r="J802" s="47">
        <f>SUM(C798:H803)</f>
        <v>493060</v>
      </c>
    </row>
    <row r="803" spans="1:11" ht="20.45" hidden="1" customHeight="1" x14ac:dyDescent="0.6">
      <c r="A803" s="253"/>
      <c r="B803" s="40"/>
      <c r="C803" s="101"/>
      <c r="D803" s="40"/>
      <c r="E803" s="48"/>
      <c r="F803" s="260"/>
      <c r="G803" s="261"/>
      <c r="H803" s="40"/>
      <c r="I803" s="68" t="s">
        <v>104</v>
      </c>
      <c r="J803" s="49">
        <f>J797-J802</f>
        <v>3490810.9677419355</v>
      </c>
    </row>
    <row r="804" spans="1:11" ht="20.45" hidden="1" customHeight="1" x14ac:dyDescent="0.6">
      <c r="A804" s="50" t="s">
        <v>105</v>
      </c>
      <c r="J804" s="51" t="s">
        <v>0</v>
      </c>
    </row>
    <row r="805" spans="1:11" ht="20.45" hidden="1" customHeight="1" x14ac:dyDescent="0.6">
      <c r="A805" s="50"/>
      <c r="J805" s="51"/>
    </row>
    <row r="806" spans="1:11" ht="20.45" hidden="1" customHeight="1" x14ac:dyDescent="0.6">
      <c r="A806" s="264" t="s">
        <v>170</v>
      </c>
      <c r="B806" s="264"/>
      <c r="C806" s="264"/>
      <c r="D806" s="264"/>
      <c r="E806" s="264"/>
      <c r="F806" s="264"/>
      <c r="G806" s="264"/>
      <c r="H806" s="264"/>
      <c r="I806" s="264"/>
      <c r="J806" s="264"/>
    </row>
    <row r="807" spans="1:11" ht="20.45" hidden="1" customHeight="1" x14ac:dyDescent="0.6">
      <c r="A807" s="286" t="s">
        <v>83</v>
      </c>
      <c r="B807" s="286"/>
      <c r="C807" s="286"/>
      <c r="D807" s="286" t="s">
        <v>84</v>
      </c>
      <c r="E807" s="286"/>
      <c r="F807" s="286" t="s">
        <v>85</v>
      </c>
      <c r="G807" s="286"/>
      <c r="H807" s="286"/>
      <c r="I807" s="286" t="s">
        <v>86</v>
      </c>
      <c r="J807" s="286"/>
    </row>
    <row r="808" spans="1:11" ht="20.45" hidden="1" customHeight="1" x14ac:dyDescent="0.6">
      <c r="A808" s="286" t="str">
        <f>VLOOKUP(K808,임금대장!$A$6:$AH$86,3,0)</f>
        <v>초다이</v>
      </c>
      <c r="B808" s="286"/>
      <c r="C808" s="286"/>
      <c r="D808" s="287" t="str">
        <f>VLOOKUP(K808,임금대장!$A$6:$AH$86,2,0)</f>
        <v>김광신</v>
      </c>
      <c r="E808" s="287"/>
      <c r="F808" s="287">
        <f>임금대장!$O$3</f>
        <v>31</v>
      </c>
      <c r="G808" s="286"/>
      <c r="H808" s="286"/>
      <c r="I808" s="288">
        <f>VLOOKUP(K808,임금대장!$A$6:$AH$86,16,0)</f>
        <v>0</v>
      </c>
      <c r="J808" s="288"/>
      <c r="K808" s="30">
        <v>36</v>
      </c>
    </row>
    <row r="809" spans="1:11" ht="20.45" hidden="1" customHeight="1" x14ac:dyDescent="0.6">
      <c r="A809" s="286" t="s">
        <v>87</v>
      </c>
      <c r="B809" s="286"/>
      <c r="C809" s="286" t="s">
        <v>5</v>
      </c>
      <c r="D809" s="289">
        <f>VLOOKUP($K808,임금대장!$A$6:$AH$86,5,0)</f>
        <v>46015</v>
      </c>
      <c r="E809" s="289"/>
      <c r="F809" s="114" t="s">
        <v>88</v>
      </c>
      <c r="G809" s="358">
        <f>VLOOKUP(K808,임금대장!$A$6:$AH$86,15,0)</f>
        <v>31</v>
      </c>
      <c r="H809" s="358"/>
      <c r="I809" s="286" t="s">
        <v>89</v>
      </c>
      <c r="J809" s="290">
        <f>VLOOKUP(K808,임금대장!$A$6:$AH$86,17,0)</f>
        <v>0</v>
      </c>
    </row>
    <row r="810" spans="1:11" ht="20.45" hidden="1" customHeight="1" x14ac:dyDescent="0.6">
      <c r="A810" s="294">
        <f>VLOOKUP($K808,임금대장!$A$6:$AH$86,7,0)</f>
        <v>3500000</v>
      </c>
      <c r="B810" s="294"/>
      <c r="C810" s="286"/>
      <c r="D810" s="289"/>
      <c r="E810" s="289"/>
      <c r="F810" s="115" t="s">
        <v>90</v>
      </c>
      <c r="G810" s="359">
        <f>VLOOKUP(K808,임금대장!$A$6:$AH$86,16,0)</f>
        <v>0</v>
      </c>
      <c r="H810" s="359"/>
      <c r="I810" s="286"/>
      <c r="J810" s="290"/>
    </row>
    <row r="811" spans="1:11" ht="20.45" hidden="1" customHeight="1" x14ac:dyDescent="0.6">
      <c r="F811" s="250"/>
      <c r="G811" s="250"/>
      <c r="H811" s="32"/>
    </row>
    <row r="812" spans="1:11" ht="20.45" hidden="1" customHeight="1" x14ac:dyDescent="0.6">
      <c r="A812" s="251" t="s">
        <v>91</v>
      </c>
      <c r="B812" s="69" t="s">
        <v>20</v>
      </c>
      <c r="C812" s="25">
        <f>VLOOKUP($K808,임금대장!$A$6:$AH$86,9,0)</f>
        <v>2513746</v>
      </c>
      <c r="D812" s="33"/>
      <c r="E812" s="69"/>
      <c r="F812" s="254"/>
      <c r="G812" s="255"/>
      <c r="H812" s="25"/>
      <c r="I812" s="33"/>
      <c r="J812" s="34"/>
    </row>
    <row r="813" spans="1:11" ht="20.45" hidden="1" customHeight="1" x14ac:dyDescent="0.6">
      <c r="A813" s="252"/>
      <c r="B813" s="67" t="s">
        <v>21</v>
      </c>
      <c r="C813" s="35">
        <f>VLOOKUP($K808,임금대장!$A$6:$AH$86,10,0)</f>
        <v>784192</v>
      </c>
      <c r="D813" s="36"/>
      <c r="E813" s="67"/>
      <c r="F813" s="256"/>
      <c r="G813" s="257"/>
      <c r="H813" s="35"/>
      <c r="I813" s="36"/>
      <c r="J813" s="37"/>
    </row>
    <row r="814" spans="1:11" ht="20.45" hidden="1" customHeight="1" x14ac:dyDescent="0.6">
      <c r="A814" s="252"/>
      <c r="B814" s="52" t="s">
        <v>92</v>
      </c>
      <c r="C814" s="35">
        <f>VLOOKUP($K808,임금대장!$A$6:$AH$86,11,0)</f>
        <v>105842</v>
      </c>
      <c r="D814" s="36"/>
      <c r="E814" s="67"/>
      <c r="F814" s="256"/>
      <c r="G814" s="257"/>
      <c r="H814" s="35"/>
      <c r="I814" s="36"/>
      <c r="J814" s="37"/>
    </row>
    <row r="815" spans="1:11" ht="20.45" hidden="1" customHeight="1" x14ac:dyDescent="0.6">
      <c r="A815" s="252"/>
      <c r="B815" s="67" t="s">
        <v>115</v>
      </c>
      <c r="C815" s="35">
        <f>VLOOKUP($K808,임금대장!$A$6:$AH$86,12,0)</f>
        <v>0</v>
      </c>
      <c r="D815" s="36"/>
      <c r="E815" s="67"/>
      <c r="F815" s="256"/>
      <c r="G815" s="257"/>
      <c r="H815" s="35"/>
      <c r="I815" s="36"/>
      <c r="J815" s="37"/>
    </row>
    <row r="816" spans="1:11" ht="20.45" hidden="1" customHeight="1" x14ac:dyDescent="0.6">
      <c r="A816" s="252"/>
      <c r="B816" s="67" t="s">
        <v>94</v>
      </c>
      <c r="C816" s="35">
        <f>VLOOKUP($K808,임금대장!$A$6:$AH$86,13,0)</f>
        <v>96220</v>
      </c>
      <c r="D816" s="36"/>
      <c r="E816" s="36"/>
      <c r="F816" s="258"/>
      <c r="G816" s="259"/>
      <c r="H816" s="35"/>
      <c r="I816" s="36"/>
      <c r="J816" s="37"/>
    </row>
    <row r="817" spans="1:11" ht="20.45" hidden="1" customHeight="1" x14ac:dyDescent="0.6">
      <c r="A817" s="252"/>
      <c r="B817" s="67" t="s">
        <v>24</v>
      </c>
      <c r="C817" s="102">
        <f>VLOOKUP($K808,임금대장!$A$6:$AH$86,14,0)</f>
        <v>56451.612903225803</v>
      </c>
      <c r="D817" s="36"/>
      <c r="E817" s="36"/>
      <c r="F817" s="258"/>
      <c r="G817" s="259"/>
      <c r="H817" s="35"/>
      <c r="I817" s="36"/>
      <c r="J817" s="37"/>
    </row>
    <row r="818" spans="1:11" ht="20.45" hidden="1" customHeight="1" x14ac:dyDescent="0.6">
      <c r="A818" s="252"/>
      <c r="B818" s="67"/>
      <c r="C818" s="35"/>
      <c r="D818" s="36"/>
      <c r="E818" s="36"/>
      <c r="F818" s="258"/>
      <c r="G818" s="259"/>
      <c r="H818" s="35"/>
      <c r="I818" s="36"/>
      <c r="J818" s="37"/>
    </row>
    <row r="819" spans="1:11" ht="20.45" hidden="1" customHeight="1" x14ac:dyDescent="0.6">
      <c r="A819" s="252"/>
      <c r="B819" s="67"/>
      <c r="C819" s="35"/>
      <c r="D819" s="36"/>
      <c r="E819" s="36"/>
      <c r="F819" s="258"/>
      <c r="G819" s="259"/>
      <c r="H819" s="35"/>
      <c r="I819" s="36"/>
      <c r="J819" s="37"/>
    </row>
    <row r="820" spans="1:11" ht="20.45" hidden="1" customHeight="1" x14ac:dyDescent="0.6">
      <c r="A820" s="253"/>
      <c r="B820" s="68"/>
      <c r="C820" s="39"/>
      <c r="D820" s="40"/>
      <c r="E820" s="40"/>
      <c r="F820" s="260"/>
      <c r="G820" s="261"/>
      <c r="H820" s="39"/>
      <c r="I820" s="68" t="s">
        <v>95</v>
      </c>
      <c r="J820" s="41">
        <f>SUM(C812:H818)</f>
        <v>3556451.6129032257</v>
      </c>
    </row>
    <row r="821" spans="1:11" ht="20.45" hidden="1" customHeight="1" x14ac:dyDescent="0.6">
      <c r="A821" s="251" t="s">
        <v>96</v>
      </c>
      <c r="B821" s="36" t="s">
        <v>97</v>
      </c>
      <c r="C821" s="35">
        <f>VLOOKUP($K808,임금대장!$A$6:$AH$86,25,0)</f>
        <v>129660</v>
      </c>
      <c r="D821" s="33"/>
      <c r="E821" s="42"/>
      <c r="F821" s="262" t="s">
        <v>14</v>
      </c>
      <c r="G821" s="263"/>
      <c r="H821" s="35">
        <f>VLOOKUP($K808,임금대장!$A$6:$AH$86,19,0)</f>
        <v>0</v>
      </c>
      <c r="I821" s="33"/>
      <c r="J821" s="34"/>
    </row>
    <row r="822" spans="1:11" ht="20.45" hidden="1" customHeight="1" x14ac:dyDescent="0.6">
      <c r="A822" s="252"/>
      <c r="B822" s="36" t="s">
        <v>98</v>
      </c>
      <c r="C822" s="35">
        <f>VLOOKUP($K808,임금대장!$A$6:$AH$86,26,0)</f>
        <v>12960</v>
      </c>
      <c r="D822" s="36"/>
      <c r="E822" s="43"/>
      <c r="F822" s="258" t="s">
        <v>12</v>
      </c>
      <c r="G822" s="259"/>
      <c r="H822" s="35">
        <f>VLOOKUP($K808,임금대장!$A$6:$AH$86,17,0)</f>
        <v>0</v>
      </c>
      <c r="I822" s="36"/>
      <c r="J822" s="37"/>
    </row>
    <row r="823" spans="1:11" ht="20.45" hidden="1" customHeight="1" x14ac:dyDescent="0.6">
      <c r="A823" s="252"/>
      <c r="B823" s="36" t="s">
        <v>99</v>
      </c>
      <c r="C823" s="35">
        <f>VLOOKUP($K808,임금대장!$A$6:$AH$86,27,0)</f>
        <v>85500</v>
      </c>
      <c r="D823" s="36"/>
      <c r="E823" s="44"/>
      <c r="F823" s="258" t="s">
        <v>171</v>
      </c>
      <c r="G823" s="259"/>
      <c r="H823" s="35">
        <f>VLOOKUP($K808,임금대장!$A$6:$AH$86,31,0)</f>
        <v>0</v>
      </c>
      <c r="I823" s="36"/>
      <c r="J823" s="37"/>
    </row>
    <row r="824" spans="1:11" ht="20.45" hidden="1" customHeight="1" x14ac:dyDescent="0.6">
      <c r="A824" s="252"/>
      <c r="B824" s="36" t="s">
        <v>101</v>
      </c>
      <c r="C824" s="35">
        <f>VLOOKUP($K808,임금대장!$A$6:$AH$86,28,0)</f>
        <v>127850</v>
      </c>
      <c r="D824" s="36"/>
      <c r="E824" s="43"/>
      <c r="F824" s="258" t="s">
        <v>102</v>
      </c>
      <c r="G824" s="259"/>
      <c r="H824" s="35">
        <f>VLOOKUP($K808,임금대장!$A$6:$AH$86,30,0)</f>
        <v>32000</v>
      </c>
      <c r="I824" s="36"/>
      <c r="J824" s="37"/>
    </row>
    <row r="825" spans="1:11" ht="20.45" hidden="1" customHeight="1" x14ac:dyDescent="0.6">
      <c r="A825" s="252"/>
      <c r="B825" s="36" t="s">
        <v>31</v>
      </c>
      <c r="C825" s="35">
        <f>VLOOKUP($K808,임금대장!$A$6:$AH$86,29,0)</f>
        <v>16790</v>
      </c>
      <c r="D825" s="36"/>
      <c r="E825" s="43"/>
      <c r="F825" s="45"/>
      <c r="G825" s="46"/>
      <c r="H825" s="36"/>
      <c r="I825" s="67" t="s">
        <v>103</v>
      </c>
      <c r="J825" s="47">
        <f>SUM(C821:H826)</f>
        <v>404760</v>
      </c>
    </row>
    <row r="826" spans="1:11" ht="20.45" hidden="1" customHeight="1" x14ac:dyDescent="0.6">
      <c r="A826" s="253"/>
      <c r="B826" s="40"/>
      <c r="C826" s="101"/>
      <c r="D826" s="40"/>
      <c r="E826" s="48"/>
      <c r="F826" s="260"/>
      <c r="G826" s="261"/>
      <c r="H826" s="40"/>
      <c r="I826" s="68" t="s">
        <v>104</v>
      </c>
      <c r="J826" s="49">
        <f>J820-J825</f>
        <v>3151691.6129032257</v>
      </c>
    </row>
    <row r="827" spans="1:11" ht="20.45" hidden="1" customHeight="1" x14ac:dyDescent="0.6">
      <c r="A827" s="50" t="s">
        <v>105</v>
      </c>
      <c r="J827" s="51" t="s">
        <v>0</v>
      </c>
    </row>
    <row r="828" spans="1:11" ht="20.45" hidden="1" customHeight="1" x14ac:dyDescent="0.6">
      <c r="A828" s="50"/>
      <c r="J828" s="51"/>
    </row>
    <row r="829" spans="1:11" ht="20.45" hidden="1" customHeight="1" x14ac:dyDescent="0.6">
      <c r="A829" s="264" t="s">
        <v>170</v>
      </c>
      <c r="B829" s="264"/>
      <c r="C829" s="264"/>
      <c r="D829" s="264"/>
      <c r="E829" s="264"/>
      <c r="F829" s="264"/>
      <c r="G829" s="264"/>
      <c r="H829" s="264"/>
      <c r="I829" s="264"/>
      <c r="J829" s="264"/>
    </row>
    <row r="830" spans="1:11" ht="20.45" hidden="1" customHeight="1" x14ac:dyDescent="0.6">
      <c r="A830" s="286" t="s">
        <v>83</v>
      </c>
      <c r="B830" s="286"/>
      <c r="C830" s="286"/>
      <c r="D830" s="286" t="s">
        <v>84</v>
      </c>
      <c r="E830" s="286"/>
      <c r="F830" s="286" t="s">
        <v>85</v>
      </c>
      <c r="G830" s="286"/>
      <c r="H830" s="286"/>
      <c r="I830" s="286" t="s">
        <v>86</v>
      </c>
      <c r="J830" s="286"/>
    </row>
    <row r="831" spans="1:11" ht="20.45" hidden="1" customHeight="1" x14ac:dyDescent="0.6">
      <c r="A831" s="286">
        <f>VLOOKUP(K831,임금대장!$A$6:$AH$86,3,0)</f>
        <v>0</v>
      </c>
      <c r="B831" s="286"/>
      <c r="C831" s="286"/>
      <c r="D831" s="287" t="str">
        <f>VLOOKUP(K831,임금대장!$A$6:$AH$86,2,0)</f>
        <v>이다연</v>
      </c>
      <c r="E831" s="287"/>
      <c r="F831" s="287">
        <f>임금대장!$O$3</f>
        <v>31</v>
      </c>
      <c r="G831" s="286"/>
      <c r="H831" s="286"/>
      <c r="I831" s="288">
        <f>VLOOKUP(K831,임금대장!$A$6:$AH$86,16,0)</f>
        <v>0</v>
      </c>
      <c r="J831" s="288"/>
      <c r="K831" s="30">
        <v>37</v>
      </c>
    </row>
    <row r="832" spans="1:11" ht="20.45" hidden="1" customHeight="1" x14ac:dyDescent="0.6">
      <c r="A832" s="286" t="s">
        <v>87</v>
      </c>
      <c r="B832" s="286"/>
      <c r="C832" s="286" t="s">
        <v>5</v>
      </c>
      <c r="D832" s="289">
        <f>VLOOKUP($K831,임금대장!$A$6:$AH$86,5,0)</f>
        <v>46023</v>
      </c>
      <c r="E832" s="289"/>
      <c r="F832" s="114" t="s">
        <v>88</v>
      </c>
      <c r="G832" s="358">
        <f>VLOOKUP(K831,임금대장!$A$6:$AH$86,15,0)</f>
        <v>31</v>
      </c>
      <c r="H832" s="358"/>
      <c r="I832" s="286" t="s">
        <v>89</v>
      </c>
      <c r="J832" s="290">
        <f>VLOOKUP(K831,임금대장!$A$6:$AH$86,17,0)</f>
        <v>0</v>
      </c>
    </row>
    <row r="833" spans="1:10" ht="20.45" hidden="1" customHeight="1" x14ac:dyDescent="0.6">
      <c r="A833" s="294">
        <f>VLOOKUP($K831,임금대장!$A$6:$AH$86,7,0)</f>
        <v>3000000</v>
      </c>
      <c r="B833" s="294"/>
      <c r="C833" s="286"/>
      <c r="D833" s="289"/>
      <c r="E833" s="289"/>
      <c r="F833" s="115" t="s">
        <v>90</v>
      </c>
      <c r="G833" s="359">
        <f>VLOOKUP(K831,임금대장!$A$6:$AH$86,16,0)</f>
        <v>0</v>
      </c>
      <c r="H833" s="359"/>
      <c r="I833" s="286"/>
      <c r="J833" s="290"/>
    </row>
    <row r="834" spans="1:10" ht="20.45" hidden="1" customHeight="1" x14ac:dyDescent="0.6">
      <c r="F834" s="250"/>
      <c r="G834" s="250"/>
      <c r="H834" s="32"/>
    </row>
    <row r="835" spans="1:10" ht="20.45" hidden="1" customHeight="1" x14ac:dyDescent="0.6">
      <c r="A835" s="251" t="s">
        <v>91</v>
      </c>
      <c r="B835" s="69" t="s">
        <v>20</v>
      </c>
      <c r="C835" s="25">
        <f>VLOOKUP($K831,임금대장!$A$6:$AH$86,9,0)</f>
        <v>2154640</v>
      </c>
      <c r="D835" s="33"/>
      <c r="E835" s="69"/>
      <c r="F835" s="254"/>
      <c r="G835" s="255"/>
      <c r="H835" s="25"/>
      <c r="I835" s="33"/>
      <c r="J835" s="34"/>
    </row>
    <row r="836" spans="1:10" ht="20.45" hidden="1" customHeight="1" x14ac:dyDescent="0.6">
      <c r="A836" s="252"/>
      <c r="B836" s="67" t="s">
        <v>21</v>
      </c>
      <c r="C836" s="35">
        <f>VLOOKUP($K831,임금대장!$A$6:$AH$86,10,0)</f>
        <v>672164</v>
      </c>
      <c r="D836" s="36"/>
      <c r="E836" s="67"/>
      <c r="F836" s="256"/>
      <c r="G836" s="257"/>
      <c r="H836" s="35"/>
      <c r="I836" s="36"/>
      <c r="J836" s="37"/>
    </row>
    <row r="837" spans="1:10" ht="20.45" hidden="1" customHeight="1" x14ac:dyDescent="0.6">
      <c r="A837" s="252"/>
      <c r="B837" s="52" t="s">
        <v>92</v>
      </c>
      <c r="C837" s="35">
        <f>VLOOKUP($K831,임금대장!$A$6:$AH$86,11,0)</f>
        <v>90722</v>
      </c>
      <c r="D837" s="36"/>
      <c r="E837" s="67"/>
      <c r="F837" s="256"/>
      <c r="G837" s="257"/>
      <c r="H837" s="35"/>
      <c r="I837" s="36"/>
      <c r="J837" s="37"/>
    </row>
    <row r="838" spans="1:10" ht="20.45" hidden="1" customHeight="1" x14ac:dyDescent="0.6">
      <c r="A838" s="252"/>
      <c r="B838" s="67" t="s">
        <v>115</v>
      </c>
      <c r="C838" s="35">
        <f>VLOOKUP($K831,임금대장!$A$6:$AH$86,12,0)</f>
        <v>0</v>
      </c>
      <c r="D838" s="36"/>
      <c r="E838" s="67"/>
      <c r="F838" s="256"/>
      <c r="G838" s="257"/>
      <c r="H838" s="35"/>
      <c r="I838" s="36"/>
      <c r="J838" s="37"/>
    </row>
    <row r="839" spans="1:10" ht="20.45" hidden="1" customHeight="1" x14ac:dyDescent="0.6">
      <c r="A839" s="252"/>
      <c r="B839" s="67" t="s">
        <v>94</v>
      </c>
      <c r="C839" s="35">
        <f>VLOOKUP($K831,임금대장!$A$6:$AH$86,13,0)</f>
        <v>82475</v>
      </c>
      <c r="D839" s="36"/>
      <c r="E839" s="36"/>
      <c r="F839" s="258"/>
      <c r="G839" s="259"/>
      <c r="H839" s="35"/>
      <c r="I839" s="36"/>
      <c r="J839" s="37"/>
    </row>
    <row r="840" spans="1:10" ht="20.45" hidden="1" customHeight="1" x14ac:dyDescent="0.6">
      <c r="A840" s="252"/>
      <c r="B840" s="67" t="s">
        <v>24</v>
      </c>
      <c r="C840" s="102">
        <f>VLOOKUP($K831,임금대장!$A$6:$AH$86,14,0)</f>
        <v>0</v>
      </c>
      <c r="D840" s="36"/>
      <c r="E840" s="36"/>
      <c r="F840" s="258"/>
      <c r="G840" s="259"/>
      <c r="H840" s="35"/>
      <c r="I840" s="36"/>
      <c r="J840" s="37"/>
    </row>
    <row r="841" spans="1:10" ht="20.45" hidden="1" customHeight="1" x14ac:dyDescent="0.6">
      <c r="A841" s="252"/>
      <c r="B841" s="67"/>
      <c r="C841" s="35"/>
      <c r="D841" s="36"/>
      <c r="E841" s="36"/>
      <c r="F841" s="258"/>
      <c r="G841" s="259"/>
      <c r="H841" s="35"/>
      <c r="I841" s="36"/>
      <c r="J841" s="37"/>
    </row>
    <row r="842" spans="1:10" ht="20.45" hidden="1" customHeight="1" x14ac:dyDescent="0.6">
      <c r="A842" s="252"/>
      <c r="B842" s="67"/>
      <c r="C842" s="35"/>
      <c r="D842" s="36"/>
      <c r="E842" s="36"/>
      <c r="F842" s="258"/>
      <c r="G842" s="259"/>
      <c r="H842" s="35"/>
      <c r="I842" s="36"/>
      <c r="J842" s="37"/>
    </row>
    <row r="843" spans="1:10" ht="20.45" hidden="1" customHeight="1" x14ac:dyDescent="0.6">
      <c r="A843" s="253"/>
      <c r="B843" s="68"/>
      <c r="C843" s="39"/>
      <c r="D843" s="40"/>
      <c r="E843" s="40"/>
      <c r="F843" s="260"/>
      <c r="G843" s="261"/>
      <c r="H843" s="39"/>
      <c r="I843" s="68" t="s">
        <v>95</v>
      </c>
      <c r="J843" s="41">
        <f>SUM(C835:H841)</f>
        <v>3000001</v>
      </c>
    </row>
    <row r="844" spans="1:10" ht="20.45" hidden="1" customHeight="1" x14ac:dyDescent="0.6">
      <c r="A844" s="251" t="s">
        <v>96</v>
      </c>
      <c r="B844" s="36" t="s">
        <v>97</v>
      </c>
      <c r="C844" s="35">
        <f>VLOOKUP($K831,임금대장!$A$6:$AH$86,25,0)</f>
        <v>73060</v>
      </c>
      <c r="D844" s="33"/>
      <c r="E844" s="42"/>
      <c r="F844" s="262" t="s">
        <v>14</v>
      </c>
      <c r="G844" s="263"/>
      <c r="H844" s="35">
        <f>VLOOKUP($K831,임금대장!$A$6:$AH$86,19,0)</f>
        <v>0</v>
      </c>
      <c r="I844" s="33"/>
      <c r="J844" s="34"/>
    </row>
    <row r="845" spans="1:10" ht="20.45" hidden="1" customHeight="1" x14ac:dyDescent="0.6">
      <c r="A845" s="252"/>
      <c r="B845" s="36" t="s">
        <v>98</v>
      </c>
      <c r="C845" s="35">
        <f>VLOOKUP($K831,임금대장!$A$6:$AH$86,26,0)</f>
        <v>7300</v>
      </c>
      <c r="D845" s="36"/>
      <c r="E845" s="43"/>
      <c r="F845" s="258" t="s">
        <v>12</v>
      </c>
      <c r="G845" s="259"/>
      <c r="H845" s="35">
        <f>VLOOKUP($K831,임금대장!$A$6:$AH$86,17,0)</f>
        <v>0</v>
      </c>
      <c r="I845" s="36"/>
      <c r="J845" s="37"/>
    </row>
    <row r="846" spans="1:10" ht="20.45" hidden="1" customHeight="1" x14ac:dyDescent="0.6">
      <c r="A846" s="252"/>
      <c r="B846" s="36" t="s">
        <v>99</v>
      </c>
      <c r="C846" s="35">
        <f>VLOOKUP($K831,임금대장!$A$6:$AH$86,27,0)</f>
        <v>85500</v>
      </c>
      <c r="D846" s="36"/>
      <c r="E846" s="44"/>
      <c r="F846" s="258" t="s">
        <v>171</v>
      </c>
      <c r="G846" s="259"/>
      <c r="H846" s="35">
        <f>VLOOKUP($K831,임금대장!$A$6:$AH$86,31,0)</f>
        <v>0</v>
      </c>
      <c r="I846" s="36"/>
      <c r="J846" s="37"/>
    </row>
    <row r="847" spans="1:10" ht="20.45" hidden="1" customHeight="1" x14ac:dyDescent="0.6">
      <c r="A847" s="252"/>
      <c r="B847" s="36" t="s">
        <v>101</v>
      </c>
      <c r="C847" s="35">
        <f>VLOOKUP($K831,임금대장!$A$6:$AH$86,28,0)</f>
        <v>107850</v>
      </c>
      <c r="D847" s="36"/>
      <c r="E847" s="43"/>
      <c r="F847" s="258" t="s">
        <v>102</v>
      </c>
      <c r="G847" s="259"/>
      <c r="H847" s="35">
        <f>VLOOKUP($K831,임금대장!$A$6:$AH$86,30,0)</f>
        <v>27000</v>
      </c>
      <c r="I847" s="36"/>
      <c r="J847" s="37"/>
    </row>
    <row r="848" spans="1:10" ht="20.45" hidden="1" customHeight="1" x14ac:dyDescent="0.6">
      <c r="A848" s="252"/>
      <c r="B848" s="36" t="s">
        <v>31</v>
      </c>
      <c r="C848" s="35">
        <f>VLOOKUP($K831,임금대장!$A$6:$AH$86,29,0)</f>
        <v>14170</v>
      </c>
      <c r="D848" s="36"/>
      <c r="E848" s="43"/>
      <c r="F848" s="45"/>
      <c r="G848" s="46"/>
      <c r="H848" s="36"/>
      <c r="I848" s="67" t="s">
        <v>103</v>
      </c>
      <c r="J848" s="47">
        <f>SUM(C844:H849)</f>
        <v>314880</v>
      </c>
    </row>
    <row r="849" spans="1:11" ht="20.45" hidden="1" customHeight="1" x14ac:dyDescent="0.6">
      <c r="A849" s="253"/>
      <c r="B849" s="40"/>
      <c r="C849" s="101"/>
      <c r="D849" s="40"/>
      <c r="E849" s="48"/>
      <c r="F849" s="260"/>
      <c r="G849" s="261"/>
      <c r="H849" s="40"/>
      <c r="I849" s="68" t="s">
        <v>104</v>
      </c>
      <c r="J849" s="49">
        <f>J843-J848</f>
        <v>2685121</v>
      </c>
    </row>
    <row r="850" spans="1:11" ht="20.45" hidden="1" customHeight="1" x14ac:dyDescent="0.6">
      <c r="A850" s="50" t="s">
        <v>105</v>
      </c>
      <c r="J850" s="51" t="s">
        <v>0</v>
      </c>
    </row>
    <row r="851" spans="1:11" ht="20.45" hidden="1" customHeight="1" x14ac:dyDescent="0.6">
      <c r="A851" s="50"/>
      <c r="J851" s="51"/>
    </row>
    <row r="852" spans="1:11" ht="20.45" hidden="1" customHeight="1" x14ac:dyDescent="0.6">
      <c r="A852" s="264" t="s">
        <v>170</v>
      </c>
      <c r="B852" s="264"/>
      <c r="C852" s="264"/>
      <c r="D852" s="264"/>
      <c r="E852" s="264"/>
      <c r="F852" s="264"/>
      <c r="G852" s="264"/>
      <c r="H852" s="264"/>
      <c r="I852" s="264"/>
      <c r="J852" s="264"/>
    </row>
    <row r="853" spans="1:11" ht="20.45" hidden="1" customHeight="1" x14ac:dyDescent="0.6">
      <c r="A853" s="286" t="s">
        <v>83</v>
      </c>
      <c r="B853" s="286"/>
      <c r="C853" s="286"/>
      <c r="D853" s="286" t="s">
        <v>84</v>
      </c>
      <c r="E853" s="286"/>
      <c r="F853" s="286" t="s">
        <v>85</v>
      </c>
      <c r="G853" s="286"/>
      <c r="H853" s="286"/>
      <c r="I853" s="286" t="s">
        <v>86</v>
      </c>
      <c r="J853" s="286"/>
    </row>
    <row r="854" spans="1:11" ht="20.45" hidden="1" customHeight="1" x14ac:dyDescent="0.6">
      <c r="A854" s="286" t="str">
        <f>VLOOKUP(K854,임금대장!$A$6:$AH$86,3,0)</f>
        <v>핫/즉석</v>
      </c>
      <c r="B854" s="286"/>
      <c r="C854" s="286"/>
      <c r="D854" s="287" t="str">
        <f>VLOOKUP(K854,임금대장!$A$6:$AH$86,2,0)</f>
        <v>강봉국</v>
      </c>
      <c r="E854" s="287"/>
      <c r="F854" s="287">
        <f>임금대장!$O$3</f>
        <v>31</v>
      </c>
      <c r="G854" s="286"/>
      <c r="H854" s="286"/>
      <c r="I854" s="288">
        <f>VLOOKUP(K854,임금대장!$A$6:$AH$86,16,0)</f>
        <v>5</v>
      </c>
      <c r="J854" s="288"/>
      <c r="K854" s="30">
        <v>38</v>
      </c>
    </row>
    <row r="855" spans="1:11" ht="20.45" hidden="1" customHeight="1" x14ac:dyDescent="0.6">
      <c r="A855" s="286" t="s">
        <v>87</v>
      </c>
      <c r="B855" s="286"/>
      <c r="C855" s="286" t="s">
        <v>5</v>
      </c>
      <c r="D855" s="289">
        <f>VLOOKUP($K854,임금대장!$A$6:$AH$86,5,0)</f>
        <v>46028</v>
      </c>
      <c r="E855" s="289"/>
      <c r="F855" s="114" t="s">
        <v>88</v>
      </c>
      <c r="G855" s="358">
        <f>VLOOKUP(K854,임금대장!$A$6:$AH$86,15,0)</f>
        <v>26</v>
      </c>
      <c r="H855" s="358"/>
      <c r="I855" s="286" t="s">
        <v>89</v>
      </c>
      <c r="J855" s="290">
        <f>VLOOKUP(K854,임금대장!$A$6:$AH$86,17,0)</f>
        <v>532250</v>
      </c>
    </row>
    <row r="856" spans="1:11" ht="20.45" hidden="1" customHeight="1" x14ac:dyDescent="0.6">
      <c r="A856" s="294">
        <f>VLOOKUP($K854,임금대장!$A$6:$AH$86,7,0)</f>
        <v>3300000</v>
      </c>
      <c r="B856" s="294"/>
      <c r="C856" s="286"/>
      <c r="D856" s="289"/>
      <c r="E856" s="289"/>
      <c r="F856" s="115" t="s">
        <v>90</v>
      </c>
      <c r="G856" s="359">
        <f>VLOOKUP(K854,임금대장!$A$6:$AH$86,16,0)</f>
        <v>5</v>
      </c>
      <c r="H856" s="359"/>
      <c r="I856" s="286"/>
      <c r="J856" s="290"/>
    </row>
    <row r="857" spans="1:11" ht="20.45" hidden="1" customHeight="1" x14ac:dyDescent="0.6">
      <c r="F857" s="250"/>
      <c r="G857" s="250"/>
      <c r="H857" s="32"/>
    </row>
    <row r="858" spans="1:11" ht="20.45" hidden="1" customHeight="1" x14ac:dyDescent="0.6">
      <c r="A858" s="251" t="s">
        <v>91</v>
      </c>
      <c r="B858" s="69" t="s">
        <v>20</v>
      </c>
      <c r="C858" s="25">
        <f>VLOOKUP($K854,임금대장!$A$6:$AH$86,9,0)</f>
        <v>2370103</v>
      </c>
      <c r="D858" s="33"/>
      <c r="E858" s="69"/>
      <c r="F858" s="254"/>
      <c r="G858" s="255"/>
      <c r="H858" s="25"/>
      <c r="I858" s="33"/>
      <c r="J858" s="34"/>
    </row>
    <row r="859" spans="1:11" ht="20.45" hidden="1" customHeight="1" x14ac:dyDescent="0.6">
      <c r="A859" s="252"/>
      <c r="B859" s="67" t="s">
        <v>21</v>
      </c>
      <c r="C859" s="35">
        <f>VLOOKUP($K854,임금대장!$A$6:$AH$86,10,0)</f>
        <v>739381</v>
      </c>
      <c r="D859" s="36"/>
      <c r="E859" s="67"/>
      <c r="F859" s="256"/>
      <c r="G859" s="257"/>
      <c r="H859" s="35"/>
      <c r="I859" s="36"/>
      <c r="J859" s="37"/>
    </row>
    <row r="860" spans="1:11" ht="20.45" hidden="1" customHeight="1" x14ac:dyDescent="0.6">
      <c r="A860" s="252"/>
      <c r="B860" s="52" t="s">
        <v>92</v>
      </c>
      <c r="C860" s="35">
        <f>VLOOKUP($K854,임금대장!$A$6:$AH$86,11,0)</f>
        <v>99794</v>
      </c>
      <c r="D860" s="36"/>
      <c r="E860" s="67"/>
      <c r="F860" s="256"/>
      <c r="G860" s="257"/>
      <c r="H860" s="35"/>
      <c r="I860" s="36"/>
      <c r="J860" s="37"/>
    </row>
    <row r="861" spans="1:11" ht="20.45" hidden="1" customHeight="1" x14ac:dyDescent="0.6">
      <c r="A861" s="252"/>
      <c r="B861" s="67" t="s">
        <v>115</v>
      </c>
      <c r="C861" s="35">
        <f>VLOOKUP($K854,임금대장!$A$6:$AH$86,12,0)</f>
        <v>0</v>
      </c>
      <c r="D861" s="36"/>
      <c r="E861" s="67"/>
      <c r="F861" s="256"/>
      <c r="G861" s="257"/>
      <c r="H861" s="35"/>
      <c r="I861" s="36"/>
      <c r="J861" s="37"/>
    </row>
    <row r="862" spans="1:11" ht="20.45" hidden="1" customHeight="1" x14ac:dyDescent="0.6">
      <c r="A862" s="252"/>
      <c r="B862" s="67" t="s">
        <v>94</v>
      </c>
      <c r="C862" s="35">
        <f>VLOOKUP($K854,임금대장!$A$6:$AH$86,13,0)</f>
        <v>90722</v>
      </c>
      <c r="D862" s="36"/>
      <c r="E862" s="36"/>
      <c r="F862" s="258"/>
      <c r="G862" s="259"/>
      <c r="H862" s="35"/>
      <c r="I862" s="36"/>
      <c r="J862" s="37"/>
    </row>
    <row r="863" spans="1:11" ht="20.45" hidden="1" customHeight="1" x14ac:dyDescent="0.6">
      <c r="A863" s="252"/>
      <c r="B863" s="67" t="s">
        <v>24</v>
      </c>
      <c r="C863" s="102">
        <f>VLOOKUP($K854,임금대장!$A$6:$AH$86,14,0)</f>
        <v>0</v>
      </c>
      <c r="D863" s="36"/>
      <c r="E863" s="36"/>
      <c r="F863" s="258"/>
      <c r="G863" s="259"/>
      <c r="H863" s="35"/>
      <c r="I863" s="36"/>
      <c r="J863" s="37"/>
    </row>
    <row r="864" spans="1:11" ht="20.45" hidden="1" customHeight="1" x14ac:dyDescent="0.6">
      <c r="A864" s="252"/>
      <c r="B864" s="67"/>
      <c r="C864" s="35"/>
      <c r="D864" s="36"/>
      <c r="E864" s="36"/>
      <c r="F864" s="258"/>
      <c r="G864" s="259"/>
      <c r="H864" s="35"/>
      <c r="I864" s="36"/>
      <c r="J864" s="37"/>
    </row>
    <row r="865" spans="1:11" ht="20.45" hidden="1" customHeight="1" x14ac:dyDescent="0.6">
      <c r="A865" s="252"/>
      <c r="B865" s="67"/>
      <c r="C865" s="35"/>
      <c r="D865" s="36"/>
      <c r="E865" s="36"/>
      <c r="F865" s="258"/>
      <c r="G865" s="259"/>
      <c r="H865" s="35"/>
      <c r="I865" s="36"/>
      <c r="J865" s="37"/>
    </row>
    <row r="866" spans="1:11" ht="20.45" hidden="1" customHeight="1" x14ac:dyDescent="0.6">
      <c r="A866" s="253"/>
      <c r="B866" s="68"/>
      <c r="C866" s="39"/>
      <c r="D866" s="40"/>
      <c r="E866" s="40"/>
      <c r="F866" s="260"/>
      <c r="G866" s="261"/>
      <c r="H866" s="39"/>
      <c r="I866" s="68" t="s">
        <v>95</v>
      </c>
      <c r="J866" s="41">
        <f>SUM(C858:H864)</f>
        <v>3300000</v>
      </c>
    </row>
    <row r="867" spans="1:11" ht="20.45" hidden="1" customHeight="1" x14ac:dyDescent="0.6">
      <c r="A867" s="251" t="s">
        <v>96</v>
      </c>
      <c r="B867" s="36" t="s">
        <v>97</v>
      </c>
      <c r="C867" s="35">
        <f>VLOOKUP($K854,임금대장!$A$6:$AH$86,25,0)</f>
        <v>52530</v>
      </c>
      <c r="D867" s="33"/>
      <c r="E867" s="42"/>
      <c r="F867" s="262" t="s">
        <v>14</v>
      </c>
      <c r="G867" s="263"/>
      <c r="H867" s="35">
        <f>VLOOKUP($K854,임금대장!$A$6:$AH$86,19,0)</f>
        <v>0</v>
      </c>
      <c r="I867" s="33"/>
      <c r="J867" s="34"/>
    </row>
    <row r="868" spans="1:11" ht="20.45" hidden="1" customHeight="1" x14ac:dyDescent="0.6">
      <c r="A868" s="252"/>
      <c r="B868" s="36" t="s">
        <v>98</v>
      </c>
      <c r="C868" s="35">
        <f>VLOOKUP($K854,임금대장!$A$6:$AH$86,26,0)</f>
        <v>5250</v>
      </c>
      <c r="D868" s="36"/>
      <c r="E868" s="43"/>
      <c r="F868" s="258" t="s">
        <v>12</v>
      </c>
      <c r="G868" s="259"/>
      <c r="H868" s="35">
        <f>VLOOKUP($K854,임금대장!$A$6:$AH$86,17,0)</f>
        <v>532250</v>
      </c>
      <c r="I868" s="36"/>
      <c r="J868" s="37"/>
    </row>
    <row r="869" spans="1:11" ht="20.45" hidden="1" customHeight="1" x14ac:dyDescent="0.6">
      <c r="A869" s="252"/>
      <c r="B869" s="36" t="s">
        <v>99</v>
      </c>
      <c r="C869" s="35">
        <f>VLOOKUP($K854,임금대장!$A$6:$AH$86,27,0)</f>
        <v>0</v>
      </c>
      <c r="D869" s="36"/>
      <c r="E869" s="44"/>
      <c r="F869" s="258" t="s">
        <v>171</v>
      </c>
      <c r="G869" s="259"/>
      <c r="H869" s="35">
        <f>VLOOKUP($K854,임금대장!$A$6:$AH$86,31,0)</f>
        <v>0</v>
      </c>
      <c r="I869" s="36"/>
      <c r="J869" s="37"/>
    </row>
    <row r="870" spans="1:11" ht="20.45" hidden="1" customHeight="1" x14ac:dyDescent="0.6">
      <c r="A870" s="252"/>
      <c r="B870" s="36" t="s">
        <v>101</v>
      </c>
      <c r="C870" s="35">
        <f>VLOOKUP($K854,임금대장!$A$6:$AH$86,28,0)</f>
        <v>0</v>
      </c>
      <c r="D870" s="36"/>
      <c r="E870" s="43"/>
      <c r="F870" s="258" t="s">
        <v>102</v>
      </c>
      <c r="G870" s="259"/>
      <c r="H870" s="35">
        <f>VLOOKUP($K854,임금대장!$A$6:$AH$86,30,0)</f>
        <v>24900</v>
      </c>
      <c r="I870" s="36"/>
      <c r="J870" s="37"/>
    </row>
    <row r="871" spans="1:11" ht="20.45" hidden="1" customHeight="1" x14ac:dyDescent="0.6">
      <c r="A871" s="252"/>
      <c r="B871" s="36" t="s">
        <v>31</v>
      </c>
      <c r="C871" s="35">
        <f>VLOOKUP($K854,임금대장!$A$6:$AH$86,29,0)</f>
        <v>0</v>
      </c>
      <c r="D871" s="36"/>
      <c r="E871" s="43"/>
      <c r="F871" s="45"/>
      <c r="G871" s="46"/>
      <c r="H871" s="36"/>
      <c r="I871" s="67" t="s">
        <v>103</v>
      </c>
      <c r="J871" s="47">
        <f>SUM(C867:H872)</f>
        <v>614930</v>
      </c>
    </row>
    <row r="872" spans="1:11" ht="20.45" hidden="1" customHeight="1" x14ac:dyDescent="0.6">
      <c r="A872" s="253"/>
      <c r="B872" s="40"/>
      <c r="C872" s="101"/>
      <c r="D872" s="40"/>
      <c r="E872" s="48"/>
      <c r="F872" s="260"/>
      <c r="G872" s="261"/>
      <c r="H872" s="40"/>
      <c r="I872" s="68" t="s">
        <v>104</v>
      </c>
      <c r="J872" s="49">
        <f>J866-J871</f>
        <v>2685070</v>
      </c>
    </row>
    <row r="873" spans="1:11" ht="20.45" hidden="1" customHeight="1" x14ac:dyDescent="0.6">
      <c r="A873" s="50" t="s">
        <v>105</v>
      </c>
      <c r="J873" s="51" t="s">
        <v>0</v>
      </c>
    </row>
    <row r="874" spans="1:11" ht="20.45" hidden="1" customHeight="1" x14ac:dyDescent="0.6">
      <c r="A874" s="50"/>
      <c r="J874" s="51"/>
    </row>
    <row r="875" spans="1:11" ht="20.45" hidden="1" customHeight="1" x14ac:dyDescent="0.6">
      <c r="A875" s="264" t="s">
        <v>170</v>
      </c>
      <c r="B875" s="264"/>
      <c r="C875" s="264"/>
      <c r="D875" s="264"/>
      <c r="E875" s="264"/>
      <c r="F875" s="264"/>
      <c r="G875" s="264"/>
      <c r="H875" s="264"/>
      <c r="I875" s="264"/>
      <c r="J875" s="264"/>
    </row>
    <row r="876" spans="1:11" ht="20.45" hidden="1" customHeight="1" x14ac:dyDescent="0.6">
      <c r="A876" s="286" t="s">
        <v>83</v>
      </c>
      <c r="B876" s="286"/>
      <c r="C876" s="286"/>
      <c r="D876" s="286" t="s">
        <v>84</v>
      </c>
      <c r="E876" s="286"/>
      <c r="F876" s="286" t="s">
        <v>85</v>
      </c>
      <c r="G876" s="286"/>
      <c r="H876" s="286"/>
      <c r="I876" s="286" t="s">
        <v>86</v>
      </c>
      <c r="J876" s="286"/>
    </row>
    <row r="877" spans="1:11" ht="20.45" hidden="1" customHeight="1" x14ac:dyDescent="0.6">
      <c r="A877" s="286" t="str">
        <f>VLOOKUP(K877,임금대장!$A$6:$AH$86,3,0)</f>
        <v>핫/즉석</v>
      </c>
      <c r="B877" s="286"/>
      <c r="C877" s="286"/>
      <c r="D877" s="287" t="str">
        <f>VLOOKUP(K877,임금대장!$A$6:$AH$86,2,0)</f>
        <v>남궁현</v>
      </c>
      <c r="E877" s="287"/>
      <c r="F877" s="287">
        <f>임금대장!$O$3</f>
        <v>31</v>
      </c>
      <c r="G877" s="286"/>
      <c r="H877" s="286"/>
      <c r="I877" s="288">
        <f>VLOOKUP(K877,임금대장!$A$6:$AH$86,16,0)</f>
        <v>12</v>
      </c>
      <c r="J877" s="288"/>
      <c r="K877" s="30">
        <v>39</v>
      </c>
    </row>
    <row r="878" spans="1:11" ht="20.45" hidden="1" customHeight="1" x14ac:dyDescent="0.6">
      <c r="A878" s="286" t="s">
        <v>87</v>
      </c>
      <c r="B878" s="286"/>
      <c r="C878" s="286" t="s">
        <v>5</v>
      </c>
      <c r="D878" s="289">
        <f>VLOOKUP($K877,임금대장!$A$6:$AH$86,5,0)</f>
        <v>46035</v>
      </c>
      <c r="E878" s="289"/>
      <c r="F878" s="114" t="s">
        <v>88</v>
      </c>
      <c r="G878" s="358">
        <f>VLOOKUP(K877,임금대장!$A$6:$AH$86,15,0)</f>
        <v>19</v>
      </c>
      <c r="H878" s="358"/>
      <c r="I878" s="286" t="s">
        <v>89</v>
      </c>
      <c r="J878" s="290">
        <f>VLOOKUP(K877,임금대장!$A$6:$AH$86,17,0)</f>
        <v>1277410</v>
      </c>
    </row>
    <row r="879" spans="1:11" ht="20.45" hidden="1" customHeight="1" x14ac:dyDescent="0.6">
      <c r="A879" s="294">
        <f>VLOOKUP($K877,임금대장!$A$6:$AH$86,7,0)</f>
        <v>3300000</v>
      </c>
      <c r="B879" s="294"/>
      <c r="C879" s="286"/>
      <c r="D879" s="289"/>
      <c r="E879" s="289"/>
      <c r="F879" s="115" t="s">
        <v>90</v>
      </c>
      <c r="G879" s="359">
        <f>VLOOKUP(K877,임금대장!$A$6:$AH$86,16,0)</f>
        <v>12</v>
      </c>
      <c r="H879" s="359"/>
      <c r="I879" s="286"/>
      <c r="J879" s="290"/>
    </row>
    <row r="880" spans="1:11" ht="20.45" hidden="1" customHeight="1" x14ac:dyDescent="0.6">
      <c r="F880" s="250"/>
      <c r="G880" s="250"/>
      <c r="H880" s="32"/>
    </row>
    <row r="881" spans="1:10" ht="20.45" hidden="1" customHeight="1" x14ac:dyDescent="0.6">
      <c r="A881" s="251" t="s">
        <v>91</v>
      </c>
      <c r="B881" s="69" t="s">
        <v>20</v>
      </c>
      <c r="C881" s="25">
        <f>VLOOKUP($K877,임금대장!$A$6:$AH$86,9,0)</f>
        <v>2370104</v>
      </c>
      <c r="D881" s="33"/>
      <c r="E881" s="69"/>
      <c r="F881" s="254"/>
      <c r="G881" s="255"/>
      <c r="H881" s="25"/>
      <c r="I881" s="33"/>
      <c r="J881" s="34"/>
    </row>
    <row r="882" spans="1:10" ht="20.45" hidden="1" customHeight="1" x14ac:dyDescent="0.6">
      <c r="A882" s="252"/>
      <c r="B882" s="67" t="s">
        <v>21</v>
      </c>
      <c r="C882" s="35">
        <f>VLOOKUP($K877,임금대장!$A$6:$AH$86,10,0)</f>
        <v>739381</v>
      </c>
      <c r="D882" s="36"/>
      <c r="E882" s="67"/>
      <c r="F882" s="256"/>
      <c r="G882" s="257"/>
      <c r="H882" s="35"/>
      <c r="I882" s="36"/>
      <c r="J882" s="37"/>
    </row>
    <row r="883" spans="1:10" ht="20.45" hidden="1" customHeight="1" x14ac:dyDescent="0.6">
      <c r="A883" s="252"/>
      <c r="B883" s="52" t="s">
        <v>92</v>
      </c>
      <c r="C883" s="35">
        <f>VLOOKUP($K877,임금대장!$A$6:$AH$86,11,0)</f>
        <v>99794</v>
      </c>
      <c r="D883" s="36"/>
      <c r="E883" s="67"/>
      <c r="F883" s="256"/>
      <c r="G883" s="257"/>
      <c r="H883" s="35"/>
      <c r="I883" s="36"/>
      <c r="J883" s="37"/>
    </row>
    <row r="884" spans="1:10" ht="20.45" hidden="1" customHeight="1" x14ac:dyDescent="0.6">
      <c r="A884" s="252"/>
      <c r="B884" s="67" t="s">
        <v>115</v>
      </c>
      <c r="C884" s="35">
        <f>VLOOKUP($K877,임금대장!$A$6:$AH$86,12,0)</f>
        <v>0</v>
      </c>
      <c r="D884" s="36"/>
      <c r="E884" s="67"/>
      <c r="F884" s="256"/>
      <c r="G884" s="257"/>
      <c r="H884" s="35"/>
      <c r="I884" s="36"/>
      <c r="J884" s="37"/>
    </row>
    <row r="885" spans="1:10" ht="20.45" hidden="1" customHeight="1" x14ac:dyDescent="0.6">
      <c r="A885" s="252"/>
      <c r="B885" s="67" t="s">
        <v>94</v>
      </c>
      <c r="C885" s="35">
        <f>VLOOKUP($K877,임금대장!$A$6:$AH$86,13,0)</f>
        <v>90722</v>
      </c>
      <c r="D885" s="36"/>
      <c r="E885" s="36"/>
      <c r="F885" s="258"/>
      <c r="G885" s="259"/>
      <c r="H885" s="35"/>
      <c r="I885" s="36"/>
      <c r="J885" s="37"/>
    </row>
    <row r="886" spans="1:10" ht="20.45" hidden="1" customHeight="1" x14ac:dyDescent="0.6">
      <c r="A886" s="252"/>
      <c r="B886" s="67" t="s">
        <v>24</v>
      </c>
      <c r="C886" s="102">
        <f>VLOOKUP($K877,임금대장!$A$6:$AH$86,14,0)</f>
        <v>0</v>
      </c>
      <c r="D886" s="36"/>
      <c r="E886" s="36"/>
      <c r="F886" s="258"/>
      <c r="G886" s="259"/>
      <c r="H886" s="35"/>
      <c r="I886" s="36"/>
      <c r="J886" s="37"/>
    </row>
    <row r="887" spans="1:10" ht="20.45" hidden="1" customHeight="1" x14ac:dyDescent="0.6">
      <c r="A887" s="252"/>
      <c r="B887" s="67"/>
      <c r="C887" s="35"/>
      <c r="D887" s="36"/>
      <c r="E887" s="36"/>
      <c r="F887" s="258"/>
      <c r="G887" s="259"/>
      <c r="H887" s="35"/>
      <c r="I887" s="36"/>
      <c r="J887" s="37"/>
    </row>
    <row r="888" spans="1:10" ht="20.45" hidden="1" customHeight="1" x14ac:dyDescent="0.6">
      <c r="A888" s="252"/>
      <c r="B888" s="67"/>
      <c r="C888" s="35"/>
      <c r="D888" s="36"/>
      <c r="E888" s="36"/>
      <c r="F888" s="258"/>
      <c r="G888" s="259"/>
      <c r="H888" s="35"/>
      <c r="I888" s="36"/>
      <c r="J888" s="37"/>
    </row>
    <row r="889" spans="1:10" ht="20.45" hidden="1" customHeight="1" x14ac:dyDescent="0.6">
      <c r="A889" s="253"/>
      <c r="B889" s="68"/>
      <c r="C889" s="39"/>
      <c r="D889" s="40"/>
      <c r="E889" s="40"/>
      <c r="F889" s="260"/>
      <c r="G889" s="261"/>
      <c r="H889" s="39"/>
      <c r="I889" s="68" t="s">
        <v>95</v>
      </c>
      <c r="J889" s="41">
        <f>SUM(C881:H887)</f>
        <v>3300001</v>
      </c>
    </row>
    <row r="890" spans="1:10" ht="20.45" hidden="1" customHeight="1" x14ac:dyDescent="0.6">
      <c r="A890" s="251" t="s">
        <v>96</v>
      </c>
      <c r="B890" s="36" t="s">
        <v>97</v>
      </c>
      <c r="C890" s="35">
        <f>VLOOKUP($K877,임금대장!$A$6:$AH$86,25,0)</f>
        <v>19850</v>
      </c>
      <c r="D890" s="33"/>
      <c r="E890" s="42"/>
      <c r="F890" s="262" t="s">
        <v>14</v>
      </c>
      <c r="G890" s="263"/>
      <c r="H890" s="35">
        <f>VLOOKUP($K877,임금대장!$A$6:$AH$86,19,0)</f>
        <v>0</v>
      </c>
      <c r="I890" s="33"/>
      <c r="J890" s="34"/>
    </row>
    <row r="891" spans="1:10" ht="20.45" hidden="1" customHeight="1" x14ac:dyDescent="0.6">
      <c r="A891" s="252"/>
      <c r="B891" s="36" t="s">
        <v>98</v>
      </c>
      <c r="C891" s="35">
        <f>VLOOKUP($K877,임금대장!$A$6:$AH$86,26,0)</f>
        <v>1980</v>
      </c>
      <c r="D891" s="36"/>
      <c r="E891" s="43"/>
      <c r="F891" s="258" t="s">
        <v>12</v>
      </c>
      <c r="G891" s="259"/>
      <c r="H891" s="35">
        <f>VLOOKUP($K877,임금대장!$A$6:$AH$86,17,0)</f>
        <v>1277410</v>
      </c>
      <c r="I891" s="36"/>
      <c r="J891" s="37"/>
    </row>
    <row r="892" spans="1:10" ht="20.45" hidden="1" customHeight="1" x14ac:dyDescent="0.6">
      <c r="A892" s="252"/>
      <c r="B892" s="36" t="s">
        <v>99</v>
      </c>
      <c r="C892" s="35">
        <f>VLOOKUP($K877,임금대장!$A$6:$AH$86,27,0)</f>
        <v>0</v>
      </c>
      <c r="D892" s="36"/>
      <c r="E892" s="44"/>
      <c r="F892" s="258" t="s">
        <v>171</v>
      </c>
      <c r="G892" s="259"/>
      <c r="H892" s="35">
        <f>VLOOKUP($K877,임금대장!$A$6:$AH$86,31,0)</f>
        <v>0</v>
      </c>
      <c r="I892" s="36"/>
      <c r="J892" s="37"/>
    </row>
    <row r="893" spans="1:10" ht="20.45" hidden="1" customHeight="1" x14ac:dyDescent="0.6">
      <c r="A893" s="252"/>
      <c r="B893" s="36" t="s">
        <v>101</v>
      </c>
      <c r="C893" s="35">
        <f>VLOOKUP($K877,임금대장!$A$6:$AH$86,28,0)</f>
        <v>0</v>
      </c>
      <c r="D893" s="36"/>
      <c r="E893" s="43"/>
      <c r="F893" s="258" t="s">
        <v>102</v>
      </c>
      <c r="G893" s="259"/>
      <c r="H893" s="35">
        <f>VLOOKUP($K877,임금대장!$A$6:$AH$86,30,0)</f>
        <v>18200</v>
      </c>
      <c r="I893" s="36"/>
      <c r="J893" s="37"/>
    </row>
    <row r="894" spans="1:10" ht="20.45" hidden="1" customHeight="1" x14ac:dyDescent="0.6">
      <c r="A894" s="252"/>
      <c r="B894" s="36" t="s">
        <v>31</v>
      </c>
      <c r="C894" s="35">
        <f>VLOOKUP($K877,임금대장!$A$6:$AH$86,29,0)</f>
        <v>0</v>
      </c>
      <c r="D894" s="36"/>
      <c r="E894" s="43"/>
      <c r="F894" s="45"/>
      <c r="G894" s="46"/>
      <c r="H894" s="36"/>
      <c r="I894" s="67" t="s">
        <v>103</v>
      </c>
      <c r="J894" s="47">
        <f>SUM(C890:H895)</f>
        <v>1317440</v>
      </c>
    </row>
    <row r="895" spans="1:10" ht="20.45" hidden="1" customHeight="1" x14ac:dyDescent="0.6">
      <c r="A895" s="253"/>
      <c r="B895" s="40"/>
      <c r="C895" s="101"/>
      <c r="D895" s="40"/>
      <c r="E895" s="48"/>
      <c r="F895" s="260"/>
      <c r="G895" s="261"/>
      <c r="H895" s="40"/>
      <c r="I895" s="68" t="s">
        <v>104</v>
      </c>
      <c r="J895" s="49">
        <f>J889-J894</f>
        <v>1982561</v>
      </c>
    </row>
    <row r="896" spans="1:10" ht="20.45" hidden="1" customHeight="1" x14ac:dyDescent="0.6">
      <c r="A896" s="50" t="s">
        <v>105</v>
      </c>
      <c r="J896" s="51" t="s">
        <v>0</v>
      </c>
    </row>
    <row r="897" spans="1:11" ht="20.45" hidden="1" customHeight="1" x14ac:dyDescent="0.6">
      <c r="A897" s="50"/>
      <c r="J897" s="51"/>
    </row>
    <row r="898" spans="1:11" ht="20.45" hidden="1" customHeight="1" x14ac:dyDescent="0.6">
      <c r="A898" s="264" t="s">
        <v>170</v>
      </c>
      <c r="B898" s="264"/>
      <c r="C898" s="264"/>
      <c r="D898" s="264"/>
      <c r="E898" s="264"/>
      <c r="F898" s="264"/>
      <c r="G898" s="264"/>
      <c r="H898" s="264"/>
      <c r="I898" s="264"/>
      <c r="J898" s="264"/>
    </row>
    <row r="899" spans="1:11" ht="20.45" hidden="1" customHeight="1" x14ac:dyDescent="0.6">
      <c r="A899" s="286" t="s">
        <v>83</v>
      </c>
      <c r="B899" s="286"/>
      <c r="C899" s="286"/>
      <c r="D899" s="286" t="s">
        <v>84</v>
      </c>
      <c r="E899" s="286"/>
      <c r="F899" s="286" t="s">
        <v>85</v>
      </c>
      <c r="G899" s="286"/>
      <c r="H899" s="286"/>
      <c r="I899" s="286" t="s">
        <v>86</v>
      </c>
      <c r="J899" s="286"/>
    </row>
    <row r="900" spans="1:11" ht="20.45" hidden="1" customHeight="1" x14ac:dyDescent="0.6">
      <c r="A900" s="286" t="str">
        <f>VLOOKUP(K900,임금대장!$A$6:$AH$86,3,0)</f>
        <v>파트</v>
      </c>
      <c r="B900" s="286"/>
      <c r="C900" s="286"/>
      <c r="D900" s="287" t="str">
        <f>VLOOKUP(K900,임금대장!$A$6:$AH$86,2,0)</f>
        <v>홍이준</v>
      </c>
      <c r="E900" s="287"/>
      <c r="F900" s="287">
        <f>임금대장!$O$3</f>
        <v>31</v>
      </c>
      <c r="G900" s="286"/>
      <c r="H900" s="286"/>
      <c r="I900" s="288">
        <f>VLOOKUP(K900,임금대장!$A$6:$AH$86,16,0)</f>
        <v>0</v>
      </c>
      <c r="J900" s="288"/>
      <c r="K900" s="30">
        <v>40</v>
      </c>
    </row>
    <row r="901" spans="1:11" ht="20.45" hidden="1" customHeight="1" x14ac:dyDescent="0.6">
      <c r="A901" s="286" t="s">
        <v>87</v>
      </c>
      <c r="B901" s="286"/>
      <c r="C901" s="286" t="s">
        <v>5</v>
      </c>
      <c r="D901" s="289">
        <f>VLOOKUP($K900,임금대장!$A$6:$AH$86,5,0)</f>
        <v>0</v>
      </c>
      <c r="E901" s="289"/>
      <c r="F901" s="114" t="s">
        <v>88</v>
      </c>
      <c r="G901" s="358">
        <f>VLOOKUP(K900,임금대장!$A$6:$AH$86,15,0)</f>
        <v>80.5</v>
      </c>
      <c r="H901" s="358"/>
      <c r="I901" s="286" t="s">
        <v>89</v>
      </c>
      <c r="J901" s="290">
        <f>VLOOKUP(K900,임금대장!$A$6:$AH$86,17,0)</f>
        <v>0</v>
      </c>
    </row>
    <row r="902" spans="1:11" ht="20.45" hidden="1" customHeight="1" x14ac:dyDescent="0.6">
      <c r="A902" s="294">
        <f>VLOOKUP($K900,임금대장!$A$6:$AH$86,7,0)</f>
        <v>1046500</v>
      </c>
      <c r="B902" s="294"/>
      <c r="C902" s="286"/>
      <c r="D902" s="289"/>
      <c r="E902" s="289"/>
      <c r="F902" s="115" t="s">
        <v>90</v>
      </c>
      <c r="G902" s="359">
        <f>VLOOKUP(K900,임금대장!$A$6:$AH$86,16,0)</f>
        <v>0</v>
      </c>
      <c r="H902" s="359"/>
      <c r="I902" s="286"/>
      <c r="J902" s="290"/>
    </row>
    <row r="903" spans="1:11" ht="20.45" hidden="1" customHeight="1" x14ac:dyDescent="0.6">
      <c r="F903" s="250"/>
      <c r="G903" s="250"/>
      <c r="H903" s="32"/>
    </row>
    <row r="904" spans="1:11" ht="20.45" hidden="1" customHeight="1" x14ac:dyDescent="0.6">
      <c r="A904" s="251" t="s">
        <v>91</v>
      </c>
      <c r="B904" s="69" t="s">
        <v>20</v>
      </c>
      <c r="C904" s="25">
        <f>VLOOKUP($K900,임금대장!$A$6:$AH$86,9,0)</f>
        <v>1046500</v>
      </c>
      <c r="D904" s="33"/>
      <c r="E904" s="69"/>
      <c r="F904" s="254"/>
      <c r="G904" s="255"/>
      <c r="H904" s="25"/>
      <c r="I904" s="33"/>
      <c r="J904" s="34"/>
    </row>
    <row r="905" spans="1:11" ht="20.45" hidden="1" customHeight="1" x14ac:dyDescent="0.6">
      <c r="A905" s="252"/>
      <c r="B905" s="67" t="s">
        <v>21</v>
      </c>
      <c r="C905" s="35">
        <f>VLOOKUP($K900,임금대장!$A$6:$AH$86,10,0)</f>
        <v>0</v>
      </c>
      <c r="D905" s="36"/>
      <c r="E905" s="67"/>
      <c r="F905" s="256"/>
      <c r="G905" s="257"/>
      <c r="H905" s="35"/>
      <c r="I905" s="36"/>
      <c r="J905" s="37"/>
    </row>
    <row r="906" spans="1:11" ht="20.45" hidden="1" customHeight="1" x14ac:dyDescent="0.6">
      <c r="A906" s="252"/>
      <c r="B906" s="52" t="s">
        <v>92</v>
      </c>
      <c r="C906" s="35">
        <f>VLOOKUP($K900,임금대장!$A$6:$AH$86,11,0)</f>
        <v>0</v>
      </c>
      <c r="D906" s="36"/>
      <c r="E906" s="67"/>
      <c r="F906" s="256"/>
      <c r="G906" s="257"/>
      <c r="H906" s="35"/>
      <c r="I906" s="36"/>
      <c r="J906" s="37"/>
    </row>
    <row r="907" spans="1:11" ht="20.45" hidden="1" customHeight="1" x14ac:dyDescent="0.6">
      <c r="A907" s="252"/>
      <c r="B907" s="67" t="s">
        <v>115</v>
      </c>
      <c r="C907" s="35">
        <f>VLOOKUP($K900,임금대장!$A$6:$AH$86,12,0)</f>
        <v>0</v>
      </c>
      <c r="D907" s="36"/>
      <c r="E907" s="67"/>
      <c r="F907" s="256"/>
      <c r="G907" s="257"/>
      <c r="H907" s="35"/>
      <c r="I907" s="36"/>
      <c r="J907" s="37"/>
    </row>
    <row r="908" spans="1:11" ht="20.45" hidden="1" customHeight="1" x14ac:dyDescent="0.6">
      <c r="A908" s="252"/>
      <c r="B908" s="67" t="s">
        <v>94</v>
      </c>
      <c r="C908" s="35">
        <f>VLOOKUP($K900,임금대장!$A$6:$AH$86,13,0)</f>
        <v>0</v>
      </c>
      <c r="D908" s="36"/>
      <c r="E908" s="36"/>
      <c r="F908" s="258"/>
      <c r="G908" s="259"/>
      <c r="H908" s="35"/>
      <c r="I908" s="36"/>
      <c r="J908" s="37"/>
    </row>
    <row r="909" spans="1:11" ht="20.45" hidden="1" customHeight="1" x14ac:dyDescent="0.6">
      <c r="A909" s="252"/>
      <c r="B909" s="67" t="s">
        <v>24</v>
      </c>
      <c r="C909" s="102">
        <f>VLOOKUP($K900,임금대장!$A$6:$AH$86,14,0)</f>
        <v>0</v>
      </c>
      <c r="D909" s="36"/>
      <c r="E909" s="36"/>
      <c r="F909" s="258"/>
      <c r="G909" s="259"/>
      <c r="H909" s="35"/>
      <c r="I909" s="36"/>
      <c r="J909" s="37"/>
    </row>
    <row r="910" spans="1:11" ht="20.45" hidden="1" customHeight="1" x14ac:dyDescent="0.6">
      <c r="A910" s="252"/>
      <c r="B910" s="67"/>
      <c r="C910" s="35"/>
      <c r="D910" s="36"/>
      <c r="E910" s="36"/>
      <c r="F910" s="258"/>
      <c r="G910" s="259"/>
      <c r="H910" s="35"/>
      <c r="I910" s="36"/>
      <c r="J910" s="37"/>
    </row>
    <row r="911" spans="1:11" ht="20.45" hidden="1" customHeight="1" x14ac:dyDescent="0.6">
      <c r="A911" s="252"/>
      <c r="B911" s="67"/>
      <c r="C911" s="35"/>
      <c r="D911" s="36"/>
      <c r="E911" s="36"/>
      <c r="F911" s="258"/>
      <c r="G911" s="259"/>
      <c r="H911" s="35"/>
      <c r="I911" s="36"/>
      <c r="J911" s="37"/>
    </row>
    <row r="912" spans="1:11" ht="20.45" hidden="1" customHeight="1" x14ac:dyDescent="0.6">
      <c r="A912" s="253"/>
      <c r="B912" s="68"/>
      <c r="C912" s="39"/>
      <c r="D912" s="40"/>
      <c r="E912" s="40"/>
      <c r="F912" s="260"/>
      <c r="G912" s="261"/>
      <c r="H912" s="39"/>
      <c r="I912" s="68" t="s">
        <v>95</v>
      </c>
      <c r="J912" s="41">
        <f>SUM(C904:H910)</f>
        <v>1046500</v>
      </c>
    </row>
    <row r="913" spans="1:11" ht="20.45" hidden="1" customHeight="1" x14ac:dyDescent="0.6">
      <c r="A913" s="251" t="s">
        <v>96</v>
      </c>
      <c r="B913" s="36" t="s">
        <v>97</v>
      </c>
      <c r="C913" s="35">
        <f>VLOOKUP($K900,임금대장!$A$6:$AH$86,25,0)</f>
        <v>31390</v>
      </c>
      <c r="D913" s="33"/>
      <c r="E913" s="42"/>
      <c r="F913" s="262" t="s">
        <v>14</v>
      </c>
      <c r="G913" s="263"/>
      <c r="H913" s="35">
        <f>VLOOKUP($K900,임금대장!$A$6:$AH$86,19,0)</f>
        <v>0</v>
      </c>
      <c r="I913" s="33"/>
      <c r="J913" s="34"/>
    </row>
    <row r="914" spans="1:11" ht="20.45" hidden="1" customHeight="1" x14ac:dyDescent="0.6">
      <c r="A914" s="252"/>
      <c r="B914" s="36" t="s">
        <v>98</v>
      </c>
      <c r="C914" s="35">
        <f>VLOOKUP($K900,임금대장!$A$6:$AH$86,26,0)</f>
        <v>3130</v>
      </c>
      <c r="D914" s="36"/>
      <c r="E914" s="43"/>
      <c r="F914" s="258" t="s">
        <v>12</v>
      </c>
      <c r="G914" s="259"/>
      <c r="H914" s="35">
        <f>VLOOKUP($K900,임금대장!$A$6:$AH$86,17,0)</f>
        <v>0</v>
      </c>
      <c r="I914" s="36"/>
      <c r="J914" s="37"/>
    </row>
    <row r="915" spans="1:11" ht="20.45" hidden="1" customHeight="1" x14ac:dyDescent="0.6">
      <c r="A915" s="252"/>
      <c r="B915" s="36" t="s">
        <v>99</v>
      </c>
      <c r="C915" s="35">
        <f>VLOOKUP($K900,임금대장!$A$6:$AH$86,27,0)</f>
        <v>0</v>
      </c>
      <c r="D915" s="36"/>
      <c r="E915" s="44"/>
      <c r="F915" s="258" t="s">
        <v>171</v>
      </c>
      <c r="G915" s="259"/>
      <c r="H915" s="35">
        <f>VLOOKUP($K900,임금대장!$A$6:$AH$86,31,0)</f>
        <v>0</v>
      </c>
      <c r="I915" s="36"/>
      <c r="J915" s="37"/>
    </row>
    <row r="916" spans="1:11" ht="20.45" hidden="1" customHeight="1" x14ac:dyDescent="0.6">
      <c r="A916" s="252"/>
      <c r="B916" s="36" t="s">
        <v>101</v>
      </c>
      <c r="C916" s="35">
        <f>VLOOKUP($K900,임금대장!$A$6:$AH$86,28,0)</f>
        <v>0</v>
      </c>
      <c r="D916" s="36"/>
      <c r="E916" s="43"/>
      <c r="F916" s="258" t="s">
        <v>102</v>
      </c>
      <c r="G916" s="259"/>
      <c r="H916" s="35">
        <f>VLOOKUP($K900,임금대장!$A$6:$AH$86,30,0)</f>
        <v>0</v>
      </c>
      <c r="I916" s="36"/>
      <c r="J916" s="37"/>
    </row>
    <row r="917" spans="1:11" ht="20.45" hidden="1" customHeight="1" x14ac:dyDescent="0.6">
      <c r="A917" s="252"/>
      <c r="B917" s="36" t="s">
        <v>31</v>
      </c>
      <c r="C917" s="35">
        <f>VLOOKUP($K900,임금대장!$A$6:$AH$86,29,0)</f>
        <v>0</v>
      </c>
      <c r="D917" s="36"/>
      <c r="E917" s="43"/>
      <c r="F917" s="45"/>
      <c r="G917" s="46"/>
      <c r="H917" s="36"/>
      <c r="I917" s="67" t="s">
        <v>103</v>
      </c>
      <c r="J917" s="47">
        <f>SUM(C913:H918)</f>
        <v>34520</v>
      </c>
    </row>
    <row r="918" spans="1:11" ht="20.45" hidden="1" customHeight="1" x14ac:dyDescent="0.6">
      <c r="A918" s="253"/>
      <c r="B918" s="40"/>
      <c r="C918" s="101"/>
      <c r="D918" s="40"/>
      <c r="E918" s="48"/>
      <c r="F918" s="260"/>
      <c r="G918" s="261"/>
      <c r="H918" s="40"/>
      <c r="I918" s="68" t="s">
        <v>104</v>
      </c>
      <c r="J918" s="49">
        <f>J912-J917</f>
        <v>1011980</v>
      </c>
    </row>
    <row r="919" spans="1:11" ht="20.45" hidden="1" customHeight="1" x14ac:dyDescent="0.6">
      <c r="A919" s="50" t="s">
        <v>105</v>
      </c>
      <c r="J919" s="51" t="s">
        <v>0</v>
      </c>
    </row>
    <row r="920" spans="1:11" ht="20.45" hidden="1" customHeight="1" x14ac:dyDescent="0.6">
      <c r="A920" s="50"/>
      <c r="J920" s="51"/>
    </row>
    <row r="921" spans="1:11" ht="20.45" hidden="1" customHeight="1" x14ac:dyDescent="0.6">
      <c r="A921" s="264" t="s">
        <v>170</v>
      </c>
      <c r="B921" s="264"/>
      <c r="C921" s="264"/>
      <c r="D921" s="264"/>
      <c r="E921" s="264"/>
      <c r="F921" s="264"/>
      <c r="G921" s="264"/>
      <c r="H921" s="264"/>
      <c r="I921" s="264"/>
      <c r="J921" s="264"/>
    </row>
    <row r="922" spans="1:11" ht="20.45" hidden="1" customHeight="1" x14ac:dyDescent="0.6">
      <c r="A922" s="286" t="s">
        <v>83</v>
      </c>
      <c r="B922" s="286"/>
      <c r="C922" s="286"/>
      <c r="D922" s="286" t="s">
        <v>84</v>
      </c>
      <c r="E922" s="286"/>
      <c r="F922" s="286" t="s">
        <v>85</v>
      </c>
      <c r="G922" s="286"/>
      <c r="H922" s="286"/>
      <c r="I922" s="286" t="s">
        <v>86</v>
      </c>
      <c r="J922" s="286"/>
    </row>
    <row r="923" spans="1:11" ht="20.45" hidden="1" customHeight="1" x14ac:dyDescent="0.6">
      <c r="A923" s="286" t="str">
        <f>VLOOKUP(K923,임금대장!$A$6:$AH$86,3,0)</f>
        <v>파트</v>
      </c>
      <c r="B923" s="286"/>
      <c r="C923" s="286"/>
      <c r="D923" s="287" t="str">
        <f>VLOOKUP(K923,임금대장!$A$6:$AH$86,2,0)</f>
        <v>박경찬</v>
      </c>
      <c r="E923" s="287"/>
      <c r="F923" s="287">
        <f>임금대장!$O$3</f>
        <v>31</v>
      </c>
      <c r="G923" s="286"/>
      <c r="H923" s="286"/>
      <c r="I923" s="288">
        <f>VLOOKUP(K923,임금대장!$A$6:$AH$86,16,0)</f>
        <v>0</v>
      </c>
      <c r="J923" s="288"/>
      <c r="K923" s="30">
        <v>41</v>
      </c>
    </row>
    <row r="924" spans="1:11" ht="20.45" hidden="1" customHeight="1" x14ac:dyDescent="0.6">
      <c r="A924" s="286" t="s">
        <v>87</v>
      </c>
      <c r="B924" s="286"/>
      <c r="C924" s="286" t="s">
        <v>5</v>
      </c>
      <c r="D924" s="289">
        <f>VLOOKUP($K923,임금대장!$A$6:$AH$86,5,0)</f>
        <v>0</v>
      </c>
      <c r="E924" s="289"/>
      <c r="F924" s="114" t="s">
        <v>88</v>
      </c>
      <c r="G924" s="358">
        <f>VLOOKUP(K923,임금대장!$A$6:$AH$86,15,0)</f>
        <v>84</v>
      </c>
      <c r="H924" s="358"/>
      <c r="I924" s="286" t="s">
        <v>89</v>
      </c>
      <c r="J924" s="290">
        <f>VLOOKUP(K923,임금대장!$A$6:$AH$86,17,0)</f>
        <v>0</v>
      </c>
    </row>
    <row r="925" spans="1:11" ht="20.45" hidden="1" customHeight="1" x14ac:dyDescent="0.6">
      <c r="A925" s="294">
        <f>VLOOKUP($K923,임금대장!$A$6:$AH$86,7,0)</f>
        <v>1092000</v>
      </c>
      <c r="B925" s="294"/>
      <c r="C925" s="286"/>
      <c r="D925" s="289"/>
      <c r="E925" s="289"/>
      <c r="F925" s="115" t="s">
        <v>90</v>
      </c>
      <c r="G925" s="359">
        <f>VLOOKUP(K923,임금대장!$A$6:$AH$86,16,0)</f>
        <v>0</v>
      </c>
      <c r="H925" s="359"/>
      <c r="I925" s="286"/>
      <c r="J925" s="290"/>
    </row>
    <row r="926" spans="1:11" ht="20.45" hidden="1" customHeight="1" x14ac:dyDescent="0.6">
      <c r="F926" s="250"/>
      <c r="G926" s="250"/>
      <c r="H926" s="32"/>
    </row>
    <row r="927" spans="1:11" ht="20.45" hidden="1" customHeight="1" x14ac:dyDescent="0.6">
      <c r="A927" s="251" t="s">
        <v>91</v>
      </c>
      <c r="B927" s="69" t="s">
        <v>20</v>
      </c>
      <c r="C927" s="25">
        <f>VLOOKUP($K923,임금대장!$A$6:$AH$86,9,0)</f>
        <v>1092000</v>
      </c>
      <c r="D927" s="33"/>
      <c r="E927" s="69"/>
      <c r="F927" s="254"/>
      <c r="G927" s="255"/>
      <c r="H927" s="25"/>
      <c r="I927" s="33"/>
      <c r="J927" s="34"/>
    </row>
    <row r="928" spans="1:11" ht="20.45" hidden="1" customHeight="1" x14ac:dyDescent="0.6">
      <c r="A928" s="252"/>
      <c r="B928" s="67" t="s">
        <v>21</v>
      </c>
      <c r="C928" s="35">
        <f>VLOOKUP($K923,임금대장!$A$6:$AH$86,10,0)</f>
        <v>0</v>
      </c>
      <c r="D928" s="36"/>
      <c r="E928" s="67"/>
      <c r="F928" s="256"/>
      <c r="G928" s="257"/>
      <c r="H928" s="35"/>
      <c r="I928" s="36"/>
      <c r="J928" s="37"/>
    </row>
    <row r="929" spans="1:10" ht="20.45" hidden="1" customHeight="1" x14ac:dyDescent="0.6">
      <c r="A929" s="252"/>
      <c r="B929" s="52" t="s">
        <v>92</v>
      </c>
      <c r="C929" s="35">
        <f>VLOOKUP($K923,임금대장!$A$6:$AH$86,11,0)</f>
        <v>0</v>
      </c>
      <c r="D929" s="36"/>
      <c r="E929" s="67"/>
      <c r="F929" s="256"/>
      <c r="G929" s="257"/>
      <c r="H929" s="35"/>
      <c r="I929" s="36"/>
      <c r="J929" s="37"/>
    </row>
    <row r="930" spans="1:10" ht="20.45" hidden="1" customHeight="1" x14ac:dyDescent="0.6">
      <c r="A930" s="252"/>
      <c r="B930" s="67" t="s">
        <v>115</v>
      </c>
      <c r="C930" s="35">
        <f>VLOOKUP($K923,임금대장!$A$6:$AH$86,12,0)</f>
        <v>0</v>
      </c>
      <c r="D930" s="36"/>
      <c r="E930" s="67"/>
      <c r="F930" s="256"/>
      <c r="G930" s="257"/>
      <c r="H930" s="35"/>
      <c r="I930" s="36"/>
      <c r="J930" s="37"/>
    </row>
    <row r="931" spans="1:10" ht="20.45" hidden="1" customHeight="1" x14ac:dyDescent="0.6">
      <c r="A931" s="252"/>
      <c r="B931" s="67" t="s">
        <v>94</v>
      </c>
      <c r="C931" s="35">
        <f>VLOOKUP($K923,임금대장!$A$6:$AH$86,13,0)</f>
        <v>0</v>
      </c>
      <c r="D931" s="36"/>
      <c r="E931" s="36"/>
      <c r="F931" s="258"/>
      <c r="G931" s="259"/>
      <c r="H931" s="35"/>
      <c r="I931" s="36"/>
      <c r="J931" s="37"/>
    </row>
    <row r="932" spans="1:10" ht="20.45" hidden="1" customHeight="1" x14ac:dyDescent="0.6">
      <c r="A932" s="252"/>
      <c r="B932" s="67" t="s">
        <v>24</v>
      </c>
      <c r="C932" s="102">
        <f>VLOOKUP($K923,임금대장!$A$6:$AH$86,14,0)</f>
        <v>0</v>
      </c>
      <c r="D932" s="36"/>
      <c r="E932" s="36"/>
      <c r="F932" s="258"/>
      <c r="G932" s="259"/>
      <c r="H932" s="35"/>
      <c r="I932" s="36"/>
      <c r="J932" s="37"/>
    </row>
    <row r="933" spans="1:10" ht="20.45" hidden="1" customHeight="1" x14ac:dyDescent="0.6">
      <c r="A933" s="252"/>
      <c r="B933" s="67"/>
      <c r="C933" s="35"/>
      <c r="D933" s="36"/>
      <c r="E933" s="36"/>
      <c r="F933" s="258"/>
      <c r="G933" s="259"/>
      <c r="H933" s="35"/>
      <c r="I933" s="36"/>
      <c r="J933" s="37"/>
    </row>
    <row r="934" spans="1:10" ht="20.45" hidden="1" customHeight="1" x14ac:dyDescent="0.6">
      <c r="A934" s="252"/>
      <c r="B934" s="67"/>
      <c r="C934" s="35"/>
      <c r="D934" s="36"/>
      <c r="E934" s="36"/>
      <c r="F934" s="258"/>
      <c r="G934" s="259"/>
      <c r="H934" s="35"/>
      <c r="I934" s="36"/>
      <c r="J934" s="37"/>
    </row>
    <row r="935" spans="1:10" ht="20.45" hidden="1" customHeight="1" x14ac:dyDescent="0.6">
      <c r="A935" s="253"/>
      <c r="B935" s="68"/>
      <c r="C935" s="39"/>
      <c r="D935" s="40"/>
      <c r="E935" s="40"/>
      <c r="F935" s="260"/>
      <c r="G935" s="261"/>
      <c r="H935" s="39"/>
      <c r="I935" s="68" t="s">
        <v>95</v>
      </c>
      <c r="J935" s="41">
        <f>SUM(C927:H933)</f>
        <v>1092000</v>
      </c>
    </row>
    <row r="936" spans="1:10" ht="20.45" hidden="1" customHeight="1" x14ac:dyDescent="0.6">
      <c r="A936" s="251" t="s">
        <v>96</v>
      </c>
      <c r="B936" s="36" t="s">
        <v>97</v>
      </c>
      <c r="C936" s="35">
        <f>VLOOKUP($K923,임금대장!$A$6:$AH$86,25,0)</f>
        <v>32760</v>
      </c>
      <c r="D936" s="33"/>
      <c r="E936" s="42"/>
      <c r="F936" s="262" t="s">
        <v>14</v>
      </c>
      <c r="G936" s="263"/>
      <c r="H936" s="35">
        <f>VLOOKUP($K923,임금대장!$A$6:$AH$86,19,0)</f>
        <v>0</v>
      </c>
      <c r="I936" s="33"/>
      <c r="J936" s="34"/>
    </row>
    <row r="937" spans="1:10" ht="20.45" hidden="1" customHeight="1" x14ac:dyDescent="0.6">
      <c r="A937" s="252"/>
      <c r="B937" s="36" t="s">
        <v>98</v>
      </c>
      <c r="C937" s="35">
        <f>VLOOKUP($K923,임금대장!$A$6:$AH$86,26,0)</f>
        <v>3270</v>
      </c>
      <c r="D937" s="36"/>
      <c r="E937" s="43"/>
      <c r="F937" s="258" t="s">
        <v>12</v>
      </c>
      <c r="G937" s="259"/>
      <c r="H937" s="35">
        <f>VLOOKUP($K923,임금대장!$A$6:$AH$86,17,0)</f>
        <v>0</v>
      </c>
      <c r="I937" s="36"/>
      <c r="J937" s="37"/>
    </row>
    <row r="938" spans="1:10" ht="20.45" hidden="1" customHeight="1" x14ac:dyDescent="0.6">
      <c r="A938" s="252"/>
      <c r="B938" s="36" t="s">
        <v>99</v>
      </c>
      <c r="C938" s="35">
        <f>VLOOKUP($K923,임금대장!$A$6:$AH$86,27,0)</f>
        <v>0</v>
      </c>
      <c r="D938" s="36"/>
      <c r="E938" s="44"/>
      <c r="F938" s="258" t="s">
        <v>171</v>
      </c>
      <c r="G938" s="259"/>
      <c r="H938" s="35">
        <f>VLOOKUP($K923,임금대장!$A$6:$AH$86,31,0)</f>
        <v>0</v>
      </c>
      <c r="I938" s="36"/>
      <c r="J938" s="37"/>
    </row>
    <row r="939" spans="1:10" ht="20.45" hidden="1" customHeight="1" x14ac:dyDescent="0.6">
      <c r="A939" s="252"/>
      <c r="B939" s="36" t="s">
        <v>101</v>
      </c>
      <c r="C939" s="35">
        <f>VLOOKUP($K923,임금대장!$A$6:$AH$86,28,0)</f>
        <v>0</v>
      </c>
      <c r="D939" s="36"/>
      <c r="E939" s="43"/>
      <c r="F939" s="258" t="s">
        <v>102</v>
      </c>
      <c r="G939" s="259"/>
      <c r="H939" s="35">
        <f>VLOOKUP($K923,임금대장!$A$6:$AH$86,30,0)</f>
        <v>0</v>
      </c>
      <c r="I939" s="36"/>
      <c r="J939" s="37"/>
    </row>
    <row r="940" spans="1:10" ht="20.45" hidden="1" customHeight="1" x14ac:dyDescent="0.6">
      <c r="A940" s="252"/>
      <c r="B940" s="36" t="s">
        <v>31</v>
      </c>
      <c r="C940" s="35">
        <f>VLOOKUP($K923,임금대장!$A$6:$AH$86,29,0)</f>
        <v>0</v>
      </c>
      <c r="D940" s="36"/>
      <c r="E940" s="43"/>
      <c r="F940" s="45"/>
      <c r="G940" s="46"/>
      <c r="H940" s="36"/>
      <c r="I940" s="67" t="s">
        <v>103</v>
      </c>
      <c r="J940" s="47">
        <f>SUM(C936:H941)</f>
        <v>36030</v>
      </c>
    </row>
    <row r="941" spans="1:10" ht="20.45" hidden="1" customHeight="1" x14ac:dyDescent="0.6">
      <c r="A941" s="253"/>
      <c r="B941" s="40"/>
      <c r="C941" s="101"/>
      <c r="D941" s="40"/>
      <c r="E941" s="48"/>
      <c r="F941" s="260"/>
      <c r="G941" s="261"/>
      <c r="H941" s="40"/>
      <c r="I941" s="68" t="s">
        <v>104</v>
      </c>
      <c r="J941" s="49">
        <f>J935-J940</f>
        <v>1055970</v>
      </c>
    </row>
    <row r="942" spans="1:10" ht="20.45" hidden="1" customHeight="1" x14ac:dyDescent="0.6">
      <c r="A942" s="50" t="s">
        <v>105</v>
      </c>
      <c r="J942" s="51" t="s">
        <v>0</v>
      </c>
    </row>
    <row r="943" spans="1:10" ht="20.45" hidden="1" customHeight="1" x14ac:dyDescent="0.6">
      <c r="A943" s="50"/>
      <c r="J943" s="51"/>
    </row>
    <row r="944" spans="1:10" ht="20.45" hidden="1" customHeight="1" x14ac:dyDescent="0.6">
      <c r="A944" s="264" t="s">
        <v>170</v>
      </c>
      <c r="B944" s="264"/>
      <c r="C944" s="264"/>
      <c r="D944" s="264"/>
      <c r="E944" s="264"/>
      <c r="F944" s="264"/>
      <c r="G944" s="264"/>
      <c r="H944" s="264"/>
      <c r="I944" s="264"/>
      <c r="J944" s="264"/>
    </row>
    <row r="945" spans="1:11" ht="20.45" hidden="1" customHeight="1" x14ac:dyDescent="0.6">
      <c r="A945" s="286" t="s">
        <v>83</v>
      </c>
      <c r="B945" s="286"/>
      <c r="C945" s="286"/>
      <c r="D945" s="286" t="s">
        <v>84</v>
      </c>
      <c r="E945" s="286"/>
      <c r="F945" s="286" t="s">
        <v>85</v>
      </c>
      <c r="G945" s="286"/>
      <c r="H945" s="286"/>
      <c r="I945" s="286" t="s">
        <v>86</v>
      </c>
      <c r="J945" s="286"/>
    </row>
    <row r="946" spans="1:11" ht="20.45" hidden="1" customHeight="1" x14ac:dyDescent="0.6">
      <c r="A946" s="286" t="str">
        <f>VLOOKUP(K946,임금대장!$A$6:$AH$86,3,0)</f>
        <v>파트</v>
      </c>
      <c r="B946" s="286"/>
      <c r="C946" s="286"/>
      <c r="D946" s="287" t="str">
        <f>VLOOKUP(K946,임금대장!$A$6:$AH$86,2,0)</f>
        <v>최예림</v>
      </c>
      <c r="E946" s="287"/>
      <c r="F946" s="287">
        <f>임금대장!$O$3</f>
        <v>31</v>
      </c>
      <c r="G946" s="286"/>
      <c r="H946" s="286"/>
      <c r="I946" s="288">
        <f>VLOOKUP(K946,임금대장!$A$6:$AH$86,16,0)</f>
        <v>0</v>
      </c>
      <c r="J946" s="288"/>
      <c r="K946" s="30">
        <v>42</v>
      </c>
    </row>
    <row r="947" spans="1:11" ht="20.45" hidden="1" customHeight="1" x14ac:dyDescent="0.6">
      <c r="A947" s="286" t="s">
        <v>87</v>
      </c>
      <c r="B947" s="286"/>
      <c r="C947" s="286" t="s">
        <v>5</v>
      </c>
      <c r="D947" s="289">
        <f>VLOOKUP($K946,임금대장!$A$6:$AH$86,5,0)</f>
        <v>0</v>
      </c>
      <c r="E947" s="289"/>
      <c r="F947" s="114" t="s">
        <v>88</v>
      </c>
      <c r="G947" s="358">
        <f>VLOOKUP(K946,임금대장!$A$6:$AH$86,15,0)</f>
        <v>73</v>
      </c>
      <c r="H947" s="358"/>
      <c r="I947" s="286" t="s">
        <v>89</v>
      </c>
      <c r="J947" s="290">
        <f>VLOOKUP(K946,임금대장!$A$6:$AH$86,17,0)</f>
        <v>0</v>
      </c>
    </row>
    <row r="948" spans="1:11" ht="20.45" hidden="1" customHeight="1" x14ac:dyDescent="0.6">
      <c r="A948" s="294">
        <f>VLOOKUP($K946,임금대장!$A$6:$AH$86,7,0)</f>
        <v>949000</v>
      </c>
      <c r="B948" s="294"/>
      <c r="C948" s="286"/>
      <c r="D948" s="289"/>
      <c r="E948" s="289"/>
      <c r="F948" s="115" t="s">
        <v>90</v>
      </c>
      <c r="G948" s="359">
        <f>VLOOKUP(K946,임금대장!$A$6:$AH$86,16,0)</f>
        <v>0</v>
      </c>
      <c r="H948" s="359"/>
      <c r="I948" s="286"/>
      <c r="J948" s="290"/>
    </row>
    <row r="949" spans="1:11" ht="20.45" hidden="1" customHeight="1" x14ac:dyDescent="0.6">
      <c r="F949" s="250"/>
      <c r="G949" s="250"/>
      <c r="H949" s="32"/>
    </row>
    <row r="950" spans="1:11" ht="20.45" hidden="1" customHeight="1" x14ac:dyDescent="0.6">
      <c r="A950" s="251" t="s">
        <v>91</v>
      </c>
      <c r="B950" s="69" t="s">
        <v>20</v>
      </c>
      <c r="C950" s="25">
        <f>VLOOKUP($K946,임금대장!$A$6:$AH$86,9,0)</f>
        <v>949000</v>
      </c>
      <c r="D950" s="33"/>
      <c r="E950" s="69"/>
      <c r="F950" s="254"/>
      <c r="G950" s="255"/>
      <c r="H950" s="25"/>
      <c r="I950" s="33"/>
      <c r="J950" s="34"/>
    </row>
    <row r="951" spans="1:11" ht="20.45" hidden="1" customHeight="1" x14ac:dyDescent="0.6">
      <c r="A951" s="252"/>
      <c r="B951" s="67" t="s">
        <v>21</v>
      </c>
      <c r="C951" s="35">
        <f>VLOOKUP($K946,임금대장!$A$6:$AH$86,10,0)</f>
        <v>0</v>
      </c>
      <c r="D951" s="36"/>
      <c r="E951" s="67"/>
      <c r="F951" s="256"/>
      <c r="G951" s="257"/>
      <c r="H951" s="35"/>
      <c r="I951" s="36"/>
      <c r="J951" s="37"/>
    </row>
    <row r="952" spans="1:11" ht="20.45" hidden="1" customHeight="1" x14ac:dyDescent="0.6">
      <c r="A952" s="252"/>
      <c r="B952" s="52" t="s">
        <v>92</v>
      </c>
      <c r="C952" s="35">
        <f>VLOOKUP($K946,임금대장!$A$6:$AH$86,11,0)</f>
        <v>0</v>
      </c>
      <c r="D952" s="36"/>
      <c r="E952" s="67"/>
      <c r="F952" s="256"/>
      <c r="G952" s="257"/>
      <c r="H952" s="35"/>
      <c r="I952" s="36"/>
      <c r="J952" s="37"/>
    </row>
    <row r="953" spans="1:11" ht="20.45" hidden="1" customHeight="1" x14ac:dyDescent="0.6">
      <c r="A953" s="252"/>
      <c r="B953" s="67" t="s">
        <v>115</v>
      </c>
      <c r="C953" s="35">
        <f>VLOOKUP($K946,임금대장!$A$6:$AH$86,12,0)</f>
        <v>0</v>
      </c>
      <c r="D953" s="36"/>
      <c r="E953" s="67"/>
      <c r="F953" s="256"/>
      <c r="G953" s="257"/>
      <c r="H953" s="35"/>
      <c r="I953" s="36"/>
      <c r="J953" s="37"/>
    </row>
    <row r="954" spans="1:11" ht="20.45" hidden="1" customHeight="1" x14ac:dyDescent="0.6">
      <c r="A954" s="252"/>
      <c r="B954" s="67" t="s">
        <v>94</v>
      </c>
      <c r="C954" s="35">
        <f>VLOOKUP($K946,임금대장!$A$6:$AH$86,13,0)</f>
        <v>0</v>
      </c>
      <c r="D954" s="36"/>
      <c r="E954" s="36"/>
      <c r="F954" s="258"/>
      <c r="G954" s="259"/>
      <c r="H954" s="35"/>
      <c r="I954" s="36"/>
      <c r="J954" s="37"/>
    </row>
    <row r="955" spans="1:11" ht="20.45" hidden="1" customHeight="1" x14ac:dyDescent="0.6">
      <c r="A955" s="252"/>
      <c r="B955" s="67" t="s">
        <v>24</v>
      </c>
      <c r="C955" s="102">
        <f>VLOOKUP($K946,임금대장!$A$6:$AH$86,14,0)</f>
        <v>0</v>
      </c>
      <c r="D955" s="36"/>
      <c r="E955" s="36"/>
      <c r="F955" s="258"/>
      <c r="G955" s="259"/>
      <c r="H955" s="35"/>
      <c r="I955" s="36"/>
      <c r="J955" s="37"/>
    </row>
    <row r="956" spans="1:11" ht="20.45" hidden="1" customHeight="1" x14ac:dyDescent="0.6">
      <c r="A956" s="252"/>
      <c r="B956" s="67"/>
      <c r="C956" s="35"/>
      <c r="D956" s="36"/>
      <c r="E956" s="36"/>
      <c r="F956" s="258"/>
      <c r="G956" s="259"/>
      <c r="H956" s="35"/>
      <c r="I956" s="36"/>
      <c r="J956" s="37"/>
    </row>
    <row r="957" spans="1:11" ht="20.45" hidden="1" customHeight="1" x14ac:dyDescent="0.6">
      <c r="A957" s="252"/>
      <c r="B957" s="67"/>
      <c r="C957" s="35"/>
      <c r="D957" s="36"/>
      <c r="E957" s="36"/>
      <c r="F957" s="258"/>
      <c r="G957" s="259"/>
      <c r="H957" s="35"/>
      <c r="I957" s="36"/>
      <c r="J957" s="37"/>
    </row>
    <row r="958" spans="1:11" ht="20.45" hidden="1" customHeight="1" x14ac:dyDescent="0.6">
      <c r="A958" s="253"/>
      <c r="B958" s="68"/>
      <c r="C958" s="39"/>
      <c r="D958" s="40"/>
      <c r="E958" s="40"/>
      <c r="F958" s="260"/>
      <c r="G958" s="261"/>
      <c r="H958" s="39"/>
      <c r="I958" s="68" t="s">
        <v>95</v>
      </c>
      <c r="J958" s="41">
        <f>SUM(C950:H956)</f>
        <v>949000</v>
      </c>
    </row>
    <row r="959" spans="1:11" ht="20.45" hidden="1" customHeight="1" x14ac:dyDescent="0.6">
      <c r="A959" s="251" t="s">
        <v>96</v>
      </c>
      <c r="B959" s="36" t="s">
        <v>97</v>
      </c>
      <c r="C959" s="35">
        <f>VLOOKUP($K946,임금대장!$A$6:$AH$86,25,0)</f>
        <v>28470</v>
      </c>
      <c r="D959" s="33"/>
      <c r="E959" s="42"/>
      <c r="F959" s="262" t="s">
        <v>14</v>
      </c>
      <c r="G959" s="263"/>
      <c r="H959" s="35">
        <f>VLOOKUP($K946,임금대장!$A$6:$AH$86,19,0)</f>
        <v>0</v>
      </c>
      <c r="I959" s="33"/>
      <c r="J959" s="34"/>
    </row>
    <row r="960" spans="1:11" ht="20.45" hidden="1" customHeight="1" x14ac:dyDescent="0.6">
      <c r="A960" s="252"/>
      <c r="B960" s="36" t="s">
        <v>98</v>
      </c>
      <c r="C960" s="35">
        <f>VLOOKUP($K946,임금대장!$A$6:$AH$86,26,0)</f>
        <v>2840</v>
      </c>
      <c r="D960" s="36"/>
      <c r="E960" s="43"/>
      <c r="F960" s="258" t="s">
        <v>12</v>
      </c>
      <c r="G960" s="259"/>
      <c r="H960" s="35">
        <f>VLOOKUP($K946,임금대장!$A$6:$AH$86,17,0)</f>
        <v>0</v>
      </c>
      <c r="I960" s="36"/>
      <c r="J960" s="37"/>
    </row>
    <row r="961" spans="1:11" ht="20.45" hidden="1" customHeight="1" x14ac:dyDescent="0.6">
      <c r="A961" s="252"/>
      <c r="B961" s="36" t="s">
        <v>99</v>
      </c>
      <c r="C961" s="35">
        <f>VLOOKUP($K946,임금대장!$A$6:$AH$86,27,0)</f>
        <v>0</v>
      </c>
      <c r="D961" s="36"/>
      <c r="E961" s="44"/>
      <c r="F961" s="258" t="s">
        <v>171</v>
      </c>
      <c r="G961" s="259"/>
      <c r="H961" s="35">
        <f>VLOOKUP($K946,임금대장!$A$6:$AH$86,31,0)</f>
        <v>0</v>
      </c>
      <c r="I961" s="36"/>
      <c r="J961" s="37"/>
    </row>
    <row r="962" spans="1:11" ht="20.45" hidden="1" customHeight="1" x14ac:dyDescent="0.6">
      <c r="A962" s="252"/>
      <c r="B962" s="36" t="s">
        <v>101</v>
      </c>
      <c r="C962" s="35">
        <f>VLOOKUP($K946,임금대장!$A$6:$AH$86,28,0)</f>
        <v>0</v>
      </c>
      <c r="D962" s="36"/>
      <c r="E962" s="43"/>
      <c r="F962" s="258" t="s">
        <v>102</v>
      </c>
      <c r="G962" s="259"/>
      <c r="H962" s="35">
        <f>VLOOKUP($K946,임금대장!$A$6:$AH$86,30,0)</f>
        <v>0</v>
      </c>
      <c r="I962" s="36"/>
      <c r="J962" s="37"/>
    </row>
    <row r="963" spans="1:11" ht="20.45" hidden="1" customHeight="1" x14ac:dyDescent="0.6">
      <c r="A963" s="252"/>
      <c r="B963" s="36" t="s">
        <v>31</v>
      </c>
      <c r="C963" s="35">
        <f>VLOOKUP($K946,임금대장!$A$6:$AH$86,29,0)</f>
        <v>0</v>
      </c>
      <c r="D963" s="36"/>
      <c r="E963" s="43"/>
      <c r="F963" s="45"/>
      <c r="G963" s="46"/>
      <c r="H963" s="36"/>
      <c r="I963" s="67" t="s">
        <v>103</v>
      </c>
      <c r="J963" s="47">
        <f>SUM(C959:H964)</f>
        <v>31310</v>
      </c>
    </row>
    <row r="964" spans="1:11" ht="20.45" hidden="1" customHeight="1" x14ac:dyDescent="0.6">
      <c r="A964" s="253"/>
      <c r="B964" s="40"/>
      <c r="C964" s="101"/>
      <c r="D964" s="40"/>
      <c r="E964" s="48"/>
      <c r="F964" s="260"/>
      <c r="G964" s="261"/>
      <c r="H964" s="40"/>
      <c r="I964" s="68" t="s">
        <v>104</v>
      </c>
      <c r="J964" s="49">
        <f>J958-J963</f>
        <v>917690</v>
      </c>
    </row>
    <row r="965" spans="1:11" ht="20.45" hidden="1" customHeight="1" x14ac:dyDescent="0.6">
      <c r="A965" s="50" t="s">
        <v>105</v>
      </c>
      <c r="J965" s="51" t="s">
        <v>0</v>
      </c>
    </row>
    <row r="966" spans="1:11" ht="20.45" hidden="1" customHeight="1" x14ac:dyDescent="0.6">
      <c r="A966" s="50"/>
      <c r="J966" s="51"/>
    </row>
    <row r="967" spans="1:11" ht="20.45" hidden="1" customHeight="1" x14ac:dyDescent="0.6">
      <c r="A967" s="264" t="s">
        <v>172</v>
      </c>
      <c r="B967" s="264"/>
      <c r="C967" s="264"/>
      <c r="D967" s="264"/>
      <c r="E967" s="264"/>
      <c r="F967" s="264"/>
      <c r="G967" s="264"/>
      <c r="H967" s="264"/>
      <c r="I967" s="264"/>
      <c r="J967" s="264"/>
    </row>
    <row r="968" spans="1:11" ht="20.45" hidden="1" customHeight="1" x14ac:dyDescent="0.6">
      <c r="A968" s="347" t="s">
        <v>83</v>
      </c>
      <c r="B968" s="348"/>
      <c r="C968" s="349"/>
      <c r="D968" s="350" t="s">
        <v>84</v>
      </c>
      <c r="E968" s="351"/>
      <c r="F968" s="347" t="s">
        <v>85</v>
      </c>
      <c r="G968" s="348"/>
      <c r="H968" s="349"/>
      <c r="I968" s="350" t="s">
        <v>86</v>
      </c>
      <c r="J968" s="351"/>
    </row>
    <row r="969" spans="1:11" ht="20.45" hidden="1" customHeight="1" x14ac:dyDescent="0.6">
      <c r="A969" s="332" t="e">
        <f>VLOOKUP(D969,#REF!,2,0)</f>
        <v>#REF!</v>
      </c>
      <c r="B969" s="352"/>
      <c r="C969" s="259"/>
      <c r="D969" s="353" t="str">
        <f>VLOOKUP(K969,임금대장!$A$6:$AH$86,2,0)</f>
        <v>박대순</v>
      </c>
      <c r="E969" s="354"/>
      <c r="F969" s="355" t="e">
        <f>#REF!</f>
        <v>#REF!</v>
      </c>
      <c r="G969" s="352"/>
      <c r="H969" s="259"/>
      <c r="I969" s="356">
        <f>VLOOKUP(K969,임금대장!$A$6:$AH$86,15,0)</f>
        <v>188.5</v>
      </c>
      <c r="J969" s="357"/>
      <c r="K969" s="30">
        <v>43</v>
      </c>
    </row>
    <row r="970" spans="1:11" ht="20.45" hidden="1" customHeight="1" x14ac:dyDescent="0.6">
      <c r="A970" s="332" t="s">
        <v>87</v>
      </c>
      <c r="B970" s="259"/>
      <c r="C970" s="333" t="s">
        <v>5</v>
      </c>
      <c r="D970" s="335" t="e">
        <f>VLOOKUP($K969,#REF!,5,0)</f>
        <v>#REF!</v>
      </c>
      <c r="E970" s="336"/>
      <c r="F970" s="67" t="s">
        <v>88</v>
      </c>
      <c r="G970" s="339">
        <f>VLOOKUP(K969,임금대장!$A$6:$AH$86,14,0)</f>
        <v>0</v>
      </c>
      <c r="H970" s="340"/>
      <c r="I970" s="333" t="s">
        <v>89</v>
      </c>
      <c r="J970" s="341" t="e">
        <f>VLOOKUP(D969,#REF!,15,0)</f>
        <v>#REF!</v>
      </c>
    </row>
    <row r="971" spans="1:11" ht="20.45" hidden="1" customHeight="1" x14ac:dyDescent="0.6">
      <c r="A971" s="343" t="e">
        <f>VLOOKUP($K969,#REF!,6,0)</f>
        <v>#REF!</v>
      </c>
      <c r="B971" s="344"/>
      <c r="C971" s="334"/>
      <c r="D971" s="337"/>
      <c r="E971" s="338"/>
      <c r="F971" s="53" t="s">
        <v>90</v>
      </c>
      <c r="G971" s="345">
        <f>VLOOKUP(K969,임금대장!$A$6:$AH$86,15,0)</f>
        <v>188.5</v>
      </c>
      <c r="H971" s="346"/>
      <c r="I971" s="334"/>
      <c r="J971" s="342"/>
    </row>
    <row r="972" spans="1:11" ht="20.45" hidden="1" customHeight="1" x14ac:dyDescent="0.6">
      <c r="F972" s="250"/>
      <c r="G972" s="250"/>
      <c r="H972" s="32"/>
    </row>
    <row r="973" spans="1:11" ht="20.45" hidden="1" customHeight="1" x14ac:dyDescent="0.6">
      <c r="A973" s="251" t="s">
        <v>91</v>
      </c>
      <c r="B973" s="69" t="s">
        <v>20</v>
      </c>
      <c r="C973" s="25">
        <f>VLOOKUP($K969,임금대장!$A$6:$AH$86,8,0)</f>
        <v>13000</v>
      </c>
      <c r="D973" s="33"/>
      <c r="E973" s="69"/>
      <c r="F973" s="254"/>
      <c r="G973" s="255"/>
      <c r="H973" s="25"/>
      <c r="I973" s="33"/>
      <c r="J973" s="34"/>
    </row>
    <row r="974" spans="1:11" ht="20.45" hidden="1" customHeight="1" x14ac:dyDescent="0.6">
      <c r="A974" s="252"/>
      <c r="B974" s="67" t="s">
        <v>21</v>
      </c>
      <c r="C974" s="35">
        <f>VLOOKUP($K969,임금대장!$A$6:$AH$86,9,0)</f>
        <v>2450500</v>
      </c>
      <c r="D974" s="36"/>
      <c r="E974" s="67"/>
      <c r="F974" s="256"/>
      <c r="G974" s="257"/>
      <c r="H974" s="35"/>
      <c r="I974" s="36"/>
      <c r="J974" s="37"/>
    </row>
    <row r="975" spans="1:11" ht="20.45" hidden="1" customHeight="1" x14ac:dyDescent="0.6">
      <c r="A975" s="252"/>
      <c r="B975" s="52" t="s">
        <v>92</v>
      </c>
      <c r="C975" s="35">
        <f>VLOOKUP($K969,임금대장!$A$6:$AH$86,10,0)</f>
        <v>0</v>
      </c>
      <c r="D975" s="36"/>
      <c r="E975" s="67"/>
      <c r="F975" s="256"/>
      <c r="G975" s="257"/>
      <c r="H975" s="35"/>
      <c r="I975" s="36"/>
      <c r="J975" s="37"/>
    </row>
    <row r="976" spans="1:11" ht="20.45" hidden="1" customHeight="1" x14ac:dyDescent="0.6">
      <c r="A976" s="252"/>
      <c r="B976" s="67" t="s">
        <v>115</v>
      </c>
      <c r="C976" s="35">
        <f>VLOOKUP($K969,임금대장!$A$6:$AH$86,11,0)</f>
        <v>0</v>
      </c>
      <c r="D976" s="36"/>
      <c r="E976" s="67"/>
      <c r="F976" s="256"/>
      <c r="G976" s="257"/>
      <c r="H976" s="35"/>
      <c r="I976" s="36"/>
      <c r="J976" s="37"/>
    </row>
    <row r="977" spans="1:11" ht="20.45" hidden="1" customHeight="1" x14ac:dyDescent="0.6">
      <c r="A977" s="252"/>
      <c r="B977" s="67" t="s">
        <v>94</v>
      </c>
      <c r="C977" s="35">
        <f>VLOOKUP($K969,임금대장!$A$6:$AH$86,12,0)</f>
        <v>0</v>
      </c>
      <c r="D977" s="36"/>
      <c r="E977" s="36"/>
      <c r="F977" s="258"/>
      <c r="G977" s="259"/>
      <c r="H977" s="35"/>
      <c r="I977" s="36"/>
      <c r="J977" s="37"/>
    </row>
    <row r="978" spans="1:11" ht="20.45" hidden="1" customHeight="1" x14ac:dyDescent="0.6">
      <c r="A978" s="252"/>
      <c r="B978" s="67" t="s">
        <v>24</v>
      </c>
      <c r="C978" s="102">
        <f>VLOOKUP($K969,임금대장!$A$6:$AH$86,13,0)</f>
        <v>0</v>
      </c>
      <c r="D978" s="36"/>
      <c r="E978" s="36"/>
      <c r="F978" s="258"/>
      <c r="G978" s="259"/>
      <c r="H978" s="35"/>
      <c r="I978" s="36"/>
      <c r="J978" s="37"/>
    </row>
    <row r="979" spans="1:11" ht="20.45" hidden="1" customHeight="1" x14ac:dyDescent="0.6">
      <c r="A979" s="252"/>
      <c r="B979" s="67"/>
      <c r="C979" s="35"/>
      <c r="D979" s="36"/>
      <c r="E979" s="36"/>
      <c r="F979" s="258"/>
      <c r="G979" s="259"/>
      <c r="H979" s="35"/>
      <c r="I979" s="36"/>
      <c r="J979" s="37"/>
    </row>
    <row r="980" spans="1:11" ht="20.45" hidden="1" customHeight="1" x14ac:dyDescent="0.6">
      <c r="A980" s="252"/>
      <c r="B980" s="67"/>
      <c r="C980" s="35"/>
      <c r="D980" s="36"/>
      <c r="E980" s="36"/>
      <c r="F980" s="258"/>
      <c r="G980" s="259"/>
      <c r="H980" s="35"/>
      <c r="I980" s="36"/>
      <c r="J980" s="37"/>
    </row>
    <row r="981" spans="1:11" ht="20.45" hidden="1" customHeight="1" x14ac:dyDescent="0.6">
      <c r="A981" s="253"/>
      <c r="B981" s="68"/>
      <c r="C981" s="39"/>
      <c r="D981" s="40"/>
      <c r="E981" s="40"/>
      <c r="F981" s="260"/>
      <c r="G981" s="261"/>
      <c r="H981" s="39"/>
      <c r="I981" s="68" t="s">
        <v>95</v>
      </c>
      <c r="J981" s="41">
        <f>SUM(C973:H979)</f>
        <v>2463500</v>
      </c>
    </row>
    <row r="982" spans="1:11" ht="20.45" hidden="1" customHeight="1" x14ac:dyDescent="0.6">
      <c r="A982" s="251" t="s">
        <v>96</v>
      </c>
      <c r="B982" s="36" t="s">
        <v>97</v>
      </c>
      <c r="C982" s="35" t="str">
        <f>VLOOKUP($K969,임금대장!$A$6:$AH$86,24,0)</f>
        <v>박대순</v>
      </c>
      <c r="D982" s="33"/>
      <c r="E982" s="42"/>
      <c r="F982" s="262" t="s">
        <v>14</v>
      </c>
      <c r="G982" s="263"/>
      <c r="H982" s="35">
        <f>VLOOKUP($K969,임금대장!$A$6:$AH$86,18,0)</f>
        <v>0</v>
      </c>
      <c r="I982" s="33"/>
      <c r="J982" s="34"/>
    </row>
    <row r="983" spans="1:11" ht="20.45" hidden="1" customHeight="1" x14ac:dyDescent="0.6">
      <c r="A983" s="252"/>
      <c r="B983" s="36" t="s">
        <v>98</v>
      </c>
      <c r="C983" s="35">
        <f>VLOOKUP($K969,임금대장!$A$6:$AH$86,25,0)</f>
        <v>73510</v>
      </c>
      <c r="D983" s="36"/>
      <c r="E983" s="43"/>
      <c r="F983" s="258" t="s">
        <v>12</v>
      </c>
      <c r="G983" s="259"/>
      <c r="H983" s="35">
        <f>VLOOKUP($K969,임금대장!$A$6:$AH$86,16,0)</f>
        <v>0</v>
      </c>
      <c r="I983" s="36"/>
      <c r="J983" s="37"/>
    </row>
    <row r="984" spans="1:11" ht="20.45" hidden="1" customHeight="1" x14ac:dyDescent="0.6">
      <c r="A984" s="252"/>
      <c r="B984" s="36" t="s">
        <v>99</v>
      </c>
      <c r="C984" s="35">
        <f>VLOOKUP($K969,임금대장!$A$6:$AH$86,26,0)</f>
        <v>7350</v>
      </c>
      <c r="D984" s="36"/>
      <c r="E984" s="44"/>
      <c r="F984" s="258" t="s">
        <v>171</v>
      </c>
      <c r="G984" s="259"/>
      <c r="H984" s="35">
        <f>VLOOKUP($K969,임금대장!$A$6:$AH$86,30,0)</f>
        <v>0</v>
      </c>
      <c r="I984" s="36"/>
      <c r="J984" s="37"/>
    </row>
    <row r="985" spans="1:11" ht="20.45" hidden="1" customHeight="1" x14ac:dyDescent="0.6">
      <c r="A985" s="252"/>
      <c r="B985" s="36" t="s">
        <v>101</v>
      </c>
      <c r="C985" s="35">
        <f>VLOOKUP($K969,임금대장!$A$6:$AH$86,27,0)</f>
        <v>0</v>
      </c>
      <c r="D985" s="36"/>
      <c r="E985" s="43"/>
      <c r="F985" s="258" t="s">
        <v>102</v>
      </c>
      <c r="G985" s="259"/>
      <c r="H985" s="35">
        <f>VLOOKUP($K969,임금대장!$A$6:$AH$86,29,0)</f>
        <v>0</v>
      </c>
      <c r="I985" s="36"/>
      <c r="J985" s="37"/>
    </row>
    <row r="986" spans="1:11" ht="20.45" hidden="1" customHeight="1" x14ac:dyDescent="0.6">
      <c r="A986" s="252"/>
      <c r="B986" s="36" t="s">
        <v>31</v>
      </c>
      <c r="C986" s="35">
        <f>VLOOKUP($K969,임금대장!$A$6:$AH$86,28,0)</f>
        <v>0</v>
      </c>
      <c r="D986" s="36"/>
      <c r="E986" s="43"/>
      <c r="F986" s="45"/>
      <c r="G986" s="46"/>
      <c r="H986" s="36"/>
      <c r="I986" s="67" t="s">
        <v>103</v>
      </c>
      <c r="J986" s="47">
        <f>SUM(C982:H987)</f>
        <v>80860</v>
      </c>
    </row>
    <row r="987" spans="1:11" ht="20.45" hidden="1" customHeight="1" x14ac:dyDescent="0.6">
      <c r="A987" s="253"/>
      <c r="B987" s="40"/>
      <c r="C987" s="101"/>
      <c r="D987" s="40"/>
      <c r="E987" s="48"/>
      <c r="F987" s="260"/>
      <c r="G987" s="261"/>
      <c r="H987" s="40"/>
      <c r="I987" s="68" t="s">
        <v>104</v>
      </c>
      <c r="J987" s="49">
        <f>J981-J986</f>
        <v>2382640</v>
      </c>
    </row>
    <row r="988" spans="1:11" ht="20.45" hidden="1" customHeight="1" x14ac:dyDescent="0.6">
      <c r="A988" s="50" t="s">
        <v>105</v>
      </c>
      <c r="J988" s="51" t="s">
        <v>0</v>
      </c>
    </row>
    <row r="989" spans="1:11" ht="20.45" hidden="1" customHeight="1" x14ac:dyDescent="0.6">
      <c r="A989" s="50"/>
      <c r="J989" s="51"/>
    </row>
    <row r="990" spans="1:11" ht="20.45" hidden="1" customHeight="1" x14ac:dyDescent="0.6">
      <c r="A990" s="264" t="s">
        <v>172</v>
      </c>
      <c r="B990" s="264"/>
      <c r="C990" s="264"/>
      <c r="D990" s="264"/>
      <c r="E990" s="264"/>
      <c r="F990" s="264"/>
      <c r="G990" s="264"/>
      <c r="H990" s="264"/>
      <c r="I990" s="264"/>
      <c r="J990" s="264"/>
    </row>
    <row r="991" spans="1:11" ht="20.45" hidden="1" customHeight="1" x14ac:dyDescent="0.6">
      <c r="A991" s="347" t="s">
        <v>83</v>
      </c>
      <c r="B991" s="348"/>
      <c r="C991" s="349"/>
      <c r="D991" s="350" t="s">
        <v>84</v>
      </c>
      <c r="E991" s="351"/>
      <c r="F991" s="347" t="s">
        <v>85</v>
      </c>
      <c r="G991" s="348"/>
      <c r="H991" s="349"/>
      <c r="I991" s="350" t="s">
        <v>86</v>
      </c>
      <c r="J991" s="351"/>
    </row>
    <row r="992" spans="1:11" ht="20.45" hidden="1" customHeight="1" x14ac:dyDescent="0.6">
      <c r="A992" s="332" t="e">
        <f>VLOOKUP(D992,#REF!,2,0)</f>
        <v>#REF!</v>
      </c>
      <c r="B992" s="352"/>
      <c r="C992" s="259"/>
      <c r="D992" s="353" t="str">
        <f>VLOOKUP(K992,임금대장!$A$6:$AH$86,2,0)</f>
        <v>김민준</v>
      </c>
      <c r="E992" s="354"/>
      <c r="F992" s="355" t="e">
        <f>#REF!</f>
        <v>#REF!</v>
      </c>
      <c r="G992" s="352"/>
      <c r="H992" s="259"/>
      <c r="I992" s="356">
        <f>VLOOKUP(K992,임금대장!$A$6:$AH$86,15,0)</f>
        <v>126.5</v>
      </c>
      <c r="J992" s="357"/>
      <c r="K992" s="30">
        <v>44</v>
      </c>
    </row>
    <row r="993" spans="1:10" ht="20.45" hidden="1" customHeight="1" x14ac:dyDescent="0.6">
      <c r="A993" s="332" t="s">
        <v>87</v>
      </c>
      <c r="B993" s="259"/>
      <c r="C993" s="333" t="s">
        <v>5</v>
      </c>
      <c r="D993" s="335" t="e">
        <f>VLOOKUP($K992,#REF!,5,0)</f>
        <v>#REF!</v>
      </c>
      <c r="E993" s="336"/>
      <c r="F993" s="67" t="s">
        <v>88</v>
      </c>
      <c r="G993" s="339">
        <f>VLOOKUP(K992,임금대장!$A$6:$AH$86,14,0)</f>
        <v>0</v>
      </c>
      <c r="H993" s="340"/>
      <c r="I993" s="333" t="s">
        <v>89</v>
      </c>
      <c r="J993" s="341" t="e">
        <f>VLOOKUP(D992,#REF!,15,0)</f>
        <v>#REF!</v>
      </c>
    </row>
    <row r="994" spans="1:10" ht="20.45" hidden="1" customHeight="1" x14ac:dyDescent="0.6">
      <c r="A994" s="343" t="e">
        <f>VLOOKUP($K992,#REF!,6,0)</f>
        <v>#REF!</v>
      </c>
      <c r="B994" s="344"/>
      <c r="C994" s="334"/>
      <c r="D994" s="337"/>
      <c r="E994" s="338"/>
      <c r="F994" s="53" t="s">
        <v>90</v>
      </c>
      <c r="G994" s="345">
        <f>VLOOKUP(K992,임금대장!$A$6:$AH$86,15,0)</f>
        <v>126.5</v>
      </c>
      <c r="H994" s="346"/>
      <c r="I994" s="334"/>
      <c r="J994" s="342"/>
    </row>
    <row r="995" spans="1:10" ht="20.45" hidden="1" customHeight="1" x14ac:dyDescent="0.6">
      <c r="F995" s="250"/>
      <c r="G995" s="250"/>
      <c r="H995" s="32"/>
    </row>
    <row r="996" spans="1:10" ht="20.45" hidden="1" customHeight="1" x14ac:dyDescent="0.6">
      <c r="A996" s="251" t="s">
        <v>91</v>
      </c>
      <c r="B996" s="69" t="s">
        <v>20</v>
      </c>
      <c r="C996" s="25">
        <f>VLOOKUP($K992,임금대장!$A$6:$AH$86,8,0)</f>
        <v>13000</v>
      </c>
      <c r="D996" s="33"/>
      <c r="E996" s="69"/>
      <c r="F996" s="254"/>
      <c r="G996" s="255"/>
      <c r="H996" s="25"/>
      <c r="I996" s="33"/>
      <c r="J996" s="34"/>
    </row>
    <row r="997" spans="1:10" ht="20.45" hidden="1" customHeight="1" x14ac:dyDescent="0.6">
      <c r="A997" s="252"/>
      <c r="B997" s="67" t="s">
        <v>21</v>
      </c>
      <c r="C997" s="35">
        <f>VLOOKUP($K992,임금대장!$A$6:$AH$86,9,0)</f>
        <v>1644500</v>
      </c>
      <c r="D997" s="36"/>
      <c r="E997" s="67"/>
      <c r="F997" s="256"/>
      <c r="G997" s="257"/>
      <c r="H997" s="35"/>
      <c r="I997" s="36"/>
      <c r="J997" s="37"/>
    </row>
    <row r="998" spans="1:10" ht="20.45" hidden="1" customHeight="1" x14ac:dyDescent="0.6">
      <c r="A998" s="252"/>
      <c r="B998" s="52" t="s">
        <v>92</v>
      </c>
      <c r="C998" s="35">
        <f>VLOOKUP($K992,임금대장!$A$6:$AH$86,10,0)</f>
        <v>0</v>
      </c>
      <c r="D998" s="36"/>
      <c r="E998" s="67"/>
      <c r="F998" s="256"/>
      <c r="G998" s="257"/>
      <c r="H998" s="35"/>
      <c r="I998" s="36"/>
      <c r="J998" s="37"/>
    </row>
    <row r="999" spans="1:10" ht="20.45" hidden="1" customHeight="1" x14ac:dyDescent="0.6">
      <c r="A999" s="252"/>
      <c r="B999" s="67" t="s">
        <v>115</v>
      </c>
      <c r="C999" s="35">
        <f>VLOOKUP($K992,임금대장!$A$6:$AH$86,11,0)</f>
        <v>0</v>
      </c>
      <c r="D999" s="36"/>
      <c r="E999" s="67"/>
      <c r="F999" s="256"/>
      <c r="G999" s="257"/>
      <c r="H999" s="35"/>
      <c r="I999" s="36"/>
      <c r="J999" s="37"/>
    </row>
    <row r="1000" spans="1:10" ht="20.45" hidden="1" customHeight="1" x14ac:dyDescent="0.6">
      <c r="A1000" s="252"/>
      <c r="B1000" s="67" t="s">
        <v>94</v>
      </c>
      <c r="C1000" s="35">
        <f>VLOOKUP($K992,임금대장!$A$6:$AH$86,12,0)</f>
        <v>0</v>
      </c>
      <c r="D1000" s="36"/>
      <c r="E1000" s="36"/>
      <c r="F1000" s="258"/>
      <c r="G1000" s="259"/>
      <c r="H1000" s="35"/>
      <c r="I1000" s="36"/>
      <c r="J1000" s="37"/>
    </row>
    <row r="1001" spans="1:10" ht="20.45" hidden="1" customHeight="1" x14ac:dyDescent="0.6">
      <c r="A1001" s="252"/>
      <c r="B1001" s="67" t="s">
        <v>24</v>
      </c>
      <c r="C1001" s="102">
        <f>VLOOKUP($K992,임금대장!$A$6:$AH$86,13,0)</f>
        <v>0</v>
      </c>
      <c r="D1001" s="36"/>
      <c r="E1001" s="36"/>
      <c r="F1001" s="258"/>
      <c r="G1001" s="259"/>
      <c r="H1001" s="35"/>
      <c r="I1001" s="36"/>
      <c r="J1001" s="37"/>
    </row>
    <row r="1002" spans="1:10" ht="20.45" hidden="1" customHeight="1" x14ac:dyDescent="0.6">
      <c r="A1002" s="252"/>
      <c r="B1002" s="67"/>
      <c r="C1002" s="35"/>
      <c r="D1002" s="36"/>
      <c r="E1002" s="36"/>
      <c r="F1002" s="258"/>
      <c r="G1002" s="259"/>
      <c r="H1002" s="35"/>
      <c r="I1002" s="36"/>
      <c r="J1002" s="37"/>
    </row>
    <row r="1003" spans="1:10" ht="20.45" hidden="1" customHeight="1" x14ac:dyDescent="0.6">
      <c r="A1003" s="252"/>
      <c r="B1003" s="67"/>
      <c r="C1003" s="35"/>
      <c r="D1003" s="36"/>
      <c r="E1003" s="36"/>
      <c r="F1003" s="258"/>
      <c r="G1003" s="259"/>
      <c r="H1003" s="35"/>
      <c r="I1003" s="36"/>
      <c r="J1003" s="37"/>
    </row>
    <row r="1004" spans="1:10" ht="20.45" hidden="1" customHeight="1" x14ac:dyDescent="0.6">
      <c r="A1004" s="253"/>
      <c r="B1004" s="68"/>
      <c r="C1004" s="39"/>
      <c r="D1004" s="40"/>
      <c r="E1004" s="40"/>
      <c r="F1004" s="260"/>
      <c r="G1004" s="261"/>
      <c r="H1004" s="39"/>
      <c r="I1004" s="68" t="s">
        <v>95</v>
      </c>
      <c r="J1004" s="41">
        <f>SUM(C996:H1002)</f>
        <v>1657500</v>
      </c>
    </row>
    <row r="1005" spans="1:10" ht="20.45" hidden="1" customHeight="1" x14ac:dyDescent="0.6">
      <c r="A1005" s="251" t="s">
        <v>96</v>
      </c>
      <c r="B1005" s="36" t="s">
        <v>97</v>
      </c>
      <c r="C1005" s="35" t="str">
        <f>VLOOKUP($K992,임금대장!$A$6:$AH$86,24,0)</f>
        <v>김민준</v>
      </c>
      <c r="D1005" s="33"/>
      <c r="E1005" s="42"/>
      <c r="F1005" s="262" t="s">
        <v>14</v>
      </c>
      <c r="G1005" s="263"/>
      <c r="H1005" s="35">
        <f>VLOOKUP($K992,임금대장!$A$6:$AH$86,18,0)</f>
        <v>0</v>
      </c>
      <c r="I1005" s="33"/>
      <c r="J1005" s="34"/>
    </row>
    <row r="1006" spans="1:10" ht="20.45" hidden="1" customHeight="1" x14ac:dyDescent="0.6">
      <c r="A1006" s="252"/>
      <c r="B1006" s="36" t="s">
        <v>98</v>
      </c>
      <c r="C1006" s="35">
        <f>VLOOKUP($K992,임금대장!$A$6:$AH$86,25,0)</f>
        <v>49330</v>
      </c>
      <c r="D1006" s="36"/>
      <c r="E1006" s="43"/>
      <c r="F1006" s="258" t="s">
        <v>12</v>
      </c>
      <c r="G1006" s="259"/>
      <c r="H1006" s="35">
        <f>VLOOKUP($K992,임금대장!$A$6:$AH$86,16,0)</f>
        <v>0</v>
      </c>
      <c r="I1006" s="36"/>
      <c r="J1006" s="37"/>
    </row>
    <row r="1007" spans="1:10" ht="20.45" hidden="1" customHeight="1" x14ac:dyDescent="0.6">
      <c r="A1007" s="252"/>
      <c r="B1007" s="36" t="s">
        <v>99</v>
      </c>
      <c r="C1007" s="35">
        <f>VLOOKUP($K992,임금대장!$A$6:$AH$86,26,0)</f>
        <v>4930</v>
      </c>
      <c r="D1007" s="36"/>
      <c r="E1007" s="44"/>
      <c r="F1007" s="258" t="s">
        <v>171</v>
      </c>
      <c r="G1007" s="259"/>
      <c r="H1007" s="35">
        <f>VLOOKUP($K992,임금대장!$A$6:$AH$86,30,0)</f>
        <v>0</v>
      </c>
      <c r="I1007" s="36"/>
      <c r="J1007" s="37"/>
    </row>
    <row r="1008" spans="1:10" ht="20.45" hidden="1" customHeight="1" x14ac:dyDescent="0.6">
      <c r="A1008" s="252"/>
      <c r="B1008" s="36" t="s">
        <v>101</v>
      </c>
      <c r="C1008" s="35">
        <f>VLOOKUP($K992,임금대장!$A$6:$AH$86,27,0)</f>
        <v>0</v>
      </c>
      <c r="D1008" s="36"/>
      <c r="E1008" s="43"/>
      <c r="F1008" s="258" t="s">
        <v>102</v>
      </c>
      <c r="G1008" s="259"/>
      <c r="H1008" s="35">
        <f>VLOOKUP($K992,임금대장!$A$6:$AH$86,29,0)</f>
        <v>0</v>
      </c>
      <c r="I1008" s="36"/>
      <c r="J1008" s="37"/>
    </row>
    <row r="1009" spans="1:11" ht="20.45" hidden="1" customHeight="1" x14ac:dyDescent="0.6">
      <c r="A1009" s="252"/>
      <c r="B1009" s="36" t="s">
        <v>31</v>
      </c>
      <c r="C1009" s="35">
        <f>VLOOKUP($K992,임금대장!$A$6:$AH$86,28,0)</f>
        <v>0</v>
      </c>
      <c r="D1009" s="36"/>
      <c r="E1009" s="43"/>
      <c r="F1009" s="45"/>
      <c r="G1009" s="46"/>
      <c r="H1009" s="36"/>
      <c r="I1009" s="67" t="s">
        <v>103</v>
      </c>
      <c r="J1009" s="47">
        <f>SUM(C1005:H1010)</f>
        <v>54260</v>
      </c>
    </row>
    <row r="1010" spans="1:11" ht="20.45" hidden="1" customHeight="1" x14ac:dyDescent="0.6">
      <c r="A1010" s="253"/>
      <c r="B1010" s="40"/>
      <c r="C1010" s="101"/>
      <c r="D1010" s="40"/>
      <c r="E1010" s="48"/>
      <c r="F1010" s="260"/>
      <c r="G1010" s="261"/>
      <c r="H1010" s="40"/>
      <c r="I1010" s="68" t="s">
        <v>104</v>
      </c>
      <c r="J1010" s="49">
        <f>J1004-J1009</f>
        <v>1603240</v>
      </c>
    </row>
    <row r="1011" spans="1:11" ht="20.45" hidden="1" customHeight="1" x14ac:dyDescent="0.6">
      <c r="A1011" s="50" t="s">
        <v>105</v>
      </c>
      <c r="J1011" s="51" t="s">
        <v>0</v>
      </c>
    </row>
    <row r="1012" spans="1:11" ht="20.45" hidden="1" customHeight="1" x14ac:dyDescent="0.6">
      <c r="A1012" s="50"/>
      <c r="J1012" s="51"/>
    </row>
    <row r="1013" spans="1:11" ht="20.45" hidden="1" customHeight="1" x14ac:dyDescent="0.6">
      <c r="A1013" s="264" t="s">
        <v>172</v>
      </c>
      <c r="B1013" s="264"/>
      <c r="C1013" s="264"/>
      <c r="D1013" s="264"/>
      <c r="E1013" s="264"/>
      <c r="F1013" s="264"/>
      <c r="G1013" s="264"/>
      <c r="H1013" s="264"/>
      <c r="I1013" s="264"/>
      <c r="J1013" s="264"/>
    </row>
    <row r="1014" spans="1:11" ht="20.45" hidden="1" customHeight="1" x14ac:dyDescent="0.6">
      <c r="A1014" s="347" t="s">
        <v>83</v>
      </c>
      <c r="B1014" s="348"/>
      <c r="C1014" s="349"/>
      <c r="D1014" s="350" t="s">
        <v>84</v>
      </c>
      <c r="E1014" s="351"/>
      <c r="F1014" s="347" t="s">
        <v>85</v>
      </c>
      <c r="G1014" s="348"/>
      <c r="H1014" s="349"/>
      <c r="I1014" s="350" t="s">
        <v>86</v>
      </c>
      <c r="J1014" s="351"/>
    </row>
    <row r="1015" spans="1:11" ht="20.45" hidden="1" customHeight="1" x14ac:dyDescent="0.6">
      <c r="A1015" s="332" t="e">
        <f>VLOOKUP(D1015,#REF!,2,0)</f>
        <v>#REF!</v>
      </c>
      <c r="B1015" s="352"/>
      <c r="C1015" s="259"/>
      <c r="D1015" s="353" t="str">
        <f>VLOOKUP(K1015,임금대장!$A$6:$AH$86,2,0)</f>
        <v>방창배</v>
      </c>
      <c r="E1015" s="354"/>
      <c r="F1015" s="355" t="e">
        <f>#REF!</f>
        <v>#REF!</v>
      </c>
      <c r="G1015" s="352"/>
      <c r="H1015" s="259"/>
      <c r="I1015" s="356">
        <f>VLOOKUP(K1015,임금대장!$A$6:$AH$86,15,0)</f>
        <v>186</v>
      </c>
      <c r="J1015" s="357"/>
      <c r="K1015" s="30">
        <v>45</v>
      </c>
    </row>
    <row r="1016" spans="1:11" ht="20.45" hidden="1" customHeight="1" x14ac:dyDescent="0.6">
      <c r="A1016" s="332" t="s">
        <v>87</v>
      </c>
      <c r="B1016" s="259"/>
      <c r="C1016" s="333" t="s">
        <v>5</v>
      </c>
      <c r="D1016" s="335" t="e">
        <f>VLOOKUP($K1015,#REF!,5,0)</f>
        <v>#REF!</v>
      </c>
      <c r="E1016" s="336"/>
      <c r="F1016" s="67" t="s">
        <v>88</v>
      </c>
      <c r="G1016" s="339">
        <f>VLOOKUP(K1015,임금대장!$A$6:$AH$86,14,0)</f>
        <v>0</v>
      </c>
      <c r="H1016" s="340"/>
      <c r="I1016" s="333" t="s">
        <v>89</v>
      </c>
      <c r="J1016" s="341" t="e">
        <f>VLOOKUP(D1015,#REF!,15,0)</f>
        <v>#REF!</v>
      </c>
    </row>
    <row r="1017" spans="1:11" ht="20.45" hidden="1" customHeight="1" x14ac:dyDescent="0.6">
      <c r="A1017" s="343" t="e">
        <f>VLOOKUP($K1015,#REF!,6,0)</f>
        <v>#REF!</v>
      </c>
      <c r="B1017" s="344"/>
      <c r="C1017" s="334"/>
      <c r="D1017" s="337"/>
      <c r="E1017" s="338"/>
      <c r="F1017" s="53" t="s">
        <v>90</v>
      </c>
      <c r="G1017" s="345">
        <f>VLOOKUP(K1015,임금대장!$A$6:$AH$86,15,0)</f>
        <v>186</v>
      </c>
      <c r="H1017" s="346"/>
      <c r="I1017" s="334"/>
      <c r="J1017" s="342"/>
    </row>
    <row r="1018" spans="1:11" ht="20.45" hidden="1" customHeight="1" x14ac:dyDescent="0.6">
      <c r="F1018" s="250"/>
      <c r="G1018" s="250"/>
      <c r="H1018" s="32"/>
    </row>
    <row r="1019" spans="1:11" ht="20.45" hidden="1" customHeight="1" x14ac:dyDescent="0.6">
      <c r="A1019" s="251" t="s">
        <v>91</v>
      </c>
      <c r="B1019" s="69" t="s">
        <v>20</v>
      </c>
      <c r="C1019" s="25">
        <f>VLOOKUP($K1015,임금대장!$A$6:$AH$86,8,0)</f>
        <v>13000</v>
      </c>
      <c r="D1019" s="33"/>
      <c r="E1019" s="69"/>
      <c r="F1019" s="254"/>
      <c r="G1019" s="255"/>
      <c r="H1019" s="25"/>
      <c r="I1019" s="33"/>
      <c r="J1019" s="34"/>
    </row>
    <row r="1020" spans="1:11" ht="20.45" hidden="1" customHeight="1" x14ac:dyDescent="0.6">
      <c r="A1020" s="252"/>
      <c r="B1020" s="67" t="s">
        <v>21</v>
      </c>
      <c r="C1020" s="35">
        <f>VLOOKUP($K1015,임금대장!$A$6:$AH$86,9,0)</f>
        <v>2418000</v>
      </c>
      <c r="D1020" s="36"/>
      <c r="E1020" s="67"/>
      <c r="F1020" s="256"/>
      <c r="G1020" s="257"/>
      <c r="H1020" s="35"/>
      <c r="I1020" s="36"/>
      <c r="J1020" s="37"/>
    </row>
    <row r="1021" spans="1:11" ht="20.45" hidden="1" customHeight="1" x14ac:dyDescent="0.6">
      <c r="A1021" s="252"/>
      <c r="B1021" s="52" t="s">
        <v>92</v>
      </c>
      <c r="C1021" s="35">
        <f>VLOOKUP($K1015,임금대장!$A$6:$AH$86,10,0)</f>
        <v>0</v>
      </c>
      <c r="D1021" s="36"/>
      <c r="E1021" s="67"/>
      <c r="F1021" s="256"/>
      <c r="G1021" s="257"/>
      <c r="H1021" s="35"/>
      <c r="I1021" s="36"/>
      <c r="J1021" s="37"/>
    </row>
    <row r="1022" spans="1:11" ht="20.45" hidden="1" customHeight="1" x14ac:dyDescent="0.6">
      <c r="A1022" s="252"/>
      <c r="B1022" s="67" t="s">
        <v>115</v>
      </c>
      <c r="C1022" s="35">
        <f>VLOOKUP($K1015,임금대장!$A$6:$AH$86,11,0)</f>
        <v>0</v>
      </c>
      <c r="D1022" s="36"/>
      <c r="E1022" s="67"/>
      <c r="F1022" s="256"/>
      <c r="G1022" s="257"/>
      <c r="H1022" s="35"/>
      <c r="I1022" s="36"/>
      <c r="J1022" s="37"/>
    </row>
    <row r="1023" spans="1:11" ht="20.45" hidden="1" customHeight="1" x14ac:dyDescent="0.6">
      <c r="A1023" s="252"/>
      <c r="B1023" s="67" t="s">
        <v>94</v>
      </c>
      <c r="C1023" s="35">
        <f>VLOOKUP($K1015,임금대장!$A$6:$AH$86,12,0)</f>
        <v>0</v>
      </c>
      <c r="D1023" s="36"/>
      <c r="E1023" s="36"/>
      <c r="F1023" s="258"/>
      <c r="G1023" s="259"/>
      <c r="H1023" s="35"/>
      <c r="I1023" s="36"/>
      <c r="J1023" s="37"/>
    </row>
    <row r="1024" spans="1:11" ht="20.45" hidden="1" customHeight="1" x14ac:dyDescent="0.6">
      <c r="A1024" s="252"/>
      <c r="B1024" s="67" t="s">
        <v>24</v>
      </c>
      <c r="C1024" s="102">
        <f>VLOOKUP($K1015,임금대장!$A$6:$AH$86,13,0)</f>
        <v>0</v>
      </c>
      <c r="D1024" s="36"/>
      <c r="E1024" s="36"/>
      <c r="F1024" s="258"/>
      <c r="G1024" s="259"/>
      <c r="H1024" s="35"/>
      <c r="I1024" s="36"/>
      <c r="J1024" s="37"/>
    </row>
    <row r="1025" spans="1:11" ht="20.45" hidden="1" customHeight="1" x14ac:dyDescent="0.6">
      <c r="A1025" s="252"/>
      <c r="B1025" s="67"/>
      <c r="C1025" s="35"/>
      <c r="D1025" s="36"/>
      <c r="E1025" s="36"/>
      <c r="F1025" s="258"/>
      <c r="G1025" s="259"/>
      <c r="H1025" s="35"/>
      <c r="I1025" s="36"/>
      <c r="J1025" s="37"/>
    </row>
    <row r="1026" spans="1:11" ht="20.45" hidden="1" customHeight="1" x14ac:dyDescent="0.6">
      <c r="A1026" s="252"/>
      <c r="B1026" s="67"/>
      <c r="C1026" s="35"/>
      <c r="D1026" s="36"/>
      <c r="E1026" s="36"/>
      <c r="F1026" s="258"/>
      <c r="G1026" s="259"/>
      <c r="H1026" s="35"/>
      <c r="I1026" s="36"/>
      <c r="J1026" s="37"/>
    </row>
    <row r="1027" spans="1:11" ht="20.45" hidden="1" customHeight="1" x14ac:dyDescent="0.6">
      <c r="A1027" s="253"/>
      <c r="B1027" s="68"/>
      <c r="C1027" s="39"/>
      <c r="D1027" s="40"/>
      <c r="E1027" s="40"/>
      <c r="F1027" s="260"/>
      <c r="G1027" s="261"/>
      <c r="H1027" s="39"/>
      <c r="I1027" s="68" t="s">
        <v>95</v>
      </c>
      <c r="J1027" s="41">
        <f>SUM(C1019:H1025)</f>
        <v>2431000</v>
      </c>
    </row>
    <row r="1028" spans="1:11" ht="20.45" hidden="1" customHeight="1" x14ac:dyDescent="0.6">
      <c r="A1028" s="251" t="s">
        <v>96</v>
      </c>
      <c r="B1028" s="36" t="s">
        <v>97</v>
      </c>
      <c r="C1028" s="35" t="str">
        <f>VLOOKUP($K1015,임금대장!$A$6:$AH$86,24,0)</f>
        <v>방창배</v>
      </c>
      <c r="D1028" s="33"/>
      <c r="E1028" s="42"/>
      <c r="F1028" s="262" t="s">
        <v>14</v>
      </c>
      <c r="G1028" s="263"/>
      <c r="H1028" s="35">
        <f>VLOOKUP($K1015,임금대장!$A$6:$AH$86,18,0)</f>
        <v>0</v>
      </c>
      <c r="I1028" s="33"/>
      <c r="J1028" s="34"/>
    </row>
    <row r="1029" spans="1:11" ht="20.45" hidden="1" customHeight="1" x14ac:dyDescent="0.6">
      <c r="A1029" s="252"/>
      <c r="B1029" s="36" t="s">
        <v>98</v>
      </c>
      <c r="C1029" s="35">
        <f>VLOOKUP($K1015,임금대장!$A$6:$AH$86,25,0)</f>
        <v>72540</v>
      </c>
      <c r="D1029" s="36"/>
      <c r="E1029" s="43"/>
      <c r="F1029" s="258" t="s">
        <v>12</v>
      </c>
      <c r="G1029" s="259"/>
      <c r="H1029" s="35">
        <f>VLOOKUP($K1015,임금대장!$A$6:$AH$86,16,0)</f>
        <v>0</v>
      </c>
      <c r="I1029" s="36"/>
      <c r="J1029" s="37"/>
    </row>
    <row r="1030" spans="1:11" ht="20.45" hidden="1" customHeight="1" x14ac:dyDescent="0.6">
      <c r="A1030" s="252"/>
      <c r="B1030" s="36" t="s">
        <v>99</v>
      </c>
      <c r="C1030" s="35">
        <f>VLOOKUP($K1015,임금대장!$A$6:$AH$86,26,0)</f>
        <v>7250</v>
      </c>
      <c r="D1030" s="36"/>
      <c r="E1030" s="44"/>
      <c r="F1030" s="258" t="s">
        <v>171</v>
      </c>
      <c r="G1030" s="259"/>
      <c r="H1030" s="35">
        <f>VLOOKUP($K1015,임금대장!$A$6:$AH$86,30,0)</f>
        <v>0</v>
      </c>
      <c r="I1030" s="36"/>
      <c r="J1030" s="37"/>
    </row>
    <row r="1031" spans="1:11" ht="20.45" hidden="1" customHeight="1" x14ac:dyDescent="0.6">
      <c r="A1031" s="252"/>
      <c r="B1031" s="36" t="s">
        <v>101</v>
      </c>
      <c r="C1031" s="35">
        <f>VLOOKUP($K1015,임금대장!$A$6:$AH$86,27,0)</f>
        <v>0</v>
      </c>
      <c r="D1031" s="36"/>
      <c r="E1031" s="43"/>
      <c r="F1031" s="258" t="s">
        <v>102</v>
      </c>
      <c r="G1031" s="259"/>
      <c r="H1031" s="35">
        <f>VLOOKUP($K1015,임금대장!$A$6:$AH$86,29,0)</f>
        <v>0</v>
      </c>
      <c r="I1031" s="36"/>
      <c r="J1031" s="37"/>
    </row>
    <row r="1032" spans="1:11" ht="20.45" hidden="1" customHeight="1" x14ac:dyDescent="0.6">
      <c r="A1032" s="252"/>
      <c r="B1032" s="36" t="s">
        <v>31</v>
      </c>
      <c r="C1032" s="35">
        <f>VLOOKUP($K1015,임금대장!$A$6:$AH$86,28,0)</f>
        <v>0</v>
      </c>
      <c r="D1032" s="36"/>
      <c r="E1032" s="43"/>
      <c r="F1032" s="45"/>
      <c r="G1032" s="46"/>
      <c r="H1032" s="36"/>
      <c r="I1032" s="67" t="s">
        <v>103</v>
      </c>
      <c r="J1032" s="47">
        <f>SUM(C1028:H1033)</f>
        <v>79790</v>
      </c>
    </row>
    <row r="1033" spans="1:11" ht="20.45" hidden="1" customHeight="1" x14ac:dyDescent="0.6">
      <c r="A1033" s="253"/>
      <c r="B1033" s="40"/>
      <c r="C1033" s="101"/>
      <c r="D1033" s="40"/>
      <c r="E1033" s="48"/>
      <c r="F1033" s="260"/>
      <c r="G1033" s="261"/>
      <c r="H1033" s="40"/>
      <c r="I1033" s="68" t="s">
        <v>104</v>
      </c>
      <c r="J1033" s="49">
        <f>J1027-J1032</f>
        <v>2351210</v>
      </c>
    </row>
    <row r="1034" spans="1:11" ht="20.45" hidden="1" customHeight="1" x14ac:dyDescent="0.6">
      <c r="A1034" s="50" t="s">
        <v>105</v>
      </c>
      <c r="J1034" s="51" t="s">
        <v>0</v>
      </c>
    </row>
    <row r="1035" spans="1:11" ht="20.45" hidden="1" customHeight="1" x14ac:dyDescent="0.6">
      <c r="A1035" s="50"/>
      <c r="J1035" s="51"/>
    </row>
    <row r="1036" spans="1:11" ht="20.45" hidden="1" customHeight="1" x14ac:dyDescent="0.6">
      <c r="A1036" s="264" t="s">
        <v>172</v>
      </c>
      <c r="B1036" s="264"/>
      <c r="C1036" s="264"/>
      <c r="D1036" s="264"/>
      <c r="E1036" s="264"/>
      <c r="F1036" s="264"/>
      <c r="G1036" s="264"/>
      <c r="H1036" s="264"/>
      <c r="I1036" s="264"/>
      <c r="J1036" s="264"/>
    </row>
    <row r="1037" spans="1:11" ht="20.45" hidden="1" customHeight="1" x14ac:dyDescent="0.6">
      <c r="A1037" s="347" t="s">
        <v>83</v>
      </c>
      <c r="B1037" s="348"/>
      <c r="C1037" s="349"/>
      <c r="D1037" s="350" t="s">
        <v>84</v>
      </c>
      <c r="E1037" s="351"/>
      <c r="F1037" s="347" t="s">
        <v>85</v>
      </c>
      <c r="G1037" s="348"/>
      <c r="H1037" s="349"/>
      <c r="I1037" s="350" t="s">
        <v>86</v>
      </c>
      <c r="J1037" s="351"/>
    </row>
    <row r="1038" spans="1:11" ht="20.45" hidden="1" customHeight="1" x14ac:dyDescent="0.6">
      <c r="A1038" s="332" t="e">
        <f>VLOOKUP(D1038,#REF!,2,0)</f>
        <v>#REF!</v>
      </c>
      <c r="B1038" s="352"/>
      <c r="C1038" s="259"/>
      <c r="D1038" s="353" t="str">
        <f>VLOOKUP(K1038,임금대장!$A$6:$AH$86,2,0)</f>
        <v>주혜원</v>
      </c>
      <c r="E1038" s="354"/>
      <c r="F1038" s="355" t="e">
        <f>#REF!</f>
        <v>#REF!</v>
      </c>
      <c r="G1038" s="352"/>
      <c r="H1038" s="259"/>
      <c r="I1038" s="356">
        <f>VLOOKUP(K1038,임금대장!$A$6:$AH$86,15,0)</f>
        <v>136</v>
      </c>
      <c r="J1038" s="357"/>
      <c r="K1038" s="30">
        <v>46</v>
      </c>
    </row>
    <row r="1039" spans="1:11" ht="20.45" hidden="1" customHeight="1" x14ac:dyDescent="0.6">
      <c r="A1039" s="332" t="s">
        <v>87</v>
      </c>
      <c r="B1039" s="259"/>
      <c r="C1039" s="333" t="s">
        <v>5</v>
      </c>
      <c r="D1039" s="335" t="e">
        <f>VLOOKUP($K1038,#REF!,5,0)</f>
        <v>#REF!</v>
      </c>
      <c r="E1039" s="336"/>
      <c r="F1039" s="67" t="s">
        <v>88</v>
      </c>
      <c r="G1039" s="339">
        <f>VLOOKUP(K1038,임금대장!$A$6:$AH$86,14,0)</f>
        <v>0</v>
      </c>
      <c r="H1039" s="340"/>
      <c r="I1039" s="333" t="s">
        <v>89</v>
      </c>
      <c r="J1039" s="341" t="e">
        <f>VLOOKUP(D1038,#REF!,15,0)</f>
        <v>#REF!</v>
      </c>
    </row>
    <row r="1040" spans="1:11" ht="20.45" hidden="1" customHeight="1" x14ac:dyDescent="0.6">
      <c r="A1040" s="343" t="e">
        <f>VLOOKUP($K1038,#REF!,6,0)</f>
        <v>#REF!</v>
      </c>
      <c r="B1040" s="344"/>
      <c r="C1040" s="334"/>
      <c r="D1040" s="337"/>
      <c r="E1040" s="338"/>
      <c r="F1040" s="53" t="s">
        <v>90</v>
      </c>
      <c r="G1040" s="345">
        <f>VLOOKUP(K1038,임금대장!$A$6:$AH$86,15,0)</f>
        <v>136</v>
      </c>
      <c r="H1040" s="346"/>
      <c r="I1040" s="334"/>
      <c r="J1040" s="342"/>
    </row>
    <row r="1041" spans="1:10" ht="20.45" hidden="1" customHeight="1" x14ac:dyDescent="0.6">
      <c r="F1041" s="250"/>
      <c r="G1041" s="250"/>
      <c r="H1041" s="32"/>
    </row>
    <row r="1042" spans="1:10" ht="20.45" hidden="1" customHeight="1" x14ac:dyDescent="0.6">
      <c r="A1042" s="251" t="s">
        <v>91</v>
      </c>
      <c r="B1042" s="69" t="s">
        <v>20</v>
      </c>
      <c r="C1042" s="25">
        <f>VLOOKUP($K1038,임금대장!$A$6:$AH$86,8,0)</f>
        <v>13000</v>
      </c>
      <c r="D1042" s="33"/>
      <c r="E1042" s="69"/>
      <c r="F1042" s="254"/>
      <c r="G1042" s="255"/>
      <c r="H1042" s="25"/>
      <c r="I1042" s="33"/>
      <c r="J1042" s="34"/>
    </row>
    <row r="1043" spans="1:10" ht="20.45" hidden="1" customHeight="1" x14ac:dyDescent="0.6">
      <c r="A1043" s="252"/>
      <c r="B1043" s="67" t="s">
        <v>21</v>
      </c>
      <c r="C1043" s="35">
        <f>VLOOKUP($K1038,임금대장!$A$6:$AH$86,9,0)</f>
        <v>1768000</v>
      </c>
      <c r="D1043" s="36"/>
      <c r="E1043" s="67"/>
      <c r="F1043" s="256"/>
      <c r="G1043" s="257"/>
      <c r="H1043" s="35"/>
      <c r="I1043" s="36"/>
      <c r="J1043" s="37"/>
    </row>
    <row r="1044" spans="1:10" ht="20.45" hidden="1" customHeight="1" x14ac:dyDescent="0.6">
      <c r="A1044" s="252"/>
      <c r="B1044" s="52" t="s">
        <v>92</v>
      </c>
      <c r="C1044" s="35">
        <f>VLOOKUP($K1038,임금대장!$A$6:$AH$86,10,0)</f>
        <v>0</v>
      </c>
      <c r="D1044" s="36"/>
      <c r="E1044" s="67"/>
      <c r="F1044" s="256"/>
      <c r="G1044" s="257"/>
      <c r="H1044" s="35"/>
      <c r="I1044" s="36"/>
      <c r="J1044" s="37"/>
    </row>
    <row r="1045" spans="1:10" ht="20.45" hidden="1" customHeight="1" x14ac:dyDescent="0.6">
      <c r="A1045" s="252"/>
      <c r="B1045" s="67" t="s">
        <v>115</v>
      </c>
      <c r="C1045" s="35">
        <f>VLOOKUP($K1038,임금대장!$A$6:$AH$86,11,0)</f>
        <v>0</v>
      </c>
      <c r="D1045" s="36"/>
      <c r="E1045" s="67"/>
      <c r="F1045" s="256"/>
      <c r="G1045" s="257"/>
      <c r="H1045" s="35"/>
      <c r="I1045" s="36"/>
      <c r="J1045" s="37"/>
    </row>
    <row r="1046" spans="1:10" ht="20.45" hidden="1" customHeight="1" x14ac:dyDescent="0.6">
      <c r="A1046" s="252"/>
      <c r="B1046" s="67" t="s">
        <v>94</v>
      </c>
      <c r="C1046" s="35">
        <f>VLOOKUP($K1038,임금대장!$A$6:$AH$86,12,0)</f>
        <v>0</v>
      </c>
      <c r="D1046" s="36"/>
      <c r="E1046" s="36"/>
      <c r="F1046" s="258"/>
      <c r="G1046" s="259"/>
      <c r="H1046" s="35"/>
      <c r="I1046" s="36"/>
      <c r="J1046" s="37"/>
    </row>
    <row r="1047" spans="1:10" ht="20.45" hidden="1" customHeight="1" x14ac:dyDescent="0.6">
      <c r="A1047" s="252"/>
      <c r="B1047" s="67" t="s">
        <v>24</v>
      </c>
      <c r="C1047" s="102">
        <f>VLOOKUP($K1038,임금대장!$A$6:$AH$86,13,0)</f>
        <v>0</v>
      </c>
      <c r="D1047" s="36"/>
      <c r="E1047" s="36"/>
      <c r="F1047" s="258"/>
      <c r="G1047" s="259"/>
      <c r="H1047" s="35"/>
      <c r="I1047" s="36"/>
      <c r="J1047" s="37"/>
    </row>
    <row r="1048" spans="1:10" ht="20.45" hidden="1" customHeight="1" x14ac:dyDescent="0.6">
      <c r="A1048" s="252"/>
      <c r="B1048" s="67"/>
      <c r="C1048" s="35"/>
      <c r="D1048" s="36"/>
      <c r="E1048" s="36"/>
      <c r="F1048" s="258"/>
      <c r="G1048" s="259"/>
      <c r="H1048" s="35"/>
      <c r="I1048" s="36"/>
      <c r="J1048" s="37"/>
    </row>
    <row r="1049" spans="1:10" ht="20.45" hidden="1" customHeight="1" x14ac:dyDescent="0.6">
      <c r="A1049" s="252"/>
      <c r="B1049" s="67"/>
      <c r="C1049" s="35"/>
      <c r="D1049" s="36"/>
      <c r="E1049" s="36"/>
      <c r="F1049" s="258"/>
      <c r="G1049" s="259"/>
      <c r="H1049" s="35"/>
      <c r="I1049" s="36"/>
      <c r="J1049" s="37"/>
    </row>
    <row r="1050" spans="1:10" ht="20.45" hidden="1" customHeight="1" x14ac:dyDescent="0.6">
      <c r="A1050" s="253"/>
      <c r="B1050" s="68"/>
      <c r="C1050" s="39"/>
      <c r="D1050" s="40"/>
      <c r="E1050" s="40"/>
      <c r="F1050" s="260"/>
      <c r="G1050" s="261"/>
      <c r="H1050" s="39"/>
      <c r="I1050" s="68" t="s">
        <v>95</v>
      </c>
      <c r="J1050" s="41">
        <f>SUM(C1042:H1048)</f>
        <v>1781000</v>
      </c>
    </row>
    <row r="1051" spans="1:10" ht="20.45" hidden="1" customHeight="1" x14ac:dyDescent="0.6">
      <c r="A1051" s="251" t="s">
        <v>96</v>
      </c>
      <c r="B1051" s="36" t="s">
        <v>97</v>
      </c>
      <c r="C1051" s="35" t="str">
        <f>VLOOKUP($K1038,임금대장!$A$6:$AH$86,24,0)</f>
        <v>주혜원</v>
      </c>
      <c r="D1051" s="33"/>
      <c r="E1051" s="42"/>
      <c r="F1051" s="262" t="s">
        <v>14</v>
      </c>
      <c r="G1051" s="263"/>
      <c r="H1051" s="35">
        <f>VLOOKUP($K1038,임금대장!$A$6:$AH$86,18,0)</f>
        <v>0</v>
      </c>
      <c r="I1051" s="33"/>
      <c r="J1051" s="34"/>
    </row>
    <row r="1052" spans="1:10" ht="20.45" hidden="1" customHeight="1" x14ac:dyDescent="0.6">
      <c r="A1052" s="252"/>
      <c r="B1052" s="36" t="s">
        <v>98</v>
      </c>
      <c r="C1052" s="35">
        <f>VLOOKUP($K1038,임금대장!$A$6:$AH$86,25,0)</f>
        <v>53040</v>
      </c>
      <c r="D1052" s="36"/>
      <c r="E1052" s="43"/>
      <c r="F1052" s="258" t="s">
        <v>12</v>
      </c>
      <c r="G1052" s="259"/>
      <c r="H1052" s="35">
        <f>VLOOKUP($K1038,임금대장!$A$6:$AH$86,16,0)</f>
        <v>0</v>
      </c>
      <c r="I1052" s="36"/>
      <c r="J1052" s="37"/>
    </row>
    <row r="1053" spans="1:10" ht="20.45" hidden="1" customHeight="1" x14ac:dyDescent="0.6">
      <c r="A1053" s="252"/>
      <c r="B1053" s="36" t="s">
        <v>99</v>
      </c>
      <c r="C1053" s="35">
        <f>VLOOKUP($K1038,임금대장!$A$6:$AH$86,26,0)</f>
        <v>5300</v>
      </c>
      <c r="D1053" s="36"/>
      <c r="E1053" s="44"/>
      <c r="F1053" s="258" t="s">
        <v>171</v>
      </c>
      <c r="G1053" s="259"/>
      <c r="H1053" s="35">
        <f>VLOOKUP($K1038,임금대장!$A$6:$AH$86,30,0)</f>
        <v>0</v>
      </c>
      <c r="I1053" s="36"/>
      <c r="J1053" s="37"/>
    </row>
    <row r="1054" spans="1:10" ht="20.45" hidden="1" customHeight="1" x14ac:dyDescent="0.6">
      <c r="A1054" s="252"/>
      <c r="B1054" s="36" t="s">
        <v>101</v>
      </c>
      <c r="C1054" s="35">
        <f>VLOOKUP($K1038,임금대장!$A$6:$AH$86,27,0)</f>
        <v>0</v>
      </c>
      <c r="D1054" s="36"/>
      <c r="E1054" s="43"/>
      <c r="F1054" s="258" t="s">
        <v>102</v>
      </c>
      <c r="G1054" s="259"/>
      <c r="H1054" s="35">
        <f>VLOOKUP($K1038,임금대장!$A$6:$AH$86,29,0)</f>
        <v>0</v>
      </c>
      <c r="I1054" s="36"/>
      <c r="J1054" s="37"/>
    </row>
    <row r="1055" spans="1:10" ht="20.45" hidden="1" customHeight="1" x14ac:dyDescent="0.6">
      <c r="A1055" s="252"/>
      <c r="B1055" s="36" t="s">
        <v>31</v>
      </c>
      <c r="C1055" s="35">
        <f>VLOOKUP($K1038,임금대장!$A$6:$AH$86,28,0)</f>
        <v>0</v>
      </c>
      <c r="D1055" s="36"/>
      <c r="E1055" s="43"/>
      <c r="F1055" s="45"/>
      <c r="G1055" s="46"/>
      <c r="H1055" s="36"/>
      <c r="I1055" s="67" t="s">
        <v>103</v>
      </c>
      <c r="J1055" s="47">
        <f>SUM(C1051:H1056)</f>
        <v>58340</v>
      </c>
    </row>
    <row r="1056" spans="1:10" ht="20.45" hidden="1" customHeight="1" x14ac:dyDescent="0.6">
      <c r="A1056" s="253"/>
      <c r="B1056" s="40"/>
      <c r="C1056" s="101"/>
      <c r="D1056" s="40"/>
      <c r="E1056" s="48"/>
      <c r="F1056" s="260"/>
      <c r="G1056" s="261"/>
      <c r="H1056" s="40"/>
      <c r="I1056" s="68" t="s">
        <v>104</v>
      </c>
      <c r="J1056" s="49">
        <f>J1050-J1055</f>
        <v>1722660</v>
      </c>
    </row>
    <row r="1057" spans="1:11" ht="20.45" hidden="1" customHeight="1" x14ac:dyDescent="0.6">
      <c r="A1057" s="50" t="s">
        <v>105</v>
      </c>
      <c r="J1057" s="51" t="s">
        <v>0</v>
      </c>
    </row>
    <row r="1058" spans="1:11" ht="20.45" hidden="1" customHeight="1" x14ac:dyDescent="0.6">
      <c r="A1058" s="50"/>
      <c r="J1058" s="51"/>
    </row>
    <row r="1059" spans="1:11" ht="20.45" hidden="1" customHeight="1" x14ac:dyDescent="0.6">
      <c r="A1059" s="264" t="s">
        <v>172</v>
      </c>
      <c r="B1059" s="264"/>
      <c r="C1059" s="264"/>
      <c r="D1059" s="264"/>
      <c r="E1059" s="264"/>
      <c r="F1059" s="264"/>
      <c r="G1059" s="264"/>
      <c r="H1059" s="264"/>
      <c r="I1059" s="264"/>
      <c r="J1059" s="264"/>
    </row>
    <row r="1060" spans="1:11" ht="20.45" hidden="1" customHeight="1" x14ac:dyDescent="0.6">
      <c r="A1060" s="347" t="s">
        <v>83</v>
      </c>
      <c r="B1060" s="348"/>
      <c r="C1060" s="349"/>
      <c r="D1060" s="350" t="s">
        <v>84</v>
      </c>
      <c r="E1060" s="351"/>
      <c r="F1060" s="347" t="s">
        <v>85</v>
      </c>
      <c r="G1060" s="348"/>
      <c r="H1060" s="349"/>
      <c r="I1060" s="350" t="s">
        <v>86</v>
      </c>
      <c r="J1060" s="351"/>
    </row>
    <row r="1061" spans="1:11" ht="20.45" hidden="1" customHeight="1" x14ac:dyDescent="0.6">
      <c r="A1061" s="332" t="e">
        <f>VLOOKUP(D1061,#REF!,2,0)</f>
        <v>#REF!</v>
      </c>
      <c r="B1061" s="352"/>
      <c r="C1061" s="259"/>
      <c r="D1061" s="353" t="str">
        <f>VLOOKUP(K1061,임금대장!$A$6:$AH$86,2,0)</f>
        <v>김철우</v>
      </c>
      <c r="E1061" s="354"/>
      <c r="F1061" s="355" t="e">
        <f>#REF!</f>
        <v>#REF!</v>
      </c>
      <c r="G1061" s="352"/>
      <c r="H1061" s="259"/>
      <c r="I1061" s="356">
        <f>VLOOKUP(K1061,임금대장!$A$6:$AH$86,15,0)</f>
        <v>132.5</v>
      </c>
      <c r="J1061" s="357"/>
      <c r="K1061" s="30">
        <v>47</v>
      </c>
    </row>
    <row r="1062" spans="1:11" ht="20.45" hidden="1" customHeight="1" x14ac:dyDescent="0.6">
      <c r="A1062" s="332" t="s">
        <v>87</v>
      </c>
      <c r="B1062" s="259"/>
      <c r="C1062" s="333" t="s">
        <v>5</v>
      </c>
      <c r="D1062" s="335" t="e">
        <f>VLOOKUP($K1061,#REF!,5,0)</f>
        <v>#REF!</v>
      </c>
      <c r="E1062" s="336"/>
      <c r="F1062" s="67" t="s">
        <v>88</v>
      </c>
      <c r="G1062" s="339">
        <f>VLOOKUP(K1061,임금대장!$A$6:$AH$86,14,0)</f>
        <v>0</v>
      </c>
      <c r="H1062" s="340"/>
      <c r="I1062" s="333" t="s">
        <v>89</v>
      </c>
      <c r="J1062" s="341" t="e">
        <f>VLOOKUP(D1061,#REF!,15,0)</f>
        <v>#REF!</v>
      </c>
    </row>
    <row r="1063" spans="1:11" ht="20.45" hidden="1" customHeight="1" x14ac:dyDescent="0.6">
      <c r="A1063" s="343" t="e">
        <f>VLOOKUP($K1061,#REF!,6,0)</f>
        <v>#REF!</v>
      </c>
      <c r="B1063" s="344"/>
      <c r="C1063" s="334"/>
      <c r="D1063" s="337"/>
      <c r="E1063" s="338"/>
      <c r="F1063" s="53" t="s">
        <v>90</v>
      </c>
      <c r="G1063" s="345">
        <f>VLOOKUP(K1061,임금대장!$A$6:$AH$86,15,0)</f>
        <v>132.5</v>
      </c>
      <c r="H1063" s="346"/>
      <c r="I1063" s="334"/>
      <c r="J1063" s="342"/>
    </row>
    <row r="1064" spans="1:11" ht="20.45" hidden="1" customHeight="1" x14ac:dyDescent="0.6">
      <c r="F1064" s="250"/>
      <c r="G1064" s="250"/>
      <c r="H1064" s="32"/>
    </row>
    <row r="1065" spans="1:11" ht="20.45" hidden="1" customHeight="1" x14ac:dyDescent="0.6">
      <c r="A1065" s="251" t="s">
        <v>91</v>
      </c>
      <c r="B1065" s="69" t="s">
        <v>20</v>
      </c>
      <c r="C1065" s="25">
        <f>VLOOKUP($K1061,임금대장!$A$6:$AH$86,8,0)</f>
        <v>13000</v>
      </c>
      <c r="D1065" s="33"/>
      <c r="E1065" s="69"/>
      <c r="F1065" s="254"/>
      <c r="G1065" s="255"/>
      <c r="H1065" s="25"/>
      <c r="I1065" s="33"/>
      <c r="J1065" s="34"/>
    </row>
    <row r="1066" spans="1:11" ht="20.45" hidden="1" customHeight="1" x14ac:dyDescent="0.6">
      <c r="A1066" s="252"/>
      <c r="B1066" s="67" t="s">
        <v>21</v>
      </c>
      <c r="C1066" s="35">
        <f>VLOOKUP($K1061,임금대장!$A$6:$AH$86,9,0)</f>
        <v>1722500</v>
      </c>
      <c r="D1066" s="36"/>
      <c r="E1066" s="67"/>
      <c r="F1066" s="256"/>
      <c r="G1066" s="257"/>
      <c r="H1066" s="35"/>
      <c r="I1066" s="36"/>
      <c r="J1066" s="37"/>
    </row>
    <row r="1067" spans="1:11" ht="20.45" hidden="1" customHeight="1" x14ac:dyDescent="0.6">
      <c r="A1067" s="252"/>
      <c r="B1067" s="52" t="s">
        <v>92</v>
      </c>
      <c r="C1067" s="35">
        <f>VLOOKUP($K1061,임금대장!$A$6:$AH$86,10,0)</f>
        <v>0</v>
      </c>
      <c r="D1067" s="36"/>
      <c r="E1067" s="67"/>
      <c r="F1067" s="256"/>
      <c r="G1067" s="257"/>
      <c r="H1067" s="35"/>
      <c r="I1067" s="36"/>
      <c r="J1067" s="37"/>
    </row>
    <row r="1068" spans="1:11" ht="20.45" hidden="1" customHeight="1" x14ac:dyDescent="0.6">
      <c r="A1068" s="252"/>
      <c r="B1068" s="67" t="s">
        <v>115</v>
      </c>
      <c r="C1068" s="35">
        <f>VLOOKUP($K1061,임금대장!$A$6:$AH$86,11,0)</f>
        <v>0</v>
      </c>
      <c r="D1068" s="36"/>
      <c r="E1068" s="67"/>
      <c r="F1068" s="256"/>
      <c r="G1068" s="257"/>
      <c r="H1068" s="35"/>
      <c r="I1068" s="36"/>
      <c r="J1068" s="37"/>
    </row>
    <row r="1069" spans="1:11" ht="20.45" hidden="1" customHeight="1" x14ac:dyDescent="0.6">
      <c r="A1069" s="252"/>
      <c r="B1069" s="67" t="s">
        <v>94</v>
      </c>
      <c r="C1069" s="35">
        <f>VLOOKUP($K1061,임금대장!$A$6:$AH$86,12,0)</f>
        <v>0</v>
      </c>
      <c r="D1069" s="36"/>
      <c r="E1069" s="36"/>
      <c r="F1069" s="258"/>
      <c r="G1069" s="259"/>
      <c r="H1069" s="35"/>
      <c r="I1069" s="36"/>
      <c r="J1069" s="37"/>
    </row>
    <row r="1070" spans="1:11" ht="20.45" hidden="1" customHeight="1" x14ac:dyDescent="0.6">
      <c r="A1070" s="252"/>
      <c r="B1070" s="67" t="s">
        <v>24</v>
      </c>
      <c r="C1070" s="102">
        <f>VLOOKUP($K1061,임금대장!$A$6:$AH$86,13,0)</f>
        <v>0</v>
      </c>
      <c r="D1070" s="36"/>
      <c r="E1070" s="36"/>
      <c r="F1070" s="258"/>
      <c r="G1070" s="259"/>
      <c r="H1070" s="35"/>
      <c r="I1070" s="36"/>
      <c r="J1070" s="37"/>
    </row>
    <row r="1071" spans="1:11" ht="20.45" hidden="1" customHeight="1" x14ac:dyDescent="0.6">
      <c r="A1071" s="252"/>
      <c r="B1071" s="67"/>
      <c r="C1071" s="35"/>
      <c r="D1071" s="36"/>
      <c r="E1071" s="36"/>
      <c r="F1071" s="258"/>
      <c r="G1071" s="259"/>
      <c r="H1071" s="35"/>
      <c r="I1071" s="36"/>
      <c r="J1071" s="37"/>
    </row>
    <row r="1072" spans="1:11" ht="20.45" hidden="1" customHeight="1" x14ac:dyDescent="0.6">
      <c r="A1072" s="252"/>
      <c r="B1072" s="67"/>
      <c r="C1072" s="35"/>
      <c r="D1072" s="36"/>
      <c r="E1072" s="36"/>
      <c r="F1072" s="258"/>
      <c r="G1072" s="259"/>
      <c r="H1072" s="35"/>
      <c r="I1072" s="36"/>
      <c r="J1072" s="37"/>
    </row>
    <row r="1073" spans="1:11" ht="20.45" hidden="1" customHeight="1" x14ac:dyDescent="0.6">
      <c r="A1073" s="253"/>
      <c r="B1073" s="68"/>
      <c r="C1073" s="39"/>
      <c r="D1073" s="40"/>
      <c r="E1073" s="40"/>
      <c r="F1073" s="260"/>
      <c r="G1073" s="261"/>
      <c r="H1073" s="39"/>
      <c r="I1073" s="68" t="s">
        <v>95</v>
      </c>
      <c r="J1073" s="41">
        <f>SUM(C1065:H1071)</f>
        <v>1735500</v>
      </c>
    </row>
    <row r="1074" spans="1:11" ht="20.45" hidden="1" customHeight="1" x14ac:dyDescent="0.6">
      <c r="A1074" s="251" t="s">
        <v>96</v>
      </c>
      <c r="B1074" s="36" t="s">
        <v>97</v>
      </c>
      <c r="C1074" s="35" t="str">
        <f>VLOOKUP($K1061,임금대장!$A$6:$AH$86,24,0)</f>
        <v>김철우</v>
      </c>
      <c r="D1074" s="33"/>
      <c r="E1074" s="42"/>
      <c r="F1074" s="262" t="s">
        <v>14</v>
      </c>
      <c r="G1074" s="263"/>
      <c r="H1074" s="35">
        <f>VLOOKUP($K1061,임금대장!$A$6:$AH$86,18,0)</f>
        <v>0</v>
      </c>
      <c r="I1074" s="33"/>
      <c r="J1074" s="34"/>
    </row>
    <row r="1075" spans="1:11" ht="20.45" hidden="1" customHeight="1" x14ac:dyDescent="0.6">
      <c r="A1075" s="252"/>
      <c r="B1075" s="36" t="s">
        <v>98</v>
      </c>
      <c r="C1075" s="35">
        <f>VLOOKUP($K1061,임금대장!$A$6:$AH$86,25,0)</f>
        <v>51670</v>
      </c>
      <c r="D1075" s="36"/>
      <c r="E1075" s="43"/>
      <c r="F1075" s="258" t="s">
        <v>12</v>
      </c>
      <c r="G1075" s="259"/>
      <c r="H1075" s="35">
        <f>VLOOKUP($K1061,임금대장!$A$6:$AH$86,16,0)</f>
        <v>0</v>
      </c>
      <c r="I1075" s="36"/>
      <c r="J1075" s="37"/>
    </row>
    <row r="1076" spans="1:11" ht="20.45" hidden="1" customHeight="1" x14ac:dyDescent="0.6">
      <c r="A1076" s="252"/>
      <c r="B1076" s="36" t="s">
        <v>99</v>
      </c>
      <c r="C1076" s="35">
        <f>VLOOKUP($K1061,임금대장!$A$6:$AH$86,26,0)</f>
        <v>5160</v>
      </c>
      <c r="D1076" s="36"/>
      <c r="E1076" s="44"/>
      <c r="F1076" s="258" t="s">
        <v>171</v>
      </c>
      <c r="G1076" s="259"/>
      <c r="H1076" s="35">
        <f>VLOOKUP($K1061,임금대장!$A$6:$AH$86,30,0)</f>
        <v>0</v>
      </c>
      <c r="I1076" s="36"/>
      <c r="J1076" s="37"/>
    </row>
    <row r="1077" spans="1:11" ht="20.45" hidden="1" customHeight="1" x14ac:dyDescent="0.6">
      <c r="A1077" s="252"/>
      <c r="B1077" s="36" t="s">
        <v>101</v>
      </c>
      <c r="C1077" s="35">
        <f>VLOOKUP($K1061,임금대장!$A$6:$AH$86,27,0)</f>
        <v>0</v>
      </c>
      <c r="D1077" s="36"/>
      <c r="E1077" s="43"/>
      <c r="F1077" s="258" t="s">
        <v>102</v>
      </c>
      <c r="G1077" s="259"/>
      <c r="H1077" s="35">
        <f>VLOOKUP($K1061,임금대장!$A$6:$AH$86,29,0)</f>
        <v>0</v>
      </c>
      <c r="I1077" s="36"/>
      <c r="J1077" s="37"/>
    </row>
    <row r="1078" spans="1:11" ht="20.45" hidden="1" customHeight="1" x14ac:dyDescent="0.6">
      <c r="A1078" s="252"/>
      <c r="B1078" s="36" t="s">
        <v>31</v>
      </c>
      <c r="C1078" s="35">
        <f>VLOOKUP($K1061,임금대장!$A$6:$AH$86,28,0)</f>
        <v>0</v>
      </c>
      <c r="D1078" s="36"/>
      <c r="E1078" s="43"/>
      <c r="F1078" s="45"/>
      <c r="G1078" s="46"/>
      <c r="H1078" s="36"/>
      <c r="I1078" s="67" t="s">
        <v>103</v>
      </c>
      <c r="J1078" s="47">
        <f>SUM(C1074:H1079)</f>
        <v>56830</v>
      </c>
    </row>
    <row r="1079" spans="1:11" ht="20.45" hidden="1" customHeight="1" x14ac:dyDescent="0.6">
      <c r="A1079" s="253"/>
      <c r="B1079" s="40"/>
      <c r="C1079" s="101"/>
      <c r="D1079" s="40"/>
      <c r="E1079" s="48"/>
      <c r="F1079" s="260"/>
      <c r="G1079" s="261"/>
      <c r="H1079" s="40"/>
      <c r="I1079" s="68" t="s">
        <v>104</v>
      </c>
      <c r="J1079" s="49">
        <f>J1073-J1078</f>
        <v>1678670</v>
      </c>
    </row>
    <row r="1080" spans="1:11" ht="20.45" hidden="1" customHeight="1" x14ac:dyDescent="0.6">
      <c r="A1080" s="50" t="s">
        <v>105</v>
      </c>
      <c r="J1080" s="51" t="s">
        <v>0</v>
      </c>
    </row>
    <row r="1081" spans="1:11" ht="20.45" hidden="1" customHeight="1" x14ac:dyDescent="0.6">
      <c r="A1081" s="50"/>
      <c r="J1081" s="51"/>
    </row>
    <row r="1082" spans="1:11" ht="20.45" hidden="1" customHeight="1" x14ac:dyDescent="0.6">
      <c r="A1082" s="264" t="s">
        <v>172</v>
      </c>
      <c r="B1082" s="264"/>
      <c r="C1082" s="264"/>
      <c r="D1082" s="264"/>
      <c r="E1082" s="264"/>
      <c r="F1082" s="264"/>
      <c r="G1082" s="264"/>
      <c r="H1082" s="264"/>
      <c r="I1082" s="264"/>
      <c r="J1082" s="264"/>
    </row>
    <row r="1083" spans="1:11" ht="20.45" hidden="1" customHeight="1" x14ac:dyDescent="0.6">
      <c r="A1083" s="347" t="s">
        <v>83</v>
      </c>
      <c r="B1083" s="348"/>
      <c r="C1083" s="349"/>
      <c r="D1083" s="350" t="s">
        <v>84</v>
      </c>
      <c r="E1083" s="351"/>
      <c r="F1083" s="347" t="s">
        <v>85</v>
      </c>
      <c r="G1083" s="348"/>
      <c r="H1083" s="349"/>
      <c r="I1083" s="350" t="s">
        <v>86</v>
      </c>
      <c r="J1083" s="351"/>
    </row>
    <row r="1084" spans="1:11" ht="20.45" hidden="1" customHeight="1" x14ac:dyDescent="0.6">
      <c r="A1084" s="332" t="e">
        <f>VLOOKUP(D1084,#REF!,2,0)</f>
        <v>#REF!</v>
      </c>
      <c r="B1084" s="352"/>
      <c r="C1084" s="259"/>
      <c r="D1084" s="353" t="str">
        <f>VLOOKUP(K1084,임금대장!$A$6:$AH$86,2,0)</f>
        <v>김수연</v>
      </c>
      <c r="E1084" s="354"/>
      <c r="F1084" s="355" t="e">
        <f>#REF!</f>
        <v>#REF!</v>
      </c>
      <c r="G1084" s="352"/>
      <c r="H1084" s="259"/>
      <c r="I1084" s="356">
        <f>VLOOKUP(K1084,임금대장!$A$6:$AH$86,15,0)</f>
        <v>116</v>
      </c>
      <c r="J1084" s="357"/>
      <c r="K1084" s="30">
        <v>48</v>
      </c>
    </row>
    <row r="1085" spans="1:11" ht="20.45" hidden="1" customHeight="1" x14ac:dyDescent="0.6">
      <c r="A1085" s="332" t="s">
        <v>87</v>
      </c>
      <c r="B1085" s="259"/>
      <c r="C1085" s="333" t="s">
        <v>5</v>
      </c>
      <c r="D1085" s="335" t="e">
        <f>VLOOKUP($K1084,#REF!,5,0)</f>
        <v>#REF!</v>
      </c>
      <c r="E1085" s="336"/>
      <c r="F1085" s="67" t="s">
        <v>88</v>
      </c>
      <c r="G1085" s="339">
        <f>VLOOKUP(K1084,임금대장!$A$6:$AH$86,14,0)</f>
        <v>0</v>
      </c>
      <c r="H1085" s="340"/>
      <c r="I1085" s="333" t="s">
        <v>89</v>
      </c>
      <c r="J1085" s="341" t="e">
        <f>VLOOKUP(D1084,#REF!,15,0)</f>
        <v>#REF!</v>
      </c>
    </row>
    <row r="1086" spans="1:11" ht="20.45" hidden="1" customHeight="1" x14ac:dyDescent="0.6">
      <c r="A1086" s="343" t="e">
        <f>VLOOKUP($K1084,#REF!,6,0)</f>
        <v>#REF!</v>
      </c>
      <c r="B1086" s="344"/>
      <c r="C1086" s="334"/>
      <c r="D1086" s="337"/>
      <c r="E1086" s="338"/>
      <c r="F1086" s="53" t="s">
        <v>90</v>
      </c>
      <c r="G1086" s="345">
        <f>VLOOKUP(K1084,임금대장!$A$6:$AH$86,15,0)</f>
        <v>116</v>
      </c>
      <c r="H1086" s="346"/>
      <c r="I1086" s="334"/>
      <c r="J1086" s="342"/>
    </row>
    <row r="1087" spans="1:11" ht="20.45" hidden="1" customHeight="1" x14ac:dyDescent="0.6">
      <c r="F1087" s="250"/>
      <c r="G1087" s="250"/>
      <c r="H1087" s="32"/>
    </row>
    <row r="1088" spans="1:11" ht="20.45" hidden="1" customHeight="1" x14ac:dyDescent="0.6">
      <c r="A1088" s="251" t="s">
        <v>91</v>
      </c>
      <c r="B1088" s="69" t="s">
        <v>20</v>
      </c>
      <c r="C1088" s="25">
        <f>VLOOKUP($K1084,임금대장!$A$6:$AH$86,8,0)</f>
        <v>13000</v>
      </c>
      <c r="D1088" s="33"/>
      <c r="E1088" s="69"/>
      <c r="F1088" s="254"/>
      <c r="G1088" s="255"/>
      <c r="H1088" s="25"/>
      <c r="I1088" s="33"/>
      <c r="J1088" s="34"/>
    </row>
    <row r="1089" spans="1:10" ht="20.45" hidden="1" customHeight="1" x14ac:dyDescent="0.6">
      <c r="A1089" s="252"/>
      <c r="B1089" s="67" t="s">
        <v>21</v>
      </c>
      <c r="C1089" s="35">
        <f>VLOOKUP($K1084,임금대장!$A$6:$AH$86,9,0)</f>
        <v>1508000</v>
      </c>
      <c r="D1089" s="36"/>
      <c r="E1089" s="67"/>
      <c r="F1089" s="256"/>
      <c r="G1089" s="257"/>
      <c r="H1089" s="35"/>
      <c r="I1089" s="36"/>
      <c r="J1089" s="37"/>
    </row>
    <row r="1090" spans="1:10" ht="20.45" hidden="1" customHeight="1" x14ac:dyDescent="0.6">
      <c r="A1090" s="252"/>
      <c r="B1090" s="52" t="s">
        <v>92</v>
      </c>
      <c r="C1090" s="35">
        <f>VLOOKUP($K1084,임금대장!$A$6:$AH$86,10,0)</f>
        <v>0</v>
      </c>
      <c r="D1090" s="36"/>
      <c r="E1090" s="67"/>
      <c r="F1090" s="256"/>
      <c r="G1090" s="257"/>
      <c r="H1090" s="35"/>
      <c r="I1090" s="36"/>
      <c r="J1090" s="37"/>
    </row>
    <row r="1091" spans="1:10" ht="20.45" hidden="1" customHeight="1" x14ac:dyDescent="0.6">
      <c r="A1091" s="252"/>
      <c r="B1091" s="67" t="s">
        <v>115</v>
      </c>
      <c r="C1091" s="35">
        <f>VLOOKUP($K1084,임금대장!$A$6:$AH$86,11,0)</f>
        <v>0</v>
      </c>
      <c r="D1091" s="36"/>
      <c r="E1091" s="67"/>
      <c r="F1091" s="256"/>
      <c r="G1091" s="257"/>
      <c r="H1091" s="35"/>
      <c r="I1091" s="36"/>
      <c r="J1091" s="37"/>
    </row>
    <row r="1092" spans="1:10" ht="20.45" hidden="1" customHeight="1" x14ac:dyDescent="0.6">
      <c r="A1092" s="252"/>
      <c r="B1092" s="67" t="s">
        <v>94</v>
      </c>
      <c r="C1092" s="35">
        <f>VLOOKUP($K1084,임금대장!$A$6:$AH$86,12,0)</f>
        <v>0</v>
      </c>
      <c r="D1092" s="36"/>
      <c r="E1092" s="36"/>
      <c r="F1092" s="258"/>
      <c r="G1092" s="259"/>
      <c r="H1092" s="35"/>
      <c r="I1092" s="36"/>
      <c r="J1092" s="37"/>
    </row>
    <row r="1093" spans="1:10" ht="20.45" hidden="1" customHeight="1" x14ac:dyDescent="0.6">
      <c r="A1093" s="252"/>
      <c r="B1093" s="67" t="s">
        <v>24</v>
      </c>
      <c r="C1093" s="102">
        <f>VLOOKUP($K1084,임금대장!$A$6:$AH$86,13,0)</f>
        <v>0</v>
      </c>
      <c r="D1093" s="36"/>
      <c r="E1093" s="36"/>
      <c r="F1093" s="258"/>
      <c r="G1093" s="259"/>
      <c r="H1093" s="35"/>
      <c r="I1093" s="36"/>
      <c r="J1093" s="37"/>
    </row>
    <row r="1094" spans="1:10" ht="20.45" hidden="1" customHeight="1" x14ac:dyDescent="0.6">
      <c r="A1094" s="252"/>
      <c r="B1094" s="67"/>
      <c r="C1094" s="35"/>
      <c r="D1094" s="36"/>
      <c r="E1094" s="36"/>
      <c r="F1094" s="258"/>
      <c r="G1094" s="259"/>
      <c r="H1094" s="35"/>
      <c r="I1094" s="36"/>
      <c r="J1094" s="37"/>
    </row>
    <row r="1095" spans="1:10" ht="20.45" hidden="1" customHeight="1" x14ac:dyDescent="0.6">
      <c r="A1095" s="252"/>
      <c r="B1095" s="67"/>
      <c r="C1095" s="35"/>
      <c r="D1095" s="36"/>
      <c r="E1095" s="36"/>
      <c r="F1095" s="258"/>
      <c r="G1095" s="259"/>
      <c r="H1095" s="35"/>
      <c r="I1095" s="36"/>
      <c r="J1095" s="37"/>
    </row>
    <row r="1096" spans="1:10" ht="20.45" hidden="1" customHeight="1" x14ac:dyDescent="0.6">
      <c r="A1096" s="253"/>
      <c r="B1096" s="68"/>
      <c r="C1096" s="39"/>
      <c r="D1096" s="40"/>
      <c r="E1096" s="40"/>
      <c r="F1096" s="260"/>
      <c r="G1096" s="261"/>
      <c r="H1096" s="39"/>
      <c r="I1096" s="68" t="s">
        <v>95</v>
      </c>
      <c r="J1096" s="41">
        <f>SUM(C1088:H1094)</f>
        <v>1521000</v>
      </c>
    </row>
    <row r="1097" spans="1:10" ht="20.45" hidden="1" customHeight="1" x14ac:dyDescent="0.6">
      <c r="A1097" s="251" t="s">
        <v>96</v>
      </c>
      <c r="B1097" s="36" t="s">
        <v>97</v>
      </c>
      <c r="C1097" s="35" t="str">
        <f>VLOOKUP($K1084,임금대장!$A$6:$AH$86,24,0)</f>
        <v>김수연</v>
      </c>
      <c r="D1097" s="33"/>
      <c r="E1097" s="42"/>
      <c r="F1097" s="262" t="s">
        <v>14</v>
      </c>
      <c r="G1097" s="263"/>
      <c r="H1097" s="35">
        <f>VLOOKUP($K1084,임금대장!$A$6:$AH$86,18,0)</f>
        <v>0</v>
      </c>
      <c r="I1097" s="33"/>
      <c r="J1097" s="34"/>
    </row>
    <row r="1098" spans="1:10" ht="20.45" hidden="1" customHeight="1" x14ac:dyDescent="0.6">
      <c r="A1098" s="252"/>
      <c r="B1098" s="36" t="s">
        <v>98</v>
      </c>
      <c r="C1098" s="35">
        <f>VLOOKUP($K1084,임금대장!$A$6:$AH$86,25,0)</f>
        <v>45240</v>
      </c>
      <c r="D1098" s="36"/>
      <c r="E1098" s="43"/>
      <c r="F1098" s="258" t="s">
        <v>12</v>
      </c>
      <c r="G1098" s="259"/>
      <c r="H1098" s="35">
        <f>VLOOKUP($K1084,임금대장!$A$6:$AH$86,16,0)</f>
        <v>0</v>
      </c>
      <c r="I1098" s="36"/>
      <c r="J1098" s="37"/>
    </row>
    <row r="1099" spans="1:10" ht="20.45" hidden="1" customHeight="1" x14ac:dyDescent="0.6">
      <c r="A1099" s="252"/>
      <c r="B1099" s="36" t="s">
        <v>99</v>
      </c>
      <c r="C1099" s="35">
        <f>VLOOKUP($K1084,임금대장!$A$6:$AH$86,26,0)</f>
        <v>4520</v>
      </c>
      <c r="D1099" s="36"/>
      <c r="E1099" s="44"/>
      <c r="F1099" s="258" t="s">
        <v>171</v>
      </c>
      <c r="G1099" s="259"/>
      <c r="H1099" s="35">
        <f>VLOOKUP($K1084,임금대장!$A$6:$AH$86,30,0)</f>
        <v>0</v>
      </c>
      <c r="I1099" s="36"/>
      <c r="J1099" s="37"/>
    </row>
    <row r="1100" spans="1:10" ht="20.45" hidden="1" customHeight="1" x14ac:dyDescent="0.6">
      <c r="A1100" s="252"/>
      <c r="B1100" s="36" t="s">
        <v>101</v>
      </c>
      <c r="C1100" s="35">
        <f>VLOOKUP($K1084,임금대장!$A$6:$AH$86,27,0)</f>
        <v>0</v>
      </c>
      <c r="D1100" s="36"/>
      <c r="E1100" s="43"/>
      <c r="F1100" s="258" t="s">
        <v>102</v>
      </c>
      <c r="G1100" s="259"/>
      <c r="H1100" s="35">
        <f>VLOOKUP($K1084,임금대장!$A$6:$AH$86,29,0)</f>
        <v>0</v>
      </c>
      <c r="I1100" s="36"/>
      <c r="J1100" s="37"/>
    </row>
    <row r="1101" spans="1:10" ht="20.45" hidden="1" customHeight="1" x14ac:dyDescent="0.6">
      <c r="A1101" s="252"/>
      <c r="B1101" s="36" t="s">
        <v>31</v>
      </c>
      <c r="C1101" s="35">
        <f>VLOOKUP($K1084,임금대장!$A$6:$AH$86,28,0)</f>
        <v>0</v>
      </c>
      <c r="D1101" s="36"/>
      <c r="E1101" s="43"/>
      <c r="F1101" s="45"/>
      <c r="G1101" s="46"/>
      <c r="H1101" s="36"/>
      <c r="I1101" s="67" t="s">
        <v>103</v>
      </c>
      <c r="J1101" s="47">
        <f>SUM(C1097:H1102)</f>
        <v>49760</v>
      </c>
    </row>
    <row r="1102" spans="1:10" ht="20.45" hidden="1" customHeight="1" x14ac:dyDescent="0.6">
      <c r="A1102" s="253"/>
      <c r="B1102" s="40"/>
      <c r="C1102" s="101"/>
      <c r="D1102" s="40"/>
      <c r="E1102" s="48"/>
      <c r="F1102" s="260"/>
      <c r="G1102" s="261"/>
      <c r="H1102" s="40"/>
      <c r="I1102" s="68" t="s">
        <v>104</v>
      </c>
      <c r="J1102" s="49">
        <f>J1096-J1101</f>
        <v>1471240</v>
      </c>
    </row>
    <row r="1103" spans="1:10" ht="20.45" hidden="1" customHeight="1" x14ac:dyDescent="0.6">
      <c r="A1103" s="50" t="s">
        <v>105</v>
      </c>
      <c r="J1103" s="51" t="s">
        <v>0</v>
      </c>
    </row>
    <row r="1104" spans="1:10" ht="20.45" hidden="1" customHeight="1" x14ac:dyDescent="0.6">
      <c r="A1104" s="50"/>
      <c r="J1104" s="51"/>
    </row>
    <row r="1105" spans="1:11" ht="20.45" hidden="1" customHeight="1" x14ac:dyDescent="0.6">
      <c r="A1105" s="264" t="s">
        <v>172</v>
      </c>
      <c r="B1105" s="264"/>
      <c r="C1105" s="264"/>
      <c r="D1105" s="264"/>
      <c r="E1105" s="264"/>
      <c r="F1105" s="264"/>
      <c r="G1105" s="264"/>
      <c r="H1105" s="264"/>
      <c r="I1105" s="264"/>
      <c r="J1105" s="264"/>
    </row>
    <row r="1106" spans="1:11" ht="20.45" hidden="1" customHeight="1" x14ac:dyDescent="0.6">
      <c r="A1106" s="347" t="s">
        <v>83</v>
      </c>
      <c r="B1106" s="348"/>
      <c r="C1106" s="349"/>
      <c r="D1106" s="350" t="s">
        <v>84</v>
      </c>
      <c r="E1106" s="351"/>
      <c r="F1106" s="347" t="s">
        <v>85</v>
      </c>
      <c r="G1106" s="348"/>
      <c r="H1106" s="349"/>
      <c r="I1106" s="350" t="s">
        <v>86</v>
      </c>
      <c r="J1106" s="351"/>
    </row>
    <row r="1107" spans="1:11" ht="20.45" hidden="1" customHeight="1" x14ac:dyDescent="0.6">
      <c r="A1107" s="332" t="e">
        <f>VLOOKUP(D1107,#REF!,2,0)</f>
        <v>#REF!</v>
      </c>
      <c r="B1107" s="352"/>
      <c r="C1107" s="259"/>
      <c r="D1107" s="353" t="str">
        <f>VLOOKUP(K1107,임금대장!$A$6:$AH$86,2,0)</f>
        <v>서진우</v>
      </c>
      <c r="E1107" s="354"/>
      <c r="F1107" s="355" t="e">
        <f>#REF!</f>
        <v>#REF!</v>
      </c>
      <c r="G1107" s="352"/>
      <c r="H1107" s="259"/>
      <c r="I1107" s="356">
        <f>VLOOKUP(K1107,임금대장!$A$6:$AH$86,15,0)</f>
        <v>158.5</v>
      </c>
      <c r="J1107" s="357"/>
      <c r="K1107" s="30">
        <v>49</v>
      </c>
    </row>
    <row r="1108" spans="1:11" ht="20.45" hidden="1" customHeight="1" x14ac:dyDescent="0.6">
      <c r="A1108" s="332" t="s">
        <v>87</v>
      </c>
      <c r="B1108" s="259"/>
      <c r="C1108" s="333" t="s">
        <v>5</v>
      </c>
      <c r="D1108" s="335" t="e">
        <f>VLOOKUP($K1107,#REF!,5,0)</f>
        <v>#REF!</v>
      </c>
      <c r="E1108" s="336"/>
      <c r="F1108" s="67" t="s">
        <v>88</v>
      </c>
      <c r="G1108" s="339">
        <f>VLOOKUP(K1107,임금대장!$A$6:$AH$86,14,0)</f>
        <v>0</v>
      </c>
      <c r="H1108" s="340"/>
      <c r="I1108" s="333" t="s">
        <v>89</v>
      </c>
      <c r="J1108" s="341" t="e">
        <f>VLOOKUP(D1107,#REF!,15,0)</f>
        <v>#REF!</v>
      </c>
    </row>
    <row r="1109" spans="1:11" ht="20.45" hidden="1" customHeight="1" x14ac:dyDescent="0.6">
      <c r="A1109" s="343" t="e">
        <f>VLOOKUP($K1107,#REF!,6,0)</f>
        <v>#REF!</v>
      </c>
      <c r="B1109" s="344"/>
      <c r="C1109" s="334"/>
      <c r="D1109" s="337"/>
      <c r="E1109" s="338"/>
      <c r="F1109" s="53" t="s">
        <v>90</v>
      </c>
      <c r="G1109" s="345">
        <f>VLOOKUP(K1107,임금대장!$A$6:$AH$86,15,0)</f>
        <v>158.5</v>
      </c>
      <c r="H1109" s="346"/>
      <c r="I1109" s="334"/>
      <c r="J1109" s="342"/>
    </row>
    <row r="1110" spans="1:11" ht="20.45" hidden="1" customHeight="1" x14ac:dyDescent="0.6">
      <c r="F1110" s="250"/>
      <c r="G1110" s="250"/>
      <c r="H1110" s="32"/>
    </row>
    <row r="1111" spans="1:11" ht="20.45" hidden="1" customHeight="1" x14ac:dyDescent="0.6">
      <c r="A1111" s="251" t="s">
        <v>91</v>
      </c>
      <c r="B1111" s="69" t="s">
        <v>20</v>
      </c>
      <c r="C1111" s="25">
        <f>VLOOKUP($K1107,임금대장!$A$6:$AH$86,8,0)</f>
        <v>13000</v>
      </c>
      <c r="D1111" s="33"/>
      <c r="E1111" s="69"/>
      <c r="F1111" s="254"/>
      <c r="G1111" s="255"/>
      <c r="H1111" s="25"/>
      <c r="I1111" s="33"/>
      <c r="J1111" s="34"/>
    </row>
    <row r="1112" spans="1:11" ht="20.45" hidden="1" customHeight="1" x14ac:dyDescent="0.6">
      <c r="A1112" s="252"/>
      <c r="B1112" s="67" t="s">
        <v>21</v>
      </c>
      <c r="C1112" s="35">
        <f>VLOOKUP($K1107,임금대장!$A$6:$AH$86,9,0)</f>
        <v>2060500</v>
      </c>
      <c r="D1112" s="36"/>
      <c r="E1112" s="67"/>
      <c r="F1112" s="256"/>
      <c r="G1112" s="257"/>
      <c r="H1112" s="35"/>
      <c r="I1112" s="36"/>
      <c r="J1112" s="37"/>
    </row>
    <row r="1113" spans="1:11" ht="20.45" hidden="1" customHeight="1" x14ac:dyDescent="0.6">
      <c r="A1113" s="252"/>
      <c r="B1113" s="52" t="s">
        <v>92</v>
      </c>
      <c r="C1113" s="35">
        <f>VLOOKUP($K1107,임금대장!$A$6:$AH$86,10,0)</f>
        <v>0</v>
      </c>
      <c r="D1113" s="36"/>
      <c r="E1113" s="67"/>
      <c r="F1113" s="256"/>
      <c r="G1113" s="257"/>
      <c r="H1113" s="35"/>
      <c r="I1113" s="36"/>
      <c r="J1113" s="37"/>
    </row>
    <row r="1114" spans="1:11" ht="20.45" hidden="1" customHeight="1" x14ac:dyDescent="0.6">
      <c r="A1114" s="252"/>
      <c r="B1114" s="67" t="s">
        <v>115</v>
      </c>
      <c r="C1114" s="35">
        <f>VLOOKUP($K1107,임금대장!$A$6:$AH$86,11,0)</f>
        <v>0</v>
      </c>
      <c r="D1114" s="36"/>
      <c r="E1114" s="67"/>
      <c r="F1114" s="256"/>
      <c r="G1114" s="257"/>
      <c r="H1114" s="35"/>
      <c r="I1114" s="36"/>
      <c r="J1114" s="37"/>
    </row>
    <row r="1115" spans="1:11" ht="20.45" hidden="1" customHeight="1" x14ac:dyDescent="0.6">
      <c r="A1115" s="252"/>
      <c r="B1115" s="67" t="s">
        <v>94</v>
      </c>
      <c r="C1115" s="35">
        <f>VLOOKUP($K1107,임금대장!$A$6:$AH$86,12,0)</f>
        <v>0</v>
      </c>
      <c r="D1115" s="36"/>
      <c r="E1115" s="36"/>
      <c r="F1115" s="258"/>
      <c r="G1115" s="259"/>
      <c r="H1115" s="35"/>
      <c r="I1115" s="36"/>
      <c r="J1115" s="37"/>
    </row>
    <row r="1116" spans="1:11" ht="20.45" hidden="1" customHeight="1" x14ac:dyDescent="0.6">
      <c r="A1116" s="252"/>
      <c r="B1116" s="67" t="s">
        <v>24</v>
      </c>
      <c r="C1116" s="102">
        <f>VLOOKUP($K1107,임금대장!$A$6:$AH$86,13,0)</f>
        <v>0</v>
      </c>
      <c r="D1116" s="36"/>
      <c r="E1116" s="36"/>
      <c r="F1116" s="258"/>
      <c r="G1116" s="259"/>
      <c r="H1116" s="35"/>
      <c r="I1116" s="36"/>
      <c r="J1116" s="37"/>
    </row>
    <row r="1117" spans="1:11" ht="20.45" hidden="1" customHeight="1" x14ac:dyDescent="0.6">
      <c r="A1117" s="252"/>
      <c r="B1117" s="67"/>
      <c r="C1117" s="35"/>
      <c r="D1117" s="36"/>
      <c r="E1117" s="36"/>
      <c r="F1117" s="258"/>
      <c r="G1117" s="259"/>
      <c r="H1117" s="35"/>
      <c r="I1117" s="36"/>
      <c r="J1117" s="37"/>
    </row>
    <row r="1118" spans="1:11" ht="20.45" hidden="1" customHeight="1" x14ac:dyDescent="0.6">
      <c r="A1118" s="252"/>
      <c r="B1118" s="67"/>
      <c r="C1118" s="35"/>
      <c r="D1118" s="36"/>
      <c r="E1118" s="36"/>
      <c r="F1118" s="258"/>
      <c r="G1118" s="259"/>
      <c r="H1118" s="35"/>
      <c r="I1118" s="36"/>
      <c r="J1118" s="37"/>
    </row>
    <row r="1119" spans="1:11" ht="20.45" hidden="1" customHeight="1" x14ac:dyDescent="0.6">
      <c r="A1119" s="253"/>
      <c r="B1119" s="68"/>
      <c r="C1119" s="39"/>
      <c r="D1119" s="40"/>
      <c r="E1119" s="40"/>
      <c r="F1119" s="260"/>
      <c r="G1119" s="261"/>
      <c r="H1119" s="39"/>
      <c r="I1119" s="68" t="s">
        <v>95</v>
      </c>
      <c r="J1119" s="41">
        <f>SUM(C1111:H1117)</f>
        <v>2073500</v>
      </c>
    </row>
    <row r="1120" spans="1:11" ht="20.45" hidden="1" customHeight="1" x14ac:dyDescent="0.6">
      <c r="A1120" s="251" t="s">
        <v>96</v>
      </c>
      <c r="B1120" s="36" t="s">
        <v>97</v>
      </c>
      <c r="C1120" s="35" t="str">
        <f>VLOOKUP($K1107,임금대장!$A$6:$AH$86,24,0)</f>
        <v>서진우</v>
      </c>
      <c r="D1120" s="33"/>
      <c r="E1120" s="42"/>
      <c r="F1120" s="262" t="s">
        <v>14</v>
      </c>
      <c r="G1120" s="263"/>
      <c r="H1120" s="35">
        <f>VLOOKUP($K1107,임금대장!$A$6:$AH$86,18,0)</f>
        <v>0</v>
      </c>
      <c r="I1120" s="33"/>
      <c r="J1120" s="34"/>
    </row>
    <row r="1121" spans="1:10" ht="20.45" hidden="1" customHeight="1" x14ac:dyDescent="0.6">
      <c r="A1121" s="252"/>
      <c r="B1121" s="36" t="s">
        <v>98</v>
      </c>
      <c r="C1121" s="35">
        <f>VLOOKUP($K1107,임금대장!$A$6:$AH$86,25,0)</f>
        <v>61810</v>
      </c>
      <c r="D1121" s="36"/>
      <c r="E1121" s="43"/>
      <c r="F1121" s="258" t="s">
        <v>12</v>
      </c>
      <c r="G1121" s="259"/>
      <c r="H1121" s="35">
        <f>VLOOKUP($K1107,임금대장!$A$6:$AH$86,16,0)</f>
        <v>0</v>
      </c>
      <c r="I1121" s="36"/>
      <c r="J1121" s="37"/>
    </row>
    <row r="1122" spans="1:10" ht="20.45" hidden="1" customHeight="1" x14ac:dyDescent="0.6">
      <c r="A1122" s="252"/>
      <c r="B1122" s="36" t="s">
        <v>99</v>
      </c>
      <c r="C1122" s="35">
        <f>VLOOKUP($K1107,임금대장!$A$6:$AH$86,26,0)</f>
        <v>6180</v>
      </c>
      <c r="D1122" s="36"/>
      <c r="E1122" s="44"/>
      <c r="F1122" s="258" t="s">
        <v>171</v>
      </c>
      <c r="G1122" s="259"/>
      <c r="H1122" s="35">
        <f>VLOOKUP($K1107,임금대장!$A$6:$AH$86,30,0)</f>
        <v>0</v>
      </c>
      <c r="I1122" s="36"/>
      <c r="J1122" s="37"/>
    </row>
    <row r="1123" spans="1:10" ht="20.45" hidden="1" customHeight="1" x14ac:dyDescent="0.6">
      <c r="A1123" s="252"/>
      <c r="B1123" s="36" t="s">
        <v>101</v>
      </c>
      <c r="C1123" s="35">
        <f>VLOOKUP($K1107,임금대장!$A$6:$AH$86,27,0)</f>
        <v>0</v>
      </c>
      <c r="D1123" s="36"/>
      <c r="E1123" s="43"/>
      <c r="F1123" s="258" t="s">
        <v>102</v>
      </c>
      <c r="G1123" s="259"/>
      <c r="H1123" s="35">
        <f>VLOOKUP($K1107,임금대장!$A$6:$AH$86,29,0)</f>
        <v>0</v>
      </c>
      <c r="I1123" s="36"/>
      <c r="J1123" s="37"/>
    </row>
    <row r="1124" spans="1:10" ht="20.45" hidden="1" customHeight="1" x14ac:dyDescent="0.6">
      <c r="A1124" s="252"/>
      <c r="B1124" s="36" t="s">
        <v>31</v>
      </c>
      <c r="C1124" s="35">
        <f>VLOOKUP($K1107,임금대장!$A$6:$AH$86,28,0)</f>
        <v>0</v>
      </c>
      <c r="D1124" s="36"/>
      <c r="E1124" s="43"/>
      <c r="F1124" s="45"/>
      <c r="G1124" s="46"/>
      <c r="H1124" s="36"/>
      <c r="I1124" s="67" t="s">
        <v>103</v>
      </c>
      <c r="J1124" s="47">
        <f>SUM(C1120:H1125)</f>
        <v>67990</v>
      </c>
    </row>
    <row r="1125" spans="1:10" ht="20.45" hidden="1" customHeight="1" x14ac:dyDescent="0.6">
      <c r="A1125" s="253"/>
      <c r="B1125" s="40"/>
      <c r="C1125" s="101"/>
      <c r="D1125" s="40"/>
      <c r="E1125" s="48"/>
      <c r="F1125" s="260"/>
      <c r="G1125" s="261"/>
      <c r="H1125" s="40"/>
      <c r="I1125" s="68" t="s">
        <v>104</v>
      </c>
      <c r="J1125" s="49">
        <f>J1119-J1124</f>
        <v>2005510</v>
      </c>
    </row>
    <row r="1126" spans="1:10" ht="20.45" hidden="1" customHeight="1" x14ac:dyDescent="0.6">
      <c r="A1126" s="50" t="s">
        <v>105</v>
      </c>
      <c r="J1126" s="51" t="s">
        <v>0</v>
      </c>
    </row>
    <row r="1127" spans="1:10" ht="20.45" hidden="1" customHeight="1" x14ac:dyDescent="0.6">
      <c r="A1127" s="50"/>
      <c r="J1127" s="51"/>
    </row>
  </sheetData>
  <mergeCells count="1666">
    <mergeCell ref="A4:B4"/>
    <mergeCell ref="C4:C5"/>
    <mergeCell ref="D4:E5"/>
    <mergeCell ref="G4:H4"/>
    <mergeCell ref="I4:I5"/>
    <mergeCell ref="J4:J5"/>
    <mergeCell ref="A5:B5"/>
    <mergeCell ref="G5:H5"/>
    <mergeCell ref="A1:J1"/>
    <mergeCell ref="A2:C2"/>
    <mergeCell ref="D2:E2"/>
    <mergeCell ref="F2:H2"/>
    <mergeCell ref="I2:J2"/>
    <mergeCell ref="A3:C3"/>
    <mergeCell ref="D3:E3"/>
    <mergeCell ref="F3:H3"/>
    <mergeCell ref="I3:J3"/>
    <mergeCell ref="F15:G15"/>
    <mergeCell ref="A16:A21"/>
    <mergeCell ref="F16:G16"/>
    <mergeCell ref="F17:G17"/>
    <mergeCell ref="F18:G18"/>
    <mergeCell ref="F19:G19"/>
    <mergeCell ref="F21:G21"/>
    <mergeCell ref="F6:G6"/>
    <mergeCell ref="A7:A15"/>
    <mergeCell ref="F7:G7"/>
    <mergeCell ref="F8:G8"/>
    <mergeCell ref="F9:G9"/>
    <mergeCell ref="F10:G10"/>
    <mergeCell ref="F11:G11"/>
    <mergeCell ref="F12:G12"/>
    <mergeCell ref="F13:G13"/>
    <mergeCell ref="F14:G14"/>
    <mergeCell ref="A27:B27"/>
    <mergeCell ref="C27:C28"/>
    <mergeCell ref="D27:E28"/>
    <mergeCell ref="G27:H27"/>
    <mergeCell ref="I27:I28"/>
    <mergeCell ref="J27:J28"/>
    <mergeCell ref="A28:B28"/>
    <mergeCell ref="G28:H28"/>
    <mergeCell ref="A24:J24"/>
    <mergeCell ref="A25:C25"/>
    <mergeCell ref="D25:E25"/>
    <mergeCell ref="F25:H25"/>
    <mergeCell ref="I25:J25"/>
    <mergeCell ref="A26:C26"/>
    <mergeCell ref="D26:E26"/>
    <mergeCell ref="F26:H26"/>
    <mergeCell ref="I26:J26"/>
    <mergeCell ref="F38:G38"/>
    <mergeCell ref="A39:A44"/>
    <mergeCell ref="F39:G39"/>
    <mergeCell ref="F40:G40"/>
    <mergeCell ref="F41:G41"/>
    <mergeCell ref="F42:G42"/>
    <mergeCell ref="F44:G44"/>
    <mergeCell ref="F29:G29"/>
    <mergeCell ref="A30:A38"/>
    <mergeCell ref="F30:G30"/>
    <mergeCell ref="F31:G31"/>
    <mergeCell ref="F32:G32"/>
    <mergeCell ref="F33:G33"/>
    <mergeCell ref="F34:G34"/>
    <mergeCell ref="F35:G35"/>
    <mergeCell ref="F36:G36"/>
    <mergeCell ref="F37:G37"/>
    <mergeCell ref="A50:B50"/>
    <mergeCell ref="C50:C51"/>
    <mergeCell ref="D50:E51"/>
    <mergeCell ref="G50:H50"/>
    <mergeCell ref="I50:I51"/>
    <mergeCell ref="J50:J51"/>
    <mergeCell ref="A51:B51"/>
    <mergeCell ref="G51:H51"/>
    <mergeCell ref="A47:J47"/>
    <mergeCell ref="A48:C48"/>
    <mergeCell ref="D48:E48"/>
    <mergeCell ref="F48:H48"/>
    <mergeCell ref="I48:J48"/>
    <mergeCell ref="A49:C49"/>
    <mergeCell ref="D49:E49"/>
    <mergeCell ref="F49:H49"/>
    <mergeCell ref="I49:J49"/>
    <mergeCell ref="F61:G61"/>
    <mergeCell ref="A62:A67"/>
    <mergeCell ref="F62:G62"/>
    <mergeCell ref="F63:G63"/>
    <mergeCell ref="F64:G64"/>
    <mergeCell ref="F65:G65"/>
    <mergeCell ref="F67:G67"/>
    <mergeCell ref="F52:G52"/>
    <mergeCell ref="A53:A61"/>
    <mergeCell ref="F53:G53"/>
    <mergeCell ref="F54:G54"/>
    <mergeCell ref="F55:G55"/>
    <mergeCell ref="F56:G56"/>
    <mergeCell ref="F57:G57"/>
    <mergeCell ref="F58:G58"/>
    <mergeCell ref="F59:G59"/>
    <mergeCell ref="F60:G60"/>
    <mergeCell ref="A73:B73"/>
    <mergeCell ref="C73:C74"/>
    <mergeCell ref="D73:E74"/>
    <mergeCell ref="G73:H73"/>
    <mergeCell ref="I73:I74"/>
    <mergeCell ref="J73:J74"/>
    <mergeCell ref="A74:B74"/>
    <mergeCell ref="G74:H74"/>
    <mergeCell ref="A70:J70"/>
    <mergeCell ref="A71:C71"/>
    <mergeCell ref="D71:E71"/>
    <mergeCell ref="F71:H71"/>
    <mergeCell ref="I71:J71"/>
    <mergeCell ref="A72:C72"/>
    <mergeCell ref="D72:E72"/>
    <mergeCell ref="F72:H72"/>
    <mergeCell ref="I72:J72"/>
    <mergeCell ref="F84:G84"/>
    <mergeCell ref="A85:A90"/>
    <mergeCell ref="F85:G85"/>
    <mergeCell ref="F86:G86"/>
    <mergeCell ref="F87:G87"/>
    <mergeCell ref="F88:G88"/>
    <mergeCell ref="F90:G90"/>
    <mergeCell ref="F75:G75"/>
    <mergeCell ref="A76:A84"/>
    <mergeCell ref="F76:G76"/>
    <mergeCell ref="F77:G77"/>
    <mergeCell ref="F78:G78"/>
    <mergeCell ref="F79:G79"/>
    <mergeCell ref="F80:G80"/>
    <mergeCell ref="F81:G81"/>
    <mergeCell ref="F82:G82"/>
    <mergeCell ref="F83:G83"/>
    <mergeCell ref="A96:B96"/>
    <mergeCell ref="C96:C97"/>
    <mergeCell ref="D96:E97"/>
    <mergeCell ref="G96:H96"/>
    <mergeCell ref="I96:I97"/>
    <mergeCell ref="J96:J97"/>
    <mergeCell ref="A97:B97"/>
    <mergeCell ref="G97:H97"/>
    <mergeCell ref="A93:J93"/>
    <mergeCell ref="A94:C94"/>
    <mergeCell ref="D94:E94"/>
    <mergeCell ref="F94:H94"/>
    <mergeCell ref="I94:J94"/>
    <mergeCell ref="A95:C95"/>
    <mergeCell ref="D95:E95"/>
    <mergeCell ref="F95:H95"/>
    <mergeCell ref="I95:J95"/>
    <mergeCell ref="F107:G107"/>
    <mergeCell ref="A108:A113"/>
    <mergeCell ref="F108:G108"/>
    <mergeCell ref="F109:G109"/>
    <mergeCell ref="F110:G110"/>
    <mergeCell ref="F111:G111"/>
    <mergeCell ref="F113:G113"/>
    <mergeCell ref="F98:G98"/>
    <mergeCell ref="A99:A107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A119:B119"/>
    <mergeCell ref="C119:C120"/>
    <mergeCell ref="D119:E120"/>
    <mergeCell ref="G119:H119"/>
    <mergeCell ref="I119:I120"/>
    <mergeCell ref="J119:J120"/>
    <mergeCell ref="A120:B120"/>
    <mergeCell ref="G120:H120"/>
    <mergeCell ref="A116:J116"/>
    <mergeCell ref="A117:C117"/>
    <mergeCell ref="D117:E117"/>
    <mergeCell ref="F117:H117"/>
    <mergeCell ref="I117:J117"/>
    <mergeCell ref="A118:C118"/>
    <mergeCell ref="D118:E118"/>
    <mergeCell ref="F118:H118"/>
    <mergeCell ref="I118:J118"/>
    <mergeCell ref="F130:G130"/>
    <mergeCell ref="A131:A136"/>
    <mergeCell ref="F131:G131"/>
    <mergeCell ref="F132:G132"/>
    <mergeCell ref="F133:G133"/>
    <mergeCell ref="F134:G134"/>
    <mergeCell ref="F136:G136"/>
    <mergeCell ref="F121:G121"/>
    <mergeCell ref="A122:A130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A142:B142"/>
    <mergeCell ref="C142:C143"/>
    <mergeCell ref="D142:E143"/>
    <mergeCell ref="G142:H142"/>
    <mergeCell ref="I142:I143"/>
    <mergeCell ref="J142:J143"/>
    <mergeCell ref="A143:B143"/>
    <mergeCell ref="G143:H143"/>
    <mergeCell ref="A139:J139"/>
    <mergeCell ref="A140:C140"/>
    <mergeCell ref="D140:E140"/>
    <mergeCell ref="F140:H140"/>
    <mergeCell ref="I140:J140"/>
    <mergeCell ref="A141:C141"/>
    <mergeCell ref="D141:E141"/>
    <mergeCell ref="F141:H141"/>
    <mergeCell ref="I141:J141"/>
    <mergeCell ref="F153:G153"/>
    <mergeCell ref="A154:A159"/>
    <mergeCell ref="F154:G154"/>
    <mergeCell ref="F155:G155"/>
    <mergeCell ref="F156:G156"/>
    <mergeCell ref="F157:G157"/>
    <mergeCell ref="F159:G159"/>
    <mergeCell ref="F144:G144"/>
    <mergeCell ref="A145:A153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A165:B165"/>
    <mergeCell ref="C165:C166"/>
    <mergeCell ref="D165:E166"/>
    <mergeCell ref="G165:H165"/>
    <mergeCell ref="I165:I166"/>
    <mergeCell ref="J165:J166"/>
    <mergeCell ref="A166:B166"/>
    <mergeCell ref="G166:H166"/>
    <mergeCell ref="A162:J162"/>
    <mergeCell ref="A163:C163"/>
    <mergeCell ref="D163:E163"/>
    <mergeCell ref="F163:H163"/>
    <mergeCell ref="I163:J163"/>
    <mergeCell ref="A164:C164"/>
    <mergeCell ref="D164:E164"/>
    <mergeCell ref="F164:H164"/>
    <mergeCell ref="I164:J164"/>
    <mergeCell ref="F176:G176"/>
    <mergeCell ref="A177:A182"/>
    <mergeCell ref="F177:G177"/>
    <mergeCell ref="F178:G178"/>
    <mergeCell ref="F179:G179"/>
    <mergeCell ref="F180:G180"/>
    <mergeCell ref="F182:G182"/>
    <mergeCell ref="F167:G167"/>
    <mergeCell ref="A168:A176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A188:B188"/>
    <mergeCell ref="C188:C189"/>
    <mergeCell ref="D188:E189"/>
    <mergeCell ref="G188:H188"/>
    <mergeCell ref="I188:I189"/>
    <mergeCell ref="J188:J189"/>
    <mergeCell ref="A189:B189"/>
    <mergeCell ref="G189:H189"/>
    <mergeCell ref="A185:J185"/>
    <mergeCell ref="A186:C186"/>
    <mergeCell ref="D186:E186"/>
    <mergeCell ref="F186:H186"/>
    <mergeCell ref="I186:J186"/>
    <mergeCell ref="A187:C187"/>
    <mergeCell ref="D187:E187"/>
    <mergeCell ref="F187:H187"/>
    <mergeCell ref="I187:J187"/>
    <mergeCell ref="F199:G199"/>
    <mergeCell ref="A200:A205"/>
    <mergeCell ref="F200:G200"/>
    <mergeCell ref="F201:G201"/>
    <mergeCell ref="F202:G202"/>
    <mergeCell ref="F203:G203"/>
    <mergeCell ref="F205:G205"/>
    <mergeCell ref="F190:G190"/>
    <mergeCell ref="A191:A199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A211:B211"/>
    <mergeCell ref="C211:C212"/>
    <mergeCell ref="D211:E212"/>
    <mergeCell ref="G211:H211"/>
    <mergeCell ref="I211:I212"/>
    <mergeCell ref="J211:J212"/>
    <mergeCell ref="A212:B212"/>
    <mergeCell ref="G212:H212"/>
    <mergeCell ref="A208:J208"/>
    <mergeCell ref="A209:C209"/>
    <mergeCell ref="D209:E209"/>
    <mergeCell ref="F209:H209"/>
    <mergeCell ref="I209:J209"/>
    <mergeCell ref="A210:C210"/>
    <mergeCell ref="D210:E210"/>
    <mergeCell ref="F210:H210"/>
    <mergeCell ref="I210:J210"/>
    <mergeCell ref="F222:G222"/>
    <mergeCell ref="A223:A228"/>
    <mergeCell ref="F223:G223"/>
    <mergeCell ref="F224:G224"/>
    <mergeCell ref="F225:G225"/>
    <mergeCell ref="F226:G226"/>
    <mergeCell ref="F228:G228"/>
    <mergeCell ref="F213:G213"/>
    <mergeCell ref="A214:A222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A234:B234"/>
    <mergeCell ref="C234:C235"/>
    <mergeCell ref="D234:E235"/>
    <mergeCell ref="G234:H234"/>
    <mergeCell ref="I234:I235"/>
    <mergeCell ref="J234:J235"/>
    <mergeCell ref="A235:B235"/>
    <mergeCell ref="G235:H235"/>
    <mergeCell ref="A231:J231"/>
    <mergeCell ref="A232:C232"/>
    <mergeCell ref="D232:E232"/>
    <mergeCell ref="F232:H232"/>
    <mergeCell ref="I232:J232"/>
    <mergeCell ref="A233:C233"/>
    <mergeCell ref="D233:E233"/>
    <mergeCell ref="F233:H233"/>
    <mergeCell ref="I233:J233"/>
    <mergeCell ref="F245:G245"/>
    <mergeCell ref="A246:A251"/>
    <mergeCell ref="F246:G246"/>
    <mergeCell ref="F247:G247"/>
    <mergeCell ref="F248:G248"/>
    <mergeCell ref="F249:G249"/>
    <mergeCell ref="F251:G251"/>
    <mergeCell ref="F236:G236"/>
    <mergeCell ref="A237:A245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A257:B257"/>
    <mergeCell ref="C257:C258"/>
    <mergeCell ref="D257:E258"/>
    <mergeCell ref="G257:H257"/>
    <mergeCell ref="I257:I258"/>
    <mergeCell ref="J257:J258"/>
    <mergeCell ref="A258:B258"/>
    <mergeCell ref="G258:H258"/>
    <mergeCell ref="A254:J254"/>
    <mergeCell ref="A255:C255"/>
    <mergeCell ref="D255:E255"/>
    <mergeCell ref="F255:H255"/>
    <mergeCell ref="I255:J255"/>
    <mergeCell ref="A256:C256"/>
    <mergeCell ref="D256:E256"/>
    <mergeCell ref="F256:H256"/>
    <mergeCell ref="I256:J256"/>
    <mergeCell ref="F268:G268"/>
    <mergeCell ref="A269:A274"/>
    <mergeCell ref="F269:G269"/>
    <mergeCell ref="F270:G270"/>
    <mergeCell ref="F271:G271"/>
    <mergeCell ref="F272:G272"/>
    <mergeCell ref="F274:G274"/>
    <mergeCell ref="F259:G259"/>
    <mergeCell ref="A260:A268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A280:B280"/>
    <mergeCell ref="C280:C281"/>
    <mergeCell ref="D280:E281"/>
    <mergeCell ref="G280:H280"/>
    <mergeCell ref="I280:I281"/>
    <mergeCell ref="J280:J281"/>
    <mergeCell ref="A281:B281"/>
    <mergeCell ref="G281:H281"/>
    <mergeCell ref="A277:J277"/>
    <mergeCell ref="A278:C278"/>
    <mergeCell ref="D278:E278"/>
    <mergeCell ref="F278:H278"/>
    <mergeCell ref="I278:J278"/>
    <mergeCell ref="A279:C279"/>
    <mergeCell ref="D279:E279"/>
    <mergeCell ref="F279:H279"/>
    <mergeCell ref="I279:J279"/>
    <mergeCell ref="F291:G291"/>
    <mergeCell ref="A292:A297"/>
    <mergeCell ref="F292:G292"/>
    <mergeCell ref="F293:G293"/>
    <mergeCell ref="F294:G294"/>
    <mergeCell ref="F295:G295"/>
    <mergeCell ref="F297:G297"/>
    <mergeCell ref="F282:G282"/>
    <mergeCell ref="A283:A291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A303:B303"/>
    <mergeCell ref="C303:C304"/>
    <mergeCell ref="D303:E304"/>
    <mergeCell ref="G303:H303"/>
    <mergeCell ref="I303:I304"/>
    <mergeCell ref="J303:J304"/>
    <mergeCell ref="A304:B304"/>
    <mergeCell ref="G304:H304"/>
    <mergeCell ref="A300:J300"/>
    <mergeCell ref="A301:C301"/>
    <mergeCell ref="D301:E301"/>
    <mergeCell ref="F301:H301"/>
    <mergeCell ref="I301:J301"/>
    <mergeCell ref="A302:C302"/>
    <mergeCell ref="D302:E302"/>
    <mergeCell ref="F302:H302"/>
    <mergeCell ref="I302:J302"/>
    <mergeCell ref="F314:G314"/>
    <mergeCell ref="A315:A320"/>
    <mergeCell ref="F315:G315"/>
    <mergeCell ref="F316:G316"/>
    <mergeCell ref="F317:G317"/>
    <mergeCell ref="F318:G318"/>
    <mergeCell ref="F320:G320"/>
    <mergeCell ref="F305:G305"/>
    <mergeCell ref="A306:A314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A326:B326"/>
    <mergeCell ref="C326:C327"/>
    <mergeCell ref="D326:E327"/>
    <mergeCell ref="G326:H326"/>
    <mergeCell ref="I326:I327"/>
    <mergeCell ref="J326:J327"/>
    <mergeCell ref="A327:B327"/>
    <mergeCell ref="G327:H327"/>
    <mergeCell ref="A323:J323"/>
    <mergeCell ref="A324:C324"/>
    <mergeCell ref="D324:E324"/>
    <mergeCell ref="F324:H324"/>
    <mergeCell ref="I324:J324"/>
    <mergeCell ref="A325:C325"/>
    <mergeCell ref="D325:E325"/>
    <mergeCell ref="F325:H325"/>
    <mergeCell ref="I325:J325"/>
    <mergeCell ref="F337:G337"/>
    <mergeCell ref="A338:A343"/>
    <mergeCell ref="F338:G338"/>
    <mergeCell ref="F339:G339"/>
    <mergeCell ref="F340:G340"/>
    <mergeCell ref="F341:G341"/>
    <mergeCell ref="F343:G343"/>
    <mergeCell ref="F328:G328"/>
    <mergeCell ref="A329:A337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A349:B349"/>
    <mergeCell ref="C349:C350"/>
    <mergeCell ref="D349:E350"/>
    <mergeCell ref="G349:H349"/>
    <mergeCell ref="I349:I350"/>
    <mergeCell ref="J349:J350"/>
    <mergeCell ref="A350:B350"/>
    <mergeCell ref="G350:H350"/>
    <mergeCell ref="A346:J346"/>
    <mergeCell ref="A347:C347"/>
    <mergeCell ref="D347:E347"/>
    <mergeCell ref="F347:H347"/>
    <mergeCell ref="I347:J347"/>
    <mergeCell ref="A348:C348"/>
    <mergeCell ref="D348:E348"/>
    <mergeCell ref="F348:H348"/>
    <mergeCell ref="I348:J348"/>
    <mergeCell ref="F360:G360"/>
    <mergeCell ref="A361:A366"/>
    <mergeCell ref="F361:G361"/>
    <mergeCell ref="F362:G362"/>
    <mergeCell ref="F363:G363"/>
    <mergeCell ref="F364:G364"/>
    <mergeCell ref="F366:G366"/>
    <mergeCell ref="F351:G351"/>
    <mergeCell ref="A352:A360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A372:B372"/>
    <mergeCell ref="C372:C373"/>
    <mergeCell ref="D372:E373"/>
    <mergeCell ref="G372:H372"/>
    <mergeCell ref="I372:I373"/>
    <mergeCell ref="J372:J373"/>
    <mergeCell ref="A373:B373"/>
    <mergeCell ref="G373:H373"/>
    <mergeCell ref="A369:J369"/>
    <mergeCell ref="A370:C370"/>
    <mergeCell ref="D370:E370"/>
    <mergeCell ref="F370:H370"/>
    <mergeCell ref="I370:J370"/>
    <mergeCell ref="A371:C371"/>
    <mergeCell ref="D371:E371"/>
    <mergeCell ref="F371:H371"/>
    <mergeCell ref="I371:J371"/>
    <mergeCell ref="F383:G383"/>
    <mergeCell ref="A384:A389"/>
    <mergeCell ref="F384:G384"/>
    <mergeCell ref="F385:G385"/>
    <mergeCell ref="F386:G386"/>
    <mergeCell ref="F387:G387"/>
    <mergeCell ref="F389:G389"/>
    <mergeCell ref="F374:G374"/>
    <mergeCell ref="A375:A383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A395:B395"/>
    <mergeCell ref="C395:C396"/>
    <mergeCell ref="D395:E396"/>
    <mergeCell ref="G395:H395"/>
    <mergeCell ref="I395:I396"/>
    <mergeCell ref="J395:J396"/>
    <mergeCell ref="A396:B396"/>
    <mergeCell ref="G396:H396"/>
    <mergeCell ref="A392:J392"/>
    <mergeCell ref="A393:C393"/>
    <mergeCell ref="D393:E393"/>
    <mergeCell ref="F393:H393"/>
    <mergeCell ref="I393:J393"/>
    <mergeCell ref="A394:C394"/>
    <mergeCell ref="D394:E394"/>
    <mergeCell ref="F394:H394"/>
    <mergeCell ref="I394:J394"/>
    <mergeCell ref="F406:G406"/>
    <mergeCell ref="A407:A412"/>
    <mergeCell ref="F407:G407"/>
    <mergeCell ref="F408:G408"/>
    <mergeCell ref="F409:G409"/>
    <mergeCell ref="F410:G410"/>
    <mergeCell ref="F412:G412"/>
    <mergeCell ref="F397:G397"/>
    <mergeCell ref="A398:A406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A418:B418"/>
    <mergeCell ref="C418:C419"/>
    <mergeCell ref="D418:E419"/>
    <mergeCell ref="G418:H418"/>
    <mergeCell ref="I418:I419"/>
    <mergeCell ref="J418:J419"/>
    <mergeCell ref="A419:B419"/>
    <mergeCell ref="G419:H419"/>
    <mergeCell ref="A415:J415"/>
    <mergeCell ref="A416:C416"/>
    <mergeCell ref="D416:E416"/>
    <mergeCell ref="F416:H416"/>
    <mergeCell ref="I416:J416"/>
    <mergeCell ref="A417:C417"/>
    <mergeCell ref="D417:E417"/>
    <mergeCell ref="F417:H417"/>
    <mergeCell ref="I417:J417"/>
    <mergeCell ref="F429:G429"/>
    <mergeCell ref="A430:A435"/>
    <mergeCell ref="F430:G430"/>
    <mergeCell ref="F431:G431"/>
    <mergeCell ref="F432:G432"/>
    <mergeCell ref="F433:G433"/>
    <mergeCell ref="F435:G435"/>
    <mergeCell ref="F420:G420"/>
    <mergeCell ref="A421:A429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A441:B441"/>
    <mergeCell ref="C441:C442"/>
    <mergeCell ref="D441:E442"/>
    <mergeCell ref="G441:H441"/>
    <mergeCell ref="I441:I442"/>
    <mergeCell ref="J441:J442"/>
    <mergeCell ref="A442:B442"/>
    <mergeCell ref="G442:H442"/>
    <mergeCell ref="A438:J438"/>
    <mergeCell ref="A439:C439"/>
    <mergeCell ref="D439:E439"/>
    <mergeCell ref="F439:H439"/>
    <mergeCell ref="I439:J439"/>
    <mergeCell ref="A440:C440"/>
    <mergeCell ref="D440:E440"/>
    <mergeCell ref="F440:H440"/>
    <mergeCell ref="I440:J440"/>
    <mergeCell ref="F452:G452"/>
    <mergeCell ref="A453:A458"/>
    <mergeCell ref="F453:G453"/>
    <mergeCell ref="F454:G454"/>
    <mergeCell ref="F455:G455"/>
    <mergeCell ref="F456:G456"/>
    <mergeCell ref="F458:G458"/>
    <mergeCell ref="F443:G443"/>
    <mergeCell ref="A444:A452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A464:B464"/>
    <mergeCell ref="C464:C465"/>
    <mergeCell ref="D464:E465"/>
    <mergeCell ref="G464:H464"/>
    <mergeCell ref="I464:I465"/>
    <mergeCell ref="J464:J465"/>
    <mergeCell ref="A465:B465"/>
    <mergeCell ref="G465:H465"/>
    <mergeCell ref="A461:J461"/>
    <mergeCell ref="A462:C462"/>
    <mergeCell ref="D462:E462"/>
    <mergeCell ref="F462:H462"/>
    <mergeCell ref="I462:J462"/>
    <mergeCell ref="A463:C463"/>
    <mergeCell ref="D463:E463"/>
    <mergeCell ref="F463:H463"/>
    <mergeCell ref="I463:J463"/>
    <mergeCell ref="F475:G475"/>
    <mergeCell ref="A476:A481"/>
    <mergeCell ref="F476:G476"/>
    <mergeCell ref="F477:G477"/>
    <mergeCell ref="F478:G478"/>
    <mergeCell ref="F479:G479"/>
    <mergeCell ref="F481:G481"/>
    <mergeCell ref="F466:G466"/>
    <mergeCell ref="A467:A475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A487:B487"/>
    <mergeCell ref="C487:C488"/>
    <mergeCell ref="D487:E488"/>
    <mergeCell ref="G487:H487"/>
    <mergeCell ref="I487:I488"/>
    <mergeCell ref="J487:J488"/>
    <mergeCell ref="A488:B488"/>
    <mergeCell ref="G488:H488"/>
    <mergeCell ref="A484:J484"/>
    <mergeCell ref="A485:C485"/>
    <mergeCell ref="D485:E485"/>
    <mergeCell ref="F485:H485"/>
    <mergeCell ref="I485:J485"/>
    <mergeCell ref="A486:C486"/>
    <mergeCell ref="D486:E486"/>
    <mergeCell ref="F486:H486"/>
    <mergeCell ref="I486:J486"/>
    <mergeCell ref="F498:G498"/>
    <mergeCell ref="A499:A504"/>
    <mergeCell ref="F499:G499"/>
    <mergeCell ref="F500:G500"/>
    <mergeCell ref="F501:G501"/>
    <mergeCell ref="F502:G502"/>
    <mergeCell ref="F504:G504"/>
    <mergeCell ref="F489:G489"/>
    <mergeCell ref="A490:A498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A510:B510"/>
    <mergeCell ref="C510:C511"/>
    <mergeCell ref="D510:E511"/>
    <mergeCell ref="G510:H510"/>
    <mergeCell ref="I510:I511"/>
    <mergeCell ref="J510:J511"/>
    <mergeCell ref="A511:B511"/>
    <mergeCell ref="G511:H511"/>
    <mergeCell ref="A507:J507"/>
    <mergeCell ref="A508:C508"/>
    <mergeCell ref="D508:E508"/>
    <mergeCell ref="F508:H508"/>
    <mergeCell ref="I508:J508"/>
    <mergeCell ref="A509:C509"/>
    <mergeCell ref="D509:E509"/>
    <mergeCell ref="F509:H509"/>
    <mergeCell ref="I509:J509"/>
    <mergeCell ref="F521:G521"/>
    <mergeCell ref="A522:A527"/>
    <mergeCell ref="F522:G522"/>
    <mergeCell ref="F523:G523"/>
    <mergeCell ref="F524:G524"/>
    <mergeCell ref="F525:G525"/>
    <mergeCell ref="F527:G527"/>
    <mergeCell ref="F512:G512"/>
    <mergeCell ref="A513:A521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A533:B533"/>
    <mergeCell ref="C533:C534"/>
    <mergeCell ref="D533:E534"/>
    <mergeCell ref="G533:H533"/>
    <mergeCell ref="I533:I534"/>
    <mergeCell ref="J533:J534"/>
    <mergeCell ref="A534:B534"/>
    <mergeCell ref="G534:H534"/>
    <mergeCell ref="A530:J530"/>
    <mergeCell ref="A531:C531"/>
    <mergeCell ref="D531:E531"/>
    <mergeCell ref="F531:H531"/>
    <mergeCell ref="I531:J531"/>
    <mergeCell ref="A532:C532"/>
    <mergeCell ref="D532:E532"/>
    <mergeCell ref="F532:H532"/>
    <mergeCell ref="I532:J532"/>
    <mergeCell ref="F544:G544"/>
    <mergeCell ref="A545:A550"/>
    <mergeCell ref="F545:G545"/>
    <mergeCell ref="F546:G546"/>
    <mergeCell ref="F547:G547"/>
    <mergeCell ref="F548:G548"/>
    <mergeCell ref="F550:G550"/>
    <mergeCell ref="F535:G535"/>
    <mergeCell ref="A536:A544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A556:B556"/>
    <mergeCell ref="C556:C557"/>
    <mergeCell ref="D556:E557"/>
    <mergeCell ref="G556:H556"/>
    <mergeCell ref="I556:I557"/>
    <mergeCell ref="J556:J557"/>
    <mergeCell ref="A557:B557"/>
    <mergeCell ref="G557:H557"/>
    <mergeCell ref="A553:J553"/>
    <mergeCell ref="A554:C554"/>
    <mergeCell ref="D554:E554"/>
    <mergeCell ref="F554:H554"/>
    <mergeCell ref="I554:J554"/>
    <mergeCell ref="A555:C555"/>
    <mergeCell ref="D555:E555"/>
    <mergeCell ref="F555:H555"/>
    <mergeCell ref="I555:J555"/>
    <mergeCell ref="F567:G567"/>
    <mergeCell ref="A568:A573"/>
    <mergeCell ref="F568:G568"/>
    <mergeCell ref="F569:G569"/>
    <mergeCell ref="F570:G570"/>
    <mergeCell ref="F571:G571"/>
    <mergeCell ref="F573:G573"/>
    <mergeCell ref="F558:G558"/>
    <mergeCell ref="A559:A567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A579:B579"/>
    <mergeCell ref="C579:C580"/>
    <mergeCell ref="D579:E580"/>
    <mergeCell ref="G579:H579"/>
    <mergeCell ref="I579:I580"/>
    <mergeCell ref="J579:J580"/>
    <mergeCell ref="A580:B580"/>
    <mergeCell ref="G580:H580"/>
    <mergeCell ref="A576:J576"/>
    <mergeCell ref="A577:C577"/>
    <mergeCell ref="D577:E577"/>
    <mergeCell ref="F577:H577"/>
    <mergeCell ref="I577:J577"/>
    <mergeCell ref="A578:C578"/>
    <mergeCell ref="D578:E578"/>
    <mergeCell ref="F578:H578"/>
    <mergeCell ref="I578:J578"/>
    <mergeCell ref="F590:G590"/>
    <mergeCell ref="A591:A596"/>
    <mergeCell ref="F591:G591"/>
    <mergeCell ref="F592:G592"/>
    <mergeCell ref="F593:G593"/>
    <mergeCell ref="F594:G594"/>
    <mergeCell ref="F596:G596"/>
    <mergeCell ref="F581:G581"/>
    <mergeCell ref="A582:A590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A602:B602"/>
    <mergeCell ref="C602:C603"/>
    <mergeCell ref="D602:E603"/>
    <mergeCell ref="G602:H602"/>
    <mergeCell ref="I602:I603"/>
    <mergeCell ref="J602:J603"/>
    <mergeCell ref="A603:B603"/>
    <mergeCell ref="G603:H603"/>
    <mergeCell ref="A599:J599"/>
    <mergeCell ref="A600:C600"/>
    <mergeCell ref="D600:E600"/>
    <mergeCell ref="F600:H600"/>
    <mergeCell ref="I600:J600"/>
    <mergeCell ref="A601:C601"/>
    <mergeCell ref="D601:E601"/>
    <mergeCell ref="F601:H601"/>
    <mergeCell ref="I601:J601"/>
    <mergeCell ref="F613:G613"/>
    <mergeCell ref="A614:A619"/>
    <mergeCell ref="F614:G614"/>
    <mergeCell ref="F615:G615"/>
    <mergeCell ref="F616:G616"/>
    <mergeCell ref="F617:G617"/>
    <mergeCell ref="F619:G619"/>
    <mergeCell ref="F604:G604"/>
    <mergeCell ref="A605:A613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A625:B625"/>
    <mergeCell ref="C625:C626"/>
    <mergeCell ref="D625:E626"/>
    <mergeCell ref="G625:H625"/>
    <mergeCell ref="I625:I626"/>
    <mergeCell ref="J625:J626"/>
    <mergeCell ref="A626:B626"/>
    <mergeCell ref="G626:H626"/>
    <mergeCell ref="A622:J622"/>
    <mergeCell ref="A623:C623"/>
    <mergeCell ref="D623:E623"/>
    <mergeCell ref="F623:H623"/>
    <mergeCell ref="I623:J623"/>
    <mergeCell ref="A624:C624"/>
    <mergeCell ref="D624:E624"/>
    <mergeCell ref="F624:H624"/>
    <mergeCell ref="I624:J624"/>
    <mergeCell ref="F636:G636"/>
    <mergeCell ref="A637:A642"/>
    <mergeCell ref="F637:G637"/>
    <mergeCell ref="F638:G638"/>
    <mergeCell ref="F639:G639"/>
    <mergeCell ref="F640:G640"/>
    <mergeCell ref="F642:G642"/>
    <mergeCell ref="F627:G627"/>
    <mergeCell ref="A628:A636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A648:B648"/>
    <mergeCell ref="C648:C649"/>
    <mergeCell ref="D648:E649"/>
    <mergeCell ref="G648:H648"/>
    <mergeCell ref="I648:I649"/>
    <mergeCell ref="J648:J649"/>
    <mergeCell ref="A649:B649"/>
    <mergeCell ref="G649:H649"/>
    <mergeCell ref="A645:J645"/>
    <mergeCell ref="A646:C646"/>
    <mergeCell ref="D646:E646"/>
    <mergeCell ref="F646:H646"/>
    <mergeCell ref="I646:J646"/>
    <mergeCell ref="A647:C647"/>
    <mergeCell ref="D647:E647"/>
    <mergeCell ref="F647:H647"/>
    <mergeCell ref="I647:J647"/>
    <mergeCell ref="F659:G659"/>
    <mergeCell ref="A660:A665"/>
    <mergeCell ref="F660:G660"/>
    <mergeCell ref="F661:G661"/>
    <mergeCell ref="F662:G662"/>
    <mergeCell ref="F663:G663"/>
    <mergeCell ref="F665:G665"/>
    <mergeCell ref="F650:G650"/>
    <mergeCell ref="A651:A659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A671:B671"/>
    <mergeCell ref="C671:C672"/>
    <mergeCell ref="D671:E672"/>
    <mergeCell ref="G671:H671"/>
    <mergeCell ref="I671:I672"/>
    <mergeCell ref="J671:J672"/>
    <mergeCell ref="A672:B672"/>
    <mergeCell ref="G672:H672"/>
    <mergeCell ref="A668:J668"/>
    <mergeCell ref="A669:C669"/>
    <mergeCell ref="D669:E669"/>
    <mergeCell ref="F669:H669"/>
    <mergeCell ref="I669:J669"/>
    <mergeCell ref="A670:C670"/>
    <mergeCell ref="D670:E670"/>
    <mergeCell ref="F670:H670"/>
    <mergeCell ref="I670:J670"/>
    <mergeCell ref="F682:G682"/>
    <mergeCell ref="A683:A688"/>
    <mergeCell ref="F683:G683"/>
    <mergeCell ref="F684:G684"/>
    <mergeCell ref="F685:G685"/>
    <mergeCell ref="F686:G686"/>
    <mergeCell ref="F688:G688"/>
    <mergeCell ref="F673:G673"/>
    <mergeCell ref="A674:A682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A694:B694"/>
    <mergeCell ref="C694:C695"/>
    <mergeCell ref="D694:E695"/>
    <mergeCell ref="G694:H694"/>
    <mergeCell ref="I694:I695"/>
    <mergeCell ref="J694:J695"/>
    <mergeCell ref="A695:B695"/>
    <mergeCell ref="G695:H695"/>
    <mergeCell ref="A691:J691"/>
    <mergeCell ref="A692:C692"/>
    <mergeCell ref="D692:E692"/>
    <mergeCell ref="F692:H692"/>
    <mergeCell ref="I692:J692"/>
    <mergeCell ref="A693:C693"/>
    <mergeCell ref="D693:E693"/>
    <mergeCell ref="F693:H693"/>
    <mergeCell ref="I693:J693"/>
    <mergeCell ref="F705:G705"/>
    <mergeCell ref="A706:A711"/>
    <mergeCell ref="F706:G706"/>
    <mergeCell ref="F707:G707"/>
    <mergeCell ref="F708:G708"/>
    <mergeCell ref="F709:G709"/>
    <mergeCell ref="F711:G711"/>
    <mergeCell ref="F696:G696"/>
    <mergeCell ref="A697:A705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A717:B717"/>
    <mergeCell ref="C717:C718"/>
    <mergeCell ref="D717:E718"/>
    <mergeCell ref="G717:H717"/>
    <mergeCell ref="I717:I718"/>
    <mergeCell ref="J717:J718"/>
    <mergeCell ref="A718:B718"/>
    <mergeCell ref="G718:H718"/>
    <mergeCell ref="A714:J714"/>
    <mergeCell ref="A715:C715"/>
    <mergeCell ref="D715:E715"/>
    <mergeCell ref="F715:H715"/>
    <mergeCell ref="I715:J715"/>
    <mergeCell ref="A716:C716"/>
    <mergeCell ref="D716:E716"/>
    <mergeCell ref="F716:H716"/>
    <mergeCell ref="I716:J716"/>
    <mergeCell ref="F728:G728"/>
    <mergeCell ref="A729:A734"/>
    <mergeCell ref="F729:G729"/>
    <mergeCell ref="F730:G730"/>
    <mergeCell ref="F731:G731"/>
    <mergeCell ref="F732:G732"/>
    <mergeCell ref="F734:G734"/>
    <mergeCell ref="F719:G719"/>
    <mergeCell ref="A720:A728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A740:B740"/>
    <mergeCell ref="C740:C741"/>
    <mergeCell ref="D740:E741"/>
    <mergeCell ref="G740:H740"/>
    <mergeCell ref="I740:I741"/>
    <mergeCell ref="J740:J741"/>
    <mergeCell ref="A741:B741"/>
    <mergeCell ref="G741:H741"/>
    <mergeCell ref="A737:J737"/>
    <mergeCell ref="A738:C738"/>
    <mergeCell ref="D738:E738"/>
    <mergeCell ref="F738:H738"/>
    <mergeCell ref="I738:J738"/>
    <mergeCell ref="A739:C739"/>
    <mergeCell ref="D739:E739"/>
    <mergeCell ref="F739:H739"/>
    <mergeCell ref="I739:J739"/>
    <mergeCell ref="F751:G751"/>
    <mergeCell ref="A752:A757"/>
    <mergeCell ref="F752:G752"/>
    <mergeCell ref="F753:G753"/>
    <mergeCell ref="F754:G754"/>
    <mergeCell ref="F755:G755"/>
    <mergeCell ref="F757:G757"/>
    <mergeCell ref="F742:G742"/>
    <mergeCell ref="A743:A751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A763:B763"/>
    <mergeCell ref="C763:C764"/>
    <mergeCell ref="D763:E764"/>
    <mergeCell ref="G763:H763"/>
    <mergeCell ref="I763:I764"/>
    <mergeCell ref="J763:J764"/>
    <mergeCell ref="A764:B764"/>
    <mergeCell ref="G764:H764"/>
    <mergeCell ref="A760:J760"/>
    <mergeCell ref="A761:C761"/>
    <mergeCell ref="D761:E761"/>
    <mergeCell ref="F761:H761"/>
    <mergeCell ref="I761:J761"/>
    <mergeCell ref="A762:C762"/>
    <mergeCell ref="D762:E762"/>
    <mergeCell ref="F762:H762"/>
    <mergeCell ref="I762:J762"/>
    <mergeCell ref="F774:G774"/>
    <mergeCell ref="A775:A780"/>
    <mergeCell ref="F775:G775"/>
    <mergeCell ref="F776:G776"/>
    <mergeCell ref="F777:G777"/>
    <mergeCell ref="F778:G778"/>
    <mergeCell ref="F780:G780"/>
    <mergeCell ref="F765:G765"/>
    <mergeCell ref="A766:A774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A786:B786"/>
    <mergeCell ref="C786:C787"/>
    <mergeCell ref="D786:E787"/>
    <mergeCell ref="G786:H786"/>
    <mergeCell ref="I786:I787"/>
    <mergeCell ref="J786:J787"/>
    <mergeCell ref="A787:B787"/>
    <mergeCell ref="G787:H787"/>
    <mergeCell ref="A783:J783"/>
    <mergeCell ref="A784:C784"/>
    <mergeCell ref="D784:E784"/>
    <mergeCell ref="F784:H784"/>
    <mergeCell ref="I784:J784"/>
    <mergeCell ref="A785:C785"/>
    <mergeCell ref="D785:E785"/>
    <mergeCell ref="F785:H785"/>
    <mergeCell ref="I785:J785"/>
    <mergeCell ref="F797:G797"/>
    <mergeCell ref="A798:A803"/>
    <mergeCell ref="F798:G798"/>
    <mergeCell ref="F799:G799"/>
    <mergeCell ref="F800:G800"/>
    <mergeCell ref="F801:G801"/>
    <mergeCell ref="F803:G803"/>
    <mergeCell ref="F788:G788"/>
    <mergeCell ref="A789:A797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A809:B809"/>
    <mergeCell ref="C809:C810"/>
    <mergeCell ref="D809:E810"/>
    <mergeCell ref="G809:H809"/>
    <mergeCell ref="I809:I810"/>
    <mergeCell ref="J809:J810"/>
    <mergeCell ref="A810:B810"/>
    <mergeCell ref="G810:H810"/>
    <mergeCell ref="A806:J806"/>
    <mergeCell ref="A807:C807"/>
    <mergeCell ref="D807:E807"/>
    <mergeCell ref="F807:H807"/>
    <mergeCell ref="I807:J807"/>
    <mergeCell ref="A808:C808"/>
    <mergeCell ref="D808:E808"/>
    <mergeCell ref="F808:H808"/>
    <mergeCell ref="I808:J808"/>
    <mergeCell ref="F820:G820"/>
    <mergeCell ref="A821:A826"/>
    <mergeCell ref="F821:G821"/>
    <mergeCell ref="F822:G822"/>
    <mergeCell ref="F823:G823"/>
    <mergeCell ref="F824:G824"/>
    <mergeCell ref="F826:G826"/>
    <mergeCell ref="F811:G811"/>
    <mergeCell ref="A812:A820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A832:B832"/>
    <mergeCell ref="C832:C833"/>
    <mergeCell ref="D832:E833"/>
    <mergeCell ref="G832:H832"/>
    <mergeCell ref="I832:I833"/>
    <mergeCell ref="J832:J833"/>
    <mergeCell ref="A833:B833"/>
    <mergeCell ref="G833:H833"/>
    <mergeCell ref="A829:J829"/>
    <mergeCell ref="A830:C830"/>
    <mergeCell ref="D830:E830"/>
    <mergeCell ref="F830:H830"/>
    <mergeCell ref="I830:J830"/>
    <mergeCell ref="A831:C831"/>
    <mergeCell ref="D831:E831"/>
    <mergeCell ref="F831:H831"/>
    <mergeCell ref="I831:J831"/>
    <mergeCell ref="F843:G843"/>
    <mergeCell ref="A844:A849"/>
    <mergeCell ref="F844:G844"/>
    <mergeCell ref="F845:G845"/>
    <mergeCell ref="F846:G846"/>
    <mergeCell ref="F847:G847"/>
    <mergeCell ref="F849:G849"/>
    <mergeCell ref="F834:G834"/>
    <mergeCell ref="A835:A843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A855:B855"/>
    <mergeCell ref="C855:C856"/>
    <mergeCell ref="D855:E856"/>
    <mergeCell ref="G855:H855"/>
    <mergeCell ref="I855:I856"/>
    <mergeCell ref="J855:J856"/>
    <mergeCell ref="A856:B856"/>
    <mergeCell ref="G856:H856"/>
    <mergeCell ref="A852:J852"/>
    <mergeCell ref="A853:C853"/>
    <mergeCell ref="D853:E853"/>
    <mergeCell ref="F853:H853"/>
    <mergeCell ref="I853:J853"/>
    <mergeCell ref="A854:C854"/>
    <mergeCell ref="D854:E854"/>
    <mergeCell ref="F854:H854"/>
    <mergeCell ref="I854:J854"/>
    <mergeCell ref="F866:G866"/>
    <mergeCell ref="A867:A872"/>
    <mergeCell ref="F867:G867"/>
    <mergeCell ref="F868:G868"/>
    <mergeCell ref="F869:G869"/>
    <mergeCell ref="F870:G870"/>
    <mergeCell ref="F872:G872"/>
    <mergeCell ref="F857:G857"/>
    <mergeCell ref="A858:A866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A878:B878"/>
    <mergeCell ref="C878:C879"/>
    <mergeCell ref="D878:E879"/>
    <mergeCell ref="G878:H878"/>
    <mergeCell ref="I878:I879"/>
    <mergeCell ref="J878:J879"/>
    <mergeCell ref="A879:B879"/>
    <mergeCell ref="G879:H879"/>
    <mergeCell ref="A875:J875"/>
    <mergeCell ref="A876:C876"/>
    <mergeCell ref="D876:E876"/>
    <mergeCell ref="F876:H876"/>
    <mergeCell ref="I876:J876"/>
    <mergeCell ref="A877:C877"/>
    <mergeCell ref="D877:E877"/>
    <mergeCell ref="F877:H877"/>
    <mergeCell ref="I877:J877"/>
    <mergeCell ref="F889:G889"/>
    <mergeCell ref="A890:A895"/>
    <mergeCell ref="F890:G890"/>
    <mergeCell ref="F891:G891"/>
    <mergeCell ref="F892:G892"/>
    <mergeCell ref="F893:G893"/>
    <mergeCell ref="F895:G895"/>
    <mergeCell ref="F880:G880"/>
    <mergeCell ref="A881:A889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A901:B901"/>
    <mergeCell ref="C901:C902"/>
    <mergeCell ref="D901:E902"/>
    <mergeCell ref="G901:H901"/>
    <mergeCell ref="I901:I902"/>
    <mergeCell ref="J901:J902"/>
    <mergeCell ref="A902:B902"/>
    <mergeCell ref="G902:H902"/>
    <mergeCell ref="A898:J898"/>
    <mergeCell ref="A899:C899"/>
    <mergeCell ref="D899:E899"/>
    <mergeCell ref="F899:H899"/>
    <mergeCell ref="I899:J899"/>
    <mergeCell ref="A900:C900"/>
    <mergeCell ref="D900:E900"/>
    <mergeCell ref="F900:H900"/>
    <mergeCell ref="I900:J900"/>
    <mergeCell ref="F912:G912"/>
    <mergeCell ref="A913:A918"/>
    <mergeCell ref="F913:G913"/>
    <mergeCell ref="F914:G914"/>
    <mergeCell ref="F915:G915"/>
    <mergeCell ref="F916:G916"/>
    <mergeCell ref="F918:G918"/>
    <mergeCell ref="F903:G903"/>
    <mergeCell ref="A904:A912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A924:B924"/>
    <mergeCell ref="C924:C925"/>
    <mergeCell ref="D924:E925"/>
    <mergeCell ref="G924:H924"/>
    <mergeCell ref="I924:I925"/>
    <mergeCell ref="J924:J925"/>
    <mergeCell ref="A925:B925"/>
    <mergeCell ref="G925:H925"/>
    <mergeCell ref="A921:J921"/>
    <mergeCell ref="A922:C922"/>
    <mergeCell ref="D922:E922"/>
    <mergeCell ref="F922:H922"/>
    <mergeCell ref="I922:J922"/>
    <mergeCell ref="A923:C923"/>
    <mergeCell ref="D923:E923"/>
    <mergeCell ref="F923:H923"/>
    <mergeCell ref="I923:J923"/>
    <mergeCell ref="F935:G935"/>
    <mergeCell ref="A936:A941"/>
    <mergeCell ref="F936:G936"/>
    <mergeCell ref="F937:G937"/>
    <mergeCell ref="F938:G938"/>
    <mergeCell ref="F939:G939"/>
    <mergeCell ref="F941:G941"/>
    <mergeCell ref="F926:G926"/>
    <mergeCell ref="A927:A935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A947:B947"/>
    <mergeCell ref="C947:C948"/>
    <mergeCell ref="D947:E948"/>
    <mergeCell ref="G947:H947"/>
    <mergeCell ref="I947:I948"/>
    <mergeCell ref="J947:J948"/>
    <mergeCell ref="A948:B948"/>
    <mergeCell ref="G948:H948"/>
    <mergeCell ref="A944:J944"/>
    <mergeCell ref="A945:C945"/>
    <mergeCell ref="D945:E945"/>
    <mergeCell ref="F945:H945"/>
    <mergeCell ref="I945:J945"/>
    <mergeCell ref="A946:C946"/>
    <mergeCell ref="D946:E946"/>
    <mergeCell ref="F946:H946"/>
    <mergeCell ref="I946:J946"/>
    <mergeCell ref="F958:G958"/>
    <mergeCell ref="A959:A964"/>
    <mergeCell ref="F959:G959"/>
    <mergeCell ref="F960:G960"/>
    <mergeCell ref="F961:G961"/>
    <mergeCell ref="F962:G962"/>
    <mergeCell ref="F964:G964"/>
    <mergeCell ref="F949:G949"/>
    <mergeCell ref="A950:A958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A970:B970"/>
    <mergeCell ref="C970:C971"/>
    <mergeCell ref="D970:E971"/>
    <mergeCell ref="G970:H970"/>
    <mergeCell ref="I970:I971"/>
    <mergeCell ref="J970:J971"/>
    <mergeCell ref="A971:B971"/>
    <mergeCell ref="G971:H971"/>
    <mergeCell ref="A967:J967"/>
    <mergeCell ref="A968:C968"/>
    <mergeCell ref="D968:E968"/>
    <mergeCell ref="F968:H968"/>
    <mergeCell ref="I968:J968"/>
    <mergeCell ref="A969:C969"/>
    <mergeCell ref="D969:E969"/>
    <mergeCell ref="F969:H969"/>
    <mergeCell ref="I969:J969"/>
    <mergeCell ref="F981:G981"/>
    <mergeCell ref="A982:A987"/>
    <mergeCell ref="F982:G982"/>
    <mergeCell ref="F983:G983"/>
    <mergeCell ref="F984:G984"/>
    <mergeCell ref="F985:G985"/>
    <mergeCell ref="F987:G987"/>
    <mergeCell ref="F972:G972"/>
    <mergeCell ref="A973:A981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A993:B993"/>
    <mergeCell ref="C993:C994"/>
    <mergeCell ref="D993:E994"/>
    <mergeCell ref="G993:H993"/>
    <mergeCell ref="I993:I994"/>
    <mergeCell ref="J993:J994"/>
    <mergeCell ref="A994:B994"/>
    <mergeCell ref="G994:H994"/>
    <mergeCell ref="A990:J990"/>
    <mergeCell ref="A991:C991"/>
    <mergeCell ref="D991:E991"/>
    <mergeCell ref="F991:H991"/>
    <mergeCell ref="I991:J991"/>
    <mergeCell ref="A992:C992"/>
    <mergeCell ref="D992:E992"/>
    <mergeCell ref="F992:H992"/>
    <mergeCell ref="I992:J992"/>
    <mergeCell ref="F1004:G1004"/>
    <mergeCell ref="A1005:A1010"/>
    <mergeCell ref="F1005:G1005"/>
    <mergeCell ref="F1006:G1006"/>
    <mergeCell ref="F1007:G1007"/>
    <mergeCell ref="F1008:G1008"/>
    <mergeCell ref="F1010:G1010"/>
    <mergeCell ref="F995:G995"/>
    <mergeCell ref="A996:A1004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A1016:B1016"/>
    <mergeCell ref="C1016:C1017"/>
    <mergeCell ref="D1016:E1017"/>
    <mergeCell ref="G1016:H1016"/>
    <mergeCell ref="I1016:I1017"/>
    <mergeCell ref="J1016:J1017"/>
    <mergeCell ref="A1017:B1017"/>
    <mergeCell ref="G1017:H1017"/>
    <mergeCell ref="A1013:J1013"/>
    <mergeCell ref="A1014:C1014"/>
    <mergeCell ref="D1014:E1014"/>
    <mergeCell ref="F1014:H1014"/>
    <mergeCell ref="I1014:J1014"/>
    <mergeCell ref="A1015:C1015"/>
    <mergeCell ref="D1015:E1015"/>
    <mergeCell ref="F1015:H1015"/>
    <mergeCell ref="I1015:J1015"/>
    <mergeCell ref="F1027:G1027"/>
    <mergeCell ref="A1028:A1033"/>
    <mergeCell ref="F1028:G1028"/>
    <mergeCell ref="F1029:G1029"/>
    <mergeCell ref="F1030:G1030"/>
    <mergeCell ref="F1031:G1031"/>
    <mergeCell ref="F1033:G1033"/>
    <mergeCell ref="F1018:G1018"/>
    <mergeCell ref="A1019:A1027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A1039:B1039"/>
    <mergeCell ref="C1039:C1040"/>
    <mergeCell ref="D1039:E1040"/>
    <mergeCell ref="G1039:H1039"/>
    <mergeCell ref="I1039:I1040"/>
    <mergeCell ref="J1039:J1040"/>
    <mergeCell ref="A1040:B1040"/>
    <mergeCell ref="G1040:H1040"/>
    <mergeCell ref="A1036:J1036"/>
    <mergeCell ref="A1037:C1037"/>
    <mergeCell ref="D1037:E1037"/>
    <mergeCell ref="F1037:H1037"/>
    <mergeCell ref="I1037:J1037"/>
    <mergeCell ref="A1038:C1038"/>
    <mergeCell ref="D1038:E1038"/>
    <mergeCell ref="F1038:H1038"/>
    <mergeCell ref="I1038:J1038"/>
    <mergeCell ref="F1050:G1050"/>
    <mergeCell ref="A1051:A1056"/>
    <mergeCell ref="F1051:G1051"/>
    <mergeCell ref="F1052:G1052"/>
    <mergeCell ref="F1053:G1053"/>
    <mergeCell ref="F1054:G1054"/>
    <mergeCell ref="F1056:G1056"/>
    <mergeCell ref="F1041:G1041"/>
    <mergeCell ref="A1042:A1050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A1062:B1062"/>
    <mergeCell ref="C1062:C1063"/>
    <mergeCell ref="D1062:E1063"/>
    <mergeCell ref="G1062:H1062"/>
    <mergeCell ref="I1062:I1063"/>
    <mergeCell ref="J1062:J1063"/>
    <mergeCell ref="A1063:B1063"/>
    <mergeCell ref="G1063:H1063"/>
    <mergeCell ref="A1059:J1059"/>
    <mergeCell ref="A1060:C1060"/>
    <mergeCell ref="D1060:E1060"/>
    <mergeCell ref="F1060:H1060"/>
    <mergeCell ref="I1060:J1060"/>
    <mergeCell ref="A1061:C1061"/>
    <mergeCell ref="D1061:E1061"/>
    <mergeCell ref="F1061:H1061"/>
    <mergeCell ref="I1061:J1061"/>
    <mergeCell ref="F1073:G1073"/>
    <mergeCell ref="A1074:A1079"/>
    <mergeCell ref="F1074:G1074"/>
    <mergeCell ref="F1075:G1075"/>
    <mergeCell ref="F1076:G1076"/>
    <mergeCell ref="F1077:G1077"/>
    <mergeCell ref="F1079:G1079"/>
    <mergeCell ref="F1064:G1064"/>
    <mergeCell ref="A1065:A1073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A1085:B1085"/>
    <mergeCell ref="C1085:C1086"/>
    <mergeCell ref="D1085:E1086"/>
    <mergeCell ref="G1085:H1085"/>
    <mergeCell ref="I1085:I1086"/>
    <mergeCell ref="J1085:J1086"/>
    <mergeCell ref="A1086:B1086"/>
    <mergeCell ref="G1086:H1086"/>
    <mergeCell ref="A1082:J1082"/>
    <mergeCell ref="A1083:C1083"/>
    <mergeCell ref="D1083:E1083"/>
    <mergeCell ref="F1083:H1083"/>
    <mergeCell ref="I1083:J1083"/>
    <mergeCell ref="A1084:C1084"/>
    <mergeCell ref="D1084:E1084"/>
    <mergeCell ref="F1084:H1084"/>
    <mergeCell ref="I1084:J1084"/>
    <mergeCell ref="F1096:G1096"/>
    <mergeCell ref="A1097:A1102"/>
    <mergeCell ref="F1097:G1097"/>
    <mergeCell ref="F1098:G1098"/>
    <mergeCell ref="F1099:G1099"/>
    <mergeCell ref="F1100:G1100"/>
    <mergeCell ref="F1102:G1102"/>
    <mergeCell ref="F1087:G1087"/>
    <mergeCell ref="A1088:A1096"/>
    <mergeCell ref="F1088:G1088"/>
    <mergeCell ref="F1089:G1089"/>
    <mergeCell ref="F1090:G1090"/>
    <mergeCell ref="F1091:G1091"/>
    <mergeCell ref="F1092:G1092"/>
    <mergeCell ref="F1093:G1093"/>
    <mergeCell ref="F1094:G1094"/>
    <mergeCell ref="F1095:G1095"/>
    <mergeCell ref="A1108:B1108"/>
    <mergeCell ref="C1108:C1109"/>
    <mergeCell ref="D1108:E1109"/>
    <mergeCell ref="G1108:H1108"/>
    <mergeCell ref="I1108:I1109"/>
    <mergeCell ref="J1108:J1109"/>
    <mergeCell ref="A1109:B1109"/>
    <mergeCell ref="G1109:H1109"/>
    <mergeCell ref="A1105:J1105"/>
    <mergeCell ref="A1106:C1106"/>
    <mergeCell ref="D1106:E1106"/>
    <mergeCell ref="F1106:H1106"/>
    <mergeCell ref="I1106:J1106"/>
    <mergeCell ref="A1107:C1107"/>
    <mergeCell ref="D1107:E1107"/>
    <mergeCell ref="F1107:H1107"/>
    <mergeCell ref="I1107:J1107"/>
    <mergeCell ref="F1119:G1119"/>
    <mergeCell ref="A1120:A1125"/>
    <mergeCell ref="F1120:G1120"/>
    <mergeCell ref="F1121:G1121"/>
    <mergeCell ref="F1122:G1122"/>
    <mergeCell ref="F1123:G1123"/>
    <mergeCell ref="F1125:G1125"/>
    <mergeCell ref="F1110:G1110"/>
    <mergeCell ref="A1111:A1119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</mergeCells>
  <phoneticPr fontId="1" type="noConversion"/>
  <pageMargins left="0.68" right="0.35433070866141736" top="0.78740157480314965" bottom="0.39370078740157483" header="0.51181102362204722" footer="0.51181102362204722"/>
  <pageSetup paperSize="9" scale="93" fitToHeight="0" orientation="portrait" horizontalDpi="4294967292" r:id="rId1"/>
  <headerFooter alignWithMargins="0"/>
  <rowBreaks count="48" manualBreakCount="48">
    <brk id="23" max="9" man="1"/>
    <brk id="46" max="9" man="1"/>
    <brk id="69" max="9" man="1"/>
    <brk id="92" max="9" man="1"/>
    <brk id="115" max="9" man="1"/>
    <brk id="138" max="9" man="1"/>
    <brk id="161" max="9" man="1"/>
    <brk id="184" max="9" man="1"/>
    <brk id="207" max="9" man="1"/>
    <brk id="230" max="9" man="1"/>
    <brk id="253" max="9" man="1"/>
    <brk id="276" max="9" man="1"/>
    <brk id="299" max="9" man="1"/>
    <brk id="322" max="9" man="1"/>
    <brk id="345" max="9" man="1"/>
    <brk id="368" max="9" man="1"/>
    <brk id="391" max="9" man="1"/>
    <brk id="414" max="9" man="1"/>
    <brk id="437" max="9" man="1"/>
    <brk id="460" max="9" man="1"/>
    <brk id="483" max="9" man="1"/>
    <brk id="506" max="9" man="1"/>
    <brk id="529" max="9" man="1"/>
    <brk id="552" max="9" man="1"/>
    <brk id="575" max="9" man="1"/>
    <brk id="598" max="9" man="1"/>
    <brk id="621" max="9" man="1"/>
    <brk id="644" max="9" man="1"/>
    <brk id="667" max="9" man="1"/>
    <brk id="690" max="9" man="1"/>
    <brk id="713" max="9" man="1"/>
    <brk id="736" max="9" man="1"/>
    <brk id="759" max="9" man="1"/>
    <brk id="782" max="9" man="1"/>
    <brk id="805" max="9" man="1"/>
    <brk id="828" max="9" man="1"/>
    <brk id="851" max="9" man="1"/>
    <brk id="874" max="9" man="1"/>
    <brk id="897" max="9" man="1"/>
    <brk id="920" max="9" man="1"/>
    <brk id="943" max="9" man="1"/>
    <brk id="966" max="9" man="1"/>
    <brk id="989" max="9" man="1"/>
    <brk id="1012" max="9" man="1"/>
    <brk id="1035" max="9" man="1"/>
    <brk id="1058" max="9" man="1"/>
    <brk id="1081" max="9" man="1"/>
    <brk id="1104" max="9" man="1"/>
  </rowBreaks>
  <colBreaks count="1" manualBreakCount="1">
    <brk id="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669E-E7C7-43AE-A963-E0F283D39D19}">
  <sheetPr codeName="Sheet9"/>
  <dimension ref="B2:Q42"/>
  <sheetViews>
    <sheetView topLeftCell="D16" zoomScale="70" zoomScaleNormal="70" workbookViewId="0">
      <selection activeCell="M38" sqref="M38"/>
    </sheetView>
  </sheetViews>
  <sheetFormatPr defaultRowHeight="16.899999999999999" x14ac:dyDescent="0.6"/>
  <cols>
    <col min="3" max="3" width="16.6875" bestFit="1" customWidth="1"/>
    <col min="4" max="4" width="16.1875" bestFit="1" customWidth="1"/>
    <col min="5" max="5" width="12.3125" bestFit="1" customWidth="1"/>
    <col min="6" max="6" width="15.6875" customWidth="1"/>
    <col min="7" max="7" width="8.875" customWidth="1"/>
    <col min="8" max="8" width="28.6875" customWidth="1"/>
    <col min="9" max="9" width="9.3125" customWidth="1"/>
    <col min="10" max="10" width="12.6875" customWidth="1"/>
    <col min="11" max="11" width="11.3125" customWidth="1"/>
    <col min="12" max="12" width="16.3125" style="119" customWidth="1"/>
    <col min="13" max="13" width="20.1875" customWidth="1"/>
    <col min="14" max="14" width="31.5" bestFit="1" customWidth="1"/>
    <col min="15" max="15" width="11.3125" style="246" bestFit="1" customWidth="1"/>
  </cols>
  <sheetData>
    <row r="2" spans="2:17" ht="34.9" x14ac:dyDescent="0.6">
      <c r="B2" s="360" t="s">
        <v>183</v>
      </c>
      <c r="C2" s="360"/>
      <c r="D2" s="360"/>
      <c r="E2" s="360"/>
      <c r="F2" s="360"/>
      <c r="G2" s="360"/>
      <c r="H2" s="360"/>
      <c r="I2" s="360"/>
      <c r="J2" s="360"/>
    </row>
    <row r="3" spans="2:17" ht="47.65" thickBot="1" x14ac:dyDescent="0.65">
      <c r="B3" s="59" t="s">
        <v>184</v>
      </c>
      <c r="C3" s="108" t="s">
        <v>173</v>
      </c>
      <c r="D3" s="60" t="s">
        <v>185</v>
      </c>
      <c r="E3" s="108" t="s">
        <v>186</v>
      </c>
      <c r="F3" s="59" t="s">
        <v>187</v>
      </c>
      <c r="G3" s="61" t="s">
        <v>175</v>
      </c>
      <c r="H3" s="62" t="s">
        <v>176</v>
      </c>
      <c r="I3" s="61" t="s">
        <v>188</v>
      </c>
      <c r="J3" s="59" t="s">
        <v>189</v>
      </c>
    </row>
    <row r="4" spans="2:17" ht="17.25" thickTop="1" x14ac:dyDescent="0.6">
      <c r="B4" s="65" t="s">
        <v>190</v>
      </c>
      <c r="C4" t="s">
        <v>191</v>
      </c>
      <c r="E4" s="155">
        <f>VLOOKUP(C4,[1]Sheet1!$B$2:$I$39,4,0)</f>
        <v>3400000</v>
      </c>
      <c r="F4" s="58" t="s">
        <v>248</v>
      </c>
      <c r="G4" s="58">
        <v>0</v>
      </c>
      <c r="H4" s="111">
        <v>0</v>
      </c>
      <c r="I4" s="182">
        <v>0</v>
      </c>
      <c r="J4" s="63">
        <v>44743</v>
      </c>
      <c r="L4" s="119">
        <f>VLOOKUP(C4,[1]Sheet1!$B$2:$I$39,7,0)</f>
        <v>0</v>
      </c>
      <c r="M4" s="119" t="str">
        <f>VLOOKUP(C4,[1]Sheet1!$B$2:$I$39,8,0)</f>
        <v>2.5추가</v>
      </c>
      <c r="N4" s="230"/>
      <c r="P4" s="217"/>
      <c r="Q4" t="str">
        <f>VLOOKUP(C4,임금대장!$B$6:$B$83,1,0)</f>
        <v>piao jing</v>
      </c>
    </row>
    <row r="5" spans="2:17" x14ac:dyDescent="0.6">
      <c r="B5" s="65" t="s">
        <v>192</v>
      </c>
      <c r="C5" s="158" t="s">
        <v>193</v>
      </c>
      <c r="E5" s="155">
        <f>VLOOKUP(C5,[1]Sheet1!$B$2:$I$39,4,0)</f>
        <v>4300000</v>
      </c>
      <c r="F5" s="58" t="s">
        <v>249</v>
      </c>
      <c r="G5" s="58" t="s">
        <v>129</v>
      </c>
      <c r="H5" s="111" t="s">
        <v>238</v>
      </c>
      <c r="I5" s="182">
        <v>0</v>
      </c>
      <c r="J5" s="63">
        <v>44593</v>
      </c>
      <c r="L5" s="119">
        <f>VLOOKUP(C5,[1]Sheet1!$B$2:$I$39,7,0)</f>
        <v>0</v>
      </c>
      <c r="M5" s="119" t="str">
        <f>VLOOKUP(C5,[1]Sheet1!$B$2:$I$39,8,0)</f>
        <v>0.5추가</v>
      </c>
      <c r="N5" s="230"/>
      <c r="P5" s="217"/>
      <c r="Q5" t="str">
        <f>VLOOKUP(C5,임금대장!$B$6:$B$83,1,0)</f>
        <v>박은규</v>
      </c>
    </row>
    <row r="6" spans="2:17" x14ac:dyDescent="0.6">
      <c r="C6" t="s">
        <v>65</v>
      </c>
      <c r="E6" s="155">
        <f>VLOOKUP(C6,[1]Sheet1!$B$2:$I$39,4,0)</f>
        <v>3300000</v>
      </c>
      <c r="F6" t="s">
        <v>246</v>
      </c>
      <c r="G6" s="58" t="s">
        <v>241</v>
      </c>
      <c r="H6" s="111" t="s">
        <v>242</v>
      </c>
      <c r="J6" s="119">
        <v>45012</v>
      </c>
      <c r="L6" s="119">
        <f>VLOOKUP(C6,[1]Sheet1!$B$2:$I$39,7,0)</f>
        <v>0</v>
      </c>
      <c r="M6" s="119" t="str">
        <f>VLOOKUP(C6,[1]Sheet1!$B$2:$I$39,8,0)</f>
        <v>0.5추가</v>
      </c>
      <c r="N6" s="230"/>
      <c r="P6" s="217"/>
      <c r="Q6" t="str">
        <f>VLOOKUP(C6,임금대장!$B$6:$B$83,1,0)</f>
        <v>박옥순</v>
      </c>
    </row>
    <row r="7" spans="2:17" x14ac:dyDescent="0.6">
      <c r="B7" t="s">
        <v>252</v>
      </c>
      <c r="C7" t="s">
        <v>256</v>
      </c>
      <c r="E7" s="155">
        <f>VLOOKUP(C7,[1]Sheet1!$B$2:$I$39,4,0)</f>
        <v>3500000</v>
      </c>
      <c r="F7" t="s">
        <v>260</v>
      </c>
      <c r="G7" s="58" t="s">
        <v>144</v>
      </c>
      <c r="H7" s="111" t="s">
        <v>258</v>
      </c>
      <c r="J7" s="119">
        <v>45278</v>
      </c>
      <c r="L7" s="119">
        <f>VLOOKUP(C7,[1]Sheet1!$B$2:$I$39,7,0)</f>
        <v>0</v>
      </c>
      <c r="M7" s="119" t="str">
        <f>VLOOKUP(C7,[1]Sheet1!$B$2:$I$39,8,0)</f>
        <v>2.5추가</v>
      </c>
      <c r="N7" s="230"/>
      <c r="P7" s="217"/>
      <c r="Q7" t="str">
        <f>VLOOKUP(C7,임금대장!$B$6:$B$83,1,0)</f>
        <v>김성환</v>
      </c>
    </row>
    <row r="8" spans="2:17" x14ac:dyDescent="0.6">
      <c r="B8" t="s">
        <v>252</v>
      </c>
      <c r="C8" t="s">
        <v>273</v>
      </c>
      <c r="E8" s="155">
        <f>VLOOKUP(C8,[1]Sheet1!$B$2:$I$39,4,0)</f>
        <v>3500000</v>
      </c>
      <c r="F8" t="s">
        <v>275</v>
      </c>
      <c r="J8" s="119">
        <v>45369</v>
      </c>
      <c r="L8" s="119">
        <f>VLOOKUP(C8,[1]Sheet1!$B$2:$I$39,7,0)</f>
        <v>0</v>
      </c>
      <c r="M8" s="119" t="str">
        <f>VLOOKUP(C8,[1]Sheet1!$B$2:$I$39,8,0)</f>
        <v>1.5추가</v>
      </c>
      <c r="N8" s="230"/>
      <c r="P8" s="217"/>
      <c r="Q8" t="str">
        <f>VLOOKUP(C8,임금대장!$B$6:$B$83,1,0)</f>
        <v>강수정</v>
      </c>
    </row>
    <row r="9" spans="2:17" x14ac:dyDescent="0.6">
      <c r="B9" t="s">
        <v>196</v>
      </c>
      <c r="C9" t="s">
        <v>274</v>
      </c>
      <c r="E9" s="155">
        <f>VLOOKUP(C9,[1]Sheet1!$B$2:$I$39,4,0)</f>
        <v>3500000</v>
      </c>
      <c r="F9" t="s">
        <v>276</v>
      </c>
      <c r="J9" s="119">
        <v>45355</v>
      </c>
      <c r="L9" s="119">
        <f>VLOOKUP(C9,[1]Sheet1!$B$2:$I$39,7,0)</f>
        <v>0</v>
      </c>
      <c r="M9" s="119" t="str">
        <f>VLOOKUP(C9,[1]Sheet1!$B$2:$I$39,8,0)</f>
        <v>1.5추가</v>
      </c>
      <c r="N9" s="230"/>
      <c r="P9" s="217"/>
      <c r="Q9" t="str">
        <f>VLOOKUP(C9,임금대장!$B$6:$B$83,1,0)</f>
        <v>장준수</v>
      </c>
    </row>
    <row r="10" spans="2:17" x14ac:dyDescent="0.6">
      <c r="B10" t="s">
        <v>194</v>
      </c>
      <c r="C10" t="s">
        <v>279</v>
      </c>
      <c r="E10" s="155">
        <f>VLOOKUP(C10,[1]Sheet1!$B$2:$I$39,4,0)</f>
        <v>3300000</v>
      </c>
      <c r="F10" t="s">
        <v>281</v>
      </c>
      <c r="G10" t="s">
        <v>239</v>
      </c>
      <c r="H10" t="s">
        <v>280</v>
      </c>
      <c r="J10" s="119">
        <v>45400</v>
      </c>
      <c r="L10" s="119">
        <f>VLOOKUP(C10,[1]Sheet1!$B$2:$I$39,7,0)</f>
        <v>0</v>
      </c>
      <c r="M10" s="119" t="str">
        <f>VLOOKUP(C10,[1]Sheet1!$B$2:$I$39,8,0)</f>
        <v>0.5추가</v>
      </c>
      <c r="N10" s="230"/>
      <c r="P10" s="217"/>
      <c r="Q10" t="str">
        <f>VLOOKUP(C10,임금대장!$B$6:$B$83,1,0)</f>
        <v>강정애</v>
      </c>
    </row>
    <row r="11" spans="2:17" x14ac:dyDescent="0.6">
      <c r="C11" t="s">
        <v>299</v>
      </c>
      <c r="E11" s="155">
        <f>VLOOKUP(C11,[1]Sheet1!$B$2:$I$39,4,0)</f>
        <v>3400000</v>
      </c>
      <c r="F11" t="s">
        <v>301</v>
      </c>
      <c r="J11" s="119">
        <v>45502</v>
      </c>
      <c r="L11" s="119">
        <f>VLOOKUP(C11,[1]Sheet1!$B$2:$I$39,7,0)</f>
        <v>0</v>
      </c>
      <c r="M11" s="119" t="str">
        <f>VLOOKUP(C11,[1]Sheet1!$B$2:$I$39,8,0)</f>
        <v>1.5추가</v>
      </c>
      <c r="N11" s="230"/>
      <c r="P11" s="217"/>
      <c r="Q11" t="str">
        <f>VLOOKUP(C11,임금대장!$B$6:$B$83,1,0)</f>
        <v>서헌규</v>
      </c>
    </row>
    <row r="12" spans="2:17" ht="17.25" customHeight="1" x14ac:dyDescent="0.6">
      <c r="C12" t="s">
        <v>300</v>
      </c>
      <c r="E12" s="155">
        <f>VLOOKUP(C12,[1]Sheet1!$B$2:$I$39,4,0)</f>
        <v>2300000</v>
      </c>
      <c r="F12" t="s">
        <v>302</v>
      </c>
      <c r="J12" s="119">
        <v>45499</v>
      </c>
      <c r="L12" s="119">
        <f>VLOOKUP(C12,[1]Sheet1!$B$2:$I$39,7,0)</f>
        <v>0</v>
      </c>
      <c r="M12" s="119" t="str">
        <f>VLOOKUP(C12,[1]Sheet1!$B$2:$I$39,8,0)</f>
        <v>0.5추가</v>
      </c>
      <c r="N12" s="230"/>
      <c r="P12" s="217"/>
      <c r="Q12" t="str">
        <f>VLOOKUP(C12,임금대장!$B$6:$B$83,1,0)</f>
        <v>김금희</v>
      </c>
    </row>
    <row r="13" spans="2:17" x14ac:dyDescent="0.6">
      <c r="B13" t="s">
        <v>194</v>
      </c>
      <c r="C13" t="s">
        <v>305</v>
      </c>
      <c r="E13" s="155">
        <f>VLOOKUP(C13,[1]Sheet1!$B$2:$I$39,4,0)</f>
        <v>3300000</v>
      </c>
      <c r="F13" t="s">
        <v>306</v>
      </c>
      <c r="J13" s="119">
        <v>45610</v>
      </c>
      <c r="L13" s="119">
        <f>VLOOKUP(C13,[1]Sheet1!$B$2:$I$39,7,0)</f>
        <v>0</v>
      </c>
      <c r="M13" s="119" t="str">
        <f>VLOOKUP(C13,[1]Sheet1!$B$2:$I$39,8,0)</f>
        <v>0.5추가</v>
      </c>
      <c r="N13" s="230"/>
      <c r="P13" s="217"/>
      <c r="Q13" t="str">
        <f>VLOOKUP(C13,임금대장!$B$6:$B$83,1,0)</f>
        <v>김선월</v>
      </c>
    </row>
    <row r="14" spans="2:17" x14ac:dyDescent="0.6">
      <c r="C14" t="s">
        <v>313</v>
      </c>
      <c r="E14" s="155">
        <f>VLOOKUP(C14,[1]Sheet1!$B$2:$I$39,4,0)</f>
        <v>3400000</v>
      </c>
      <c r="F14" t="s">
        <v>314</v>
      </c>
      <c r="J14" s="119">
        <v>45649</v>
      </c>
      <c r="L14" s="119">
        <f>VLOOKUP(C14,[1]Sheet1!$B$2:$I$39,7,0)</f>
        <v>0</v>
      </c>
      <c r="M14" s="119" t="str">
        <f>VLOOKUP(C14,[1]Sheet1!$B$2:$I$39,8,0)</f>
        <v>0.5추가</v>
      </c>
      <c r="N14" s="230"/>
      <c r="P14" s="217"/>
      <c r="Q14" t="str">
        <f>VLOOKUP(C14,임금대장!$B$6:$B$83,1,0)</f>
        <v>유용복</v>
      </c>
    </row>
    <row r="15" spans="2:17" x14ac:dyDescent="0.6">
      <c r="B15" t="s">
        <v>190</v>
      </c>
      <c r="C15" t="s">
        <v>255</v>
      </c>
      <c r="E15" s="155">
        <f>VLOOKUP(C15,[1]Sheet1!$B$2:$I$39,4,0)</f>
        <v>3400000</v>
      </c>
      <c r="F15" t="s">
        <v>259</v>
      </c>
      <c r="G15" s="58" t="s">
        <v>240</v>
      </c>
      <c r="H15" s="111" t="s">
        <v>257</v>
      </c>
      <c r="J15" s="119">
        <v>45682</v>
      </c>
      <c r="L15" s="119">
        <f>VLOOKUP(C15,[1]Sheet1!$B$2:$I$39,7,0)</f>
        <v>0</v>
      </c>
      <c r="M15" s="119" t="str">
        <f>VLOOKUP(C15,[1]Sheet1!$B$2:$I$39,8,0)</f>
        <v>0.5추가</v>
      </c>
      <c r="N15" s="230"/>
      <c r="P15" s="217"/>
      <c r="Q15" t="str">
        <f>VLOOKUP(C15,임금대장!$B$6:$B$83,1,0)</f>
        <v>안동화</v>
      </c>
    </row>
    <row r="16" spans="2:17" x14ac:dyDescent="0.6">
      <c r="B16" t="s">
        <v>192</v>
      </c>
      <c r="C16" t="s">
        <v>319</v>
      </c>
      <c r="E16" s="155">
        <f>VLOOKUP(C16,[1]Sheet1!$B$2:$I$39,4,0)</f>
        <v>3800000</v>
      </c>
      <c r="F16" t="s">
        <v>321</v>
      </c>
      <c r="J16" s="119">
        <v>45693</v>
      </c>
      <c r="L16" s="119">
        <f>VLOOKUP(C16,[1]Sheet1!$B$2:$I$39,7,0)</f>
        <v>0</v>
      </c>
      <c r="M16" s="119" t="str">
        <f>VLOOKUP(C16,[1]Sheet1!$B$2:$I$39,8,0)</f>
        <v>1.5추가</v>
      </c>
      <c r="N16" s="230"/>
      <c r="Q16" t="str">
        <f>VLOOKUP(C16,임금대장!$B$6:$B$83,1,0)</f>
        <v>최장현</v>
      </c>
    </row>
    <row r="17" spans="2:17" x14ac:dyDescent="0.6">
      <c r="B17" t="s">
        <v>196</v>
      </c>
      <c r="C17" t="s">
        <v>320</v>
      </c>
      <c r="E17" s="155">
        <f>VLOOKUP(C17,[1]Sheet1!$B$2:$I$39,4,0)</f>
        <v>3500000</v>
      </c>
      <c r="F17" t="s">
        <v>322</v>
      </c>
      <c r="J17" s="119">
        <v>45709</v>
      </c>
      <c r="L17" s="119">
        <f>VLOOKUP(C17,[1]Sheet1!$B$2:$I$39,7,0)</f>
        <v>0</v>
      </c>
      <c r="M17" s="119" t="str">
        <f>VLOOKUP(C17,[1]Sheet1!$B$2:$I$39,8,0)</f>
        <v>1.5추가</v>
      </c>
      <c r="N17" s="230"/>
      <c r="Q17" t="str">
        <f>VLOOKUP(C17,임금대장!$B$6:$B$83,1,0)</f>
        <v>이준수</v>
      </c>
    </row>
    <row r="18" spans="2:17" x14ac:dyDescent="0.6">
      <c r="B18" t="s">
        <v>190</v>
      </c>
      <c r="C18" t="s">
        <v>323</v>
      </c>
      <c r="E18" s="155">
        <f>VLOOKUP(C18,[1]Sheet1!$B$2:$I$39,4,0)</f>
        <v>3300000</v>
      </c>
      <c r="F18" t="s">
        <v>325</v>
      </c>
      <c r="J18" s="119">
        <v>45720</v>
      </c>
      <c r="L18" s="119">
        <f>VLOOKUP(C18,[1]Sheet1!$B$2:$I$39,7,0)</f>
        <v>0</v>
      </c>
      <c r="M18" s="119" t="str">
        <f>VLOOKUP(C18,[1]Sheet1!$B$2:$I$39,8,0)</f>
        <v>0.5추가</v>
      </c>
      <c r="N18" s="230"/>
      <c r="Q18" t="str">
        <f>VLOOKUP(C18,임금대장!$B$6:$B$83,1,0)</f>
        <v>이부순</v>
      </c>
    </row>
    <row r="19" spans="2:17" x14ac:dyDescent="0.6">
      <c r="B19" t="s">
        <v>190</v>
      </c>
      <c r="C19" t="s">
        <v>324</v>
      </c>
      <c r="E19" s="155">
        <f>VLOOKUP(C19,[1]Sheet1!$B$2:$I$39,4,0)</f>
        <v>3300000</v>
      </c>
      <c r="F19" t="s">
        <v>326</v>
      </c>
      <c r="J19" s="119">
        <v>45726</v>
      </c>
      <c r="L19" s="119">
        <f>VLOOKUP(C19,[1]Sheet1!$B$2:$I$39,7,0)</f>
        <v>0</v>
      </c>
      <c r="M19" s="119" t="str">
        <f>VLOOKUP(C19,[1]Sheet1!$B$2:$I$39,8,0)</f>
        <v>1.5추가</v>
      </c>
      <c r="N19" s="230"/>
      <c r="Q19" t="str">
        <f>VLOOKUP(C19,임금대장!$B$6:$B$83,1,0)</f>
        <v>김연희</v>
      </c>
    </row>
    <row r="20" spans="2:17" x14ac:dyDescent="0.6">
      <c r="B20" t="s">
        <v>195</v>
      </c>
      <c r="C20" t="s">
        <v>353</v>
      </c>
      <c r="E20" s="155">
        <f>VLOOKUP(C20,[1]Sheet1!$B$2:$I$39,4,0)</f>
        <v>3400000</v>
      </c>
      <c r="F20" t="s">
        <v>329</v>
      </c>
      <c r="J20" s="119">
        <v>45771</v>
      </c>
      <c r="L20" s="119">
        <f>VLOOKUP(C20,[1]Sheet1!$B$2:$I$39,7,0)</f>
        <v>0</v>
      </c>
      <c r="M20" s="119" t="str">
        <f>VLOOKUP(C20,[1]Sheet1!$B$2:$I$39,8,0)</f>
        <v>1.5추가</v>
      </c>
      <c r="N20" s="230"/>
      <c r="Q20" t="str">
        <f>VLOOKUP(C20,임금대장!$B$6:$B$83,1,0)</f>
        <v>김예찬</v>
      </c>
    </row>
    <row r="21" spans="2:17" x14ac:dyDescent="0.6">
      <c r="C21" t="s">
        <v>331</v>
      </c>
      <c r="E21" s="155">
        <f>VLOOKUP(C21,[1]Sheet1!$B$2:$I$39,4,0)</f>
        <v>3000000</v>
      </c>
      <c r="F21" s="229" t="s">
        <v>332</v>
      </c>
      <c r="J21" s="119">
        <v>45809</v>
      </c>
      <c r="L21" s="119">
        <f>VLOOKUP(C21,[1]Sheet1!$B$2:$I$39,7,0)</f>
        <v>0</v>
      </c>
      <c r="M21" s="119">
        <f>VLOOKUP(C21,[1]Sheet1!$B$2:$I$39,8,0)</f>
        <v>0</v>
      </c>
      <c r="N21" s="230"/>
      <c r="Q21" t="str">
        <f>VLOOKUP(C21,임금대장!$B$6:$B$83,1,0)</f>
        <v>조윤희</v>
      </c>
    </row>
    <row r="22" spans="2:17" x14ac:dyDescent="0.6">
      <c r="B22" t="s">
        <v>195</v>
      </c>
      <c r="C22" t="s">
        <v>335</v>
      </c>
      <c r="E22" s="155">
        <f>VLOOKUP(C22,[1]Sheet1!$B$2:$I$39,4,0)</f>
        <v>3300000</v>
      </c>
      <c r="F22" t="s">
        <v>337</v>
      </c>
      <c r="J22" s="119">
        <v>45841</v>
      </c>
      <c r="L22" s="119">
        <f>VLOOKUP(C22,[1]Sheet1!$B$2:$I$39,7,0)</f>
        <v>0</v>
      </c>
      <c r="M22" s="119" t="str">
        <f>VLOOKUP(C22,[1]Sheet1!$B$2:$I$39,8,0)</f>
        <v>3.5추가</v>
      </c>
      <c r="N22" s="230"/>
      <c r="Q22" t="str">
        <f>VLOOKUP(C22,임금대장!$B$6:$B$83,1,0)</f>
        <v>나지훈</v>
      </c>
    </row>
    <row r="23" spans="2:17" x14ac:dyDescent="0.6">
      <c r="B23" t="s">
        <v>195</v>
      </c>
      <c r="C23" t="s">
        <v>336</v>
      </c>
      <c r="E23" s="155">
        <f>VLOOKUP(C23,[1]Sheet1!$B$2:$I$39,4,0)</f>
        <v>3400000</v>
      </c>
      <c r="F23" t="s">
        <v>338</v>
      </c>
      <c r="J23" s="119">
        <v>45861</v>
      </c>
      <c r="L23" s="119">
        <f>VLOOKUP(C23,[1]Sheet1!$B$2:$I$39,7,0)</f>
        <v>0</v>
      </c>
      <c r="M23" s="119" t="str">
        <f>VLOOKUP(C23,[1]Sheet1!$B$2:$I$39,8,0)</f>
        <v>0.5추가</v>
      </c>
      <c r="N23" s="230"/>
      <c r="Q23" t="str">
        <f>VLOOKUP(C23,임금대장!$B$6:$B$83,1,0)</f>
        <v>박기호</v>
      </c>
    </row>
    <row r="24" spans="2:17" x14ac:dyDescent="0.6">
      <c r="B24" t="s">
        <v>190</v>
      </c>
      <c r="C24" t="s">
        <v>347</v>
      </c>
      <c r="E24" s="155">
        <f>VLOOKUP(C24,[1]Sheet1!$B$2:$I$39,4,0)</f>
        <v>3300000</v>
      </c>
      <c r="F24" t="s">
        <v>350</v>
      </c>
      <c r="J24" s="231">
        <v>45887</v>
      </c>
      <c r="L24" s="119">
        <f>VLOOKUP(C24,[1]Sheet1!$B$2:$I$39,7,0)</f>
        <v>0</v>
      </c>
      <c r="M24" s="119" t="str">
        <f>VLOOKUP(C24,[1]Sheet1!$B$2:$I$39,8,0)</f>
        <v>0.5추가</v>
      </c>
      <c r="N24" s="230"/>
      <c r="Q24" t="str">
        <f>VLOOKUP(C24,임금대장!$B$6:$B$83,1,0)</f>
        <v>허옥자</v>
      </c>
    </row>
    <row r="25" spans="2:17" x14ac:dyDescent="0.6">
      <c r="B25" t="s">
        <v>194</v>
      </c>
      <c r="C25" t="s">
        <v>348</v>
      </c>
      <c r="E25" s="155">
        <f>VLOOKUP(C25,[1]Sheet1!$B$2:$I$39,4,0)</f>
        <v>3300000</v>
      </c>
      <c r="F25" t="s">
        <v>351</v>
      </c>
      <c r="J25" s="232">
        <v>45890</v>
      </c>
      <c r="L25" s="119">
        <f>VLOOKUP(C25,[1]Sheet1!$B$2:$I$39,7,0)</f>
        <v>46046</v>
      </c>
      <c r="M25" s="119">
        <f>VLOOKUP(C25,[1]Sheet1!$B$2:$I$39,8,0)</f>
        <v>0</v>
      </c>
      <c r="N25" s="230"/>
      <c r="Q25" t="str">
        <f>VLOOKUP(C25,임금대장!$B$6:$B$83,1,0)</f>
        <v>김린</v>
      </c>
    </row>
    <row r="26" spans="2:17" x14ac:dyDescent="0.6">
      <c r="C26" t="s">
        <v>349</v>
      </c>
      <c r="E26" s="155">
        <f>VLOOKUP(C26,[1]Sheet1!$B$2:$I$39,4,0)</f>
        <v>3300000</v>
      </c>
      <c r="F26" t="s">
        <v>352</v>
      </c>
      <c r="J26" s="233">
        <v>45888</v>
      </c>
      <c r="L26" s="119">
        <f>VLOOKUP(C26,[1]Sheet1!$B$2:$I$39,7,0)</f>
        <v>0</v>
      </c>
      <c r="M26" s="119" t="str">
        <f>VLOOKUP(C26,[1]Sheet1!$B$2:$I$39,8,0)</f>
        <v>1.5차감</v>
      </c>
      <c r="N26" s="230"/>
      <c r="Q26" t="str">
        <f>VLOOKUP(C26,임금대장!$B$6:$B$83,1,0)</f>
        <v>이금향</v>
      </c>
    </row>
    <row r="27" spans="2:17" x14ac:dyDescent="0.6">
      <c r="B27" t="s">
        <v>195</v>
      </c>
      <c r="C27" t="s">
        <v>358</v>
      </c>
      <c r="E27" s="155"/>
      <c r="F27" t="s">
        <v>360</v>
      </c>
      <c r="J27" s="233">
        <v>45908</v>
      </c>
      <c r="L27" s="119">
        <v>46033</v>
      </c>
      <c r="M27" s="119"/>
      <c r="N27" s="230"/>
      <c r="Q27" t="str">
        <f>VLOOKUP(C27,임금대장!$B$6:$B$83,1,0)</f>
        <v>전용현</v>
      </c>
    </row>
    <row r="28" spans="2:17" x14ac:dyDescent="0.6">
      <c r="B28" t="s">
        <v>195</v>
      </c>
      <c r="C28" t="s">
        <v>316</v>
      </c>
      <c r="E28" s="155">
        <f>VLOOKUP(C28,[1]Sheet1!$B$2:$I$39,4,0)</f>
        <v>3200000</v>
      </c>
      <c r="F28" t="s">
        <v>318</v>
      </c>
      <c r="J28" s="233">
        <v>45922</v>
      </c>
      <c r="L28" s="119">
        <f>VLOOKUP(C28,[1]Sheet1!$B$2:$I$39,7,0)</f>
        <v>0</v>
      </c>
      <c r="M28" s="119" t="str">
        <f>VLOOKUP(C28,[1]Sheet1!$B$2:$I$39,8,0)</f>
        <v>1.5추가</v>
      </c>
      <c r="N28" s="230"/>
      <c r="Q28" t="str">
        <f>VLOOKUP(C28,임금대장!$B$6:$B$83,1,0)</f>
        <v>노근희</v>
      </c>
    </row>
    <row r="29" spans="2:17" x14ac:dyDescent="0.6">
      <c r="B29" t="s">
        <v>196</v>
      </c>
      <c r="C29" t="s">
        <v>359</v>
      </c>
      <c r="E29" s="155">
        <f>VLOOKUP(C29,[1]Sheet1!$B$2:$I$39,4,0)</f>
        <v>3200000</v>
      </c>
      <c r="F29" t="s">
        <v>361</v>
      </c>
      <c r="J29" s="233">
        <v>45901</v>
      </c>
      <c r="L29" s="119">
        <v>46022</v>
      </c>
      <c r="M29" s="119">
        <f>VLOOKUP(C29,[1]Sheet1!$B$2:$I$39,8,0)</f>
        <v>0</v>
      </c>
      <c r="N29" s="230"/>
      <c r="Q29" t="str">
        <f>VLOOKUP(C29,임금대장!$B$6:$B$83,1,0)</f>
        <v>박성재</v>
      </c>
    </row>
    <row r="30" spans="2:17" x14ac:dyDescent="0.6">
      <c r="B30" s="234" t="s">
        <v>195</v>
      </c>
      <c r="C30" s="235" t="s">
        <v>363</v>
      </c>
      <c r="E30" s="155">
        <f>VLOOKUP(C30,[1]Sheet1!$B$2:$I$39,4,0)</f>
        <v>4300000</v>
      </c>
      <c r="F30" s="236" t="s">
        <v>364</v>
      </c>
      <c r="J30" s="119">
        <v>45870</v>
      </c>
      <c r="L30" s="119">
        <f>VLOOKUP(C30,[1]Sheet1!$B$2:$I$39,7,0)</f>
        <v>0</v>
      </c>
      <c r="M30" s="119" t="str">
        <f>VLOOKUP(C30,[1]Sheet1!$B$2:$I$39,8,0)</f>
        <v>3.5추가</v>
      </c>
      <c r="N30" s="230"/>
      <c r="Q30" t="str">
        <f>VLOOKUP(C30,임금대장!$B$6:$B$83,1,0)</f>
        <v>황지현</v>
      </c>
    </row>
    <row r="31" spans="2:17" x14ac:dyDescent="0.6">
      <c r="B31" t="s">
        <v>192</v>
      </c>
      <c r="C31" t="s">
        <v>367</v>
      </c>
      <c r="E31" s="155">
        <f>VLOOKUP(C31,[1]Sheet1!$B$2:$I$39,4,0)</f>
        <v>3300000</v>
      </c>
      <c r="F31" t="s">
        <v>370</v>
      </c>
      <c r="J31" s="119">
        <v>45941</v>
      </c>
      <c r="L31" s="119">
        <f>VLOOKUP(C31,[1]Sheet1!$B$2:$I$39,7,0)</f>
        <v>0</v>
      </c>
      <c r="M31" s="119" t="str">
        <f>VLOOKUP(C31,[1]Sheet1!$B$2:$I$39,8,0)</f>
        <v>0.5추가</v>
      </c>
      <c r="N31" s="230"/>
      <c r="Q31" t="str">
        <f>VLOOKUP(C31,임금대장!$B$6:$B$83,1,0)</f>
        <v>강현경</v>
      </c>
    </row>
    <row r="32" spans="2:17" x14ac:dyDescent="0.6">
      <c r="B32" t="s">
        <v>198</v>
      </c>
      <c r="C32" t="s">
        <v>368</v>
      </c>
      <c r="E32" s="155">
        <f>VLOOKUP(C32,[1]Sheet1!$B$2:$I$39,4,0)</f>
        <v>3300000</v>
      </c>
      <c r="F32" t="s">
        <v>371</v>
      </c>
      <c r="J32" s="119">
        <v>45933</v>
      </c>
      <c r="L32" s="119">
        <f>VLOOKUP(C32,[1]Sheet1!$B$2:$I$39,7,0)</f>
        <v>0</v>
      </c>
      <c r="M32" s="119" t="str">
        <f>VLOOKUP(C32,[1]Sheet1!$B$2:$I$39,8,0)</f>
        <v>1.5추가</v>
      </c>
      <c r="N32" s="230"/>
      <c r="Q32" t="str">
        <f>VLOOKUP(C32,임금대장!$B$6:$B$83,1,0)</f>
        <v>김미숙</v>
      </c>
    </row>
    <row r="33" spans="2:17" x14ac:dyDescent="0.6">
      <c r="B33" s="239" t="s">
        <v>372</v>
      </c>
      <c r="C33" s="240" t="s">
        <v>373</v>
      </c>
      <c r="E33" s="155">
        <f>VLOOKUP(C33,[1]Sheet1!$B$2:$I$39,4,0)</f>
        <v>3800000</v>
      </c>
      <c r="F33" t="s">
        <v>395</v>
      </c>
      <c r="J33" s="119">
        <v>45971</v>
      </c>
      <c r="L33" s="119">
        <f>VLOOKUP(C33,[1]Sheet1!$B$2:$I$39,7,0)</f>
        <v>0</v>
      </c>
      <c r="M33" s="119" t="str">
        <f>VLOOKUP(C33,[1]Sheet1!$B$2:$I$39,8,0)</f>
        <v>1.5추가</v>
      </c>
      <c r="N33" s="230"/>
      <c r="Q33" t="str">
        <f>VLOOKUP(C33,임금대장!$B$6:$B$83,1,0)</f>
        <v>정지훈</v>
      </c>
    </row>
    <row r="34" spans="2:17" x14ac:dyDescent="0.6">
      <c r="B34" t="s">
        <v>192</v>
      </c>
      <c r="C34" t="s">
        <v>379</v>
      </c>
      <c r="E34" s="155">
        <f>VLOOKUP(C34,[1]Sheet1!$B$2:$I$39,4,0)</f>
        <v>3200000</v>
      </c>
      <c r="F34" t="s">
        <v>383</v>
      </c>
      <c r="J34" s="242">
        <v>46000</v>
      </c>
      <c r="L34" s="119">
        <f>VLOOKUP(C34,[1]Sheet1!$B$2:$I$39,7,0)</f>
        <v>0</v>
      </c>
      <c r="M34" s="119" t="str">
        <f>VLOOKUP(C34,[1]Sheet1!$B$2:$I$39,8,0)</f>
        <v>1.5추가</v>
      </c>
      <c r="N34" s="230"/>
    </row>
    <row r="35" spans="2:17" x14ac:dyDescent="0.6">
      <c r="B35" t="s">
        <v>192</v>
      </c>
      <c r="C35" t="s">
        <v>380</v>
      </c>
      <c r="E35" s="155">
        <f>VLOOKUP(C35,[1]Sheet1!$B$2:$I$39,4,0)</f>
        <v>3800000</v>
      </c>
      <c r="F35" t="s">
        <v>384</v>
      </c>
      <c r="J35" s="242">
        <v>46013</v>
      </c>
      <c r="L35" s="119">
        <f>VLOOKUP(C35,[1]Sheet1!$B$2:$I$39,7,0)</f>
        <v>0</v>
      </c>
      <c r="M35" s="119" t="str">
        <f>VLOOKUP(C35,[1]Sheet1!$B$2:$I$39,8,0)</f>
        <v>1.5추가</v>
      </c>
      <c r="N35" s="230"/>
    </row>
    <row r="36" spans="2:17" x14ac:dyDescent="0.6">
      <c r="B36" t="s">
        <v>192</v>
      </c>
      <c r="C36" t="s">
        <v>381</v>
      </c>
      <c r="E36" s="155">
        <f>VLOOKUP(C36,[1]Sheet1!$B$2:$I$39,4,0)</f>
        <v>3500000</v>
      </c>
      <c r="F36" t="s">
        <v>385</v>
      </c>
      <c r="J36" s="242">
        <v>46015</v>
      </c>
      <c r="L36" s="119">
        <f>VLOOKUP(C36,[1]Sheet1!$B$2:$I$39,7,0)</f>
        <v>0</v>
      </c>
      <c r="M36" s="119" t="str">
        <f>VLOOKUP(C36,[1]Sheet1!$B$2:$I$39,8,0)</f>
        <v>0.5추가</v>
      </c>
      <c r="N36" s="230"/>
    </row>
    <row r="37" spans="2:17" x14ac:dyDescent="0.6">
      <c r="B37" t="s">
        <v>195</v>
      </c>
      <c r="C37" t="s">
        <v>382</v>
      </c>
      <c r="E37" s="155">
        <f>VLOOKUP(C37,[1]Sheet1!$B$2:$I$39,4,0)</f>
        <v>3300000</v>
      </c>
      <c r="F37" t="s">
        <v>386</v>
      </c>
      <c r="J37" s="243">
        <v>45992</v>
      </c>
      <c r="L37" s="119">
        <f>VLOOKUP(C37,[1]Sheet1!$B$2:$I$39,7,0)</f>
        <v>0</v>
      </c>
      <c r="M37" s="119" t="str">
        <f>VLOOKUP(C37,[1]Sheet1!$B$2:$I$39,8,0)</f>
        <v>0.5추가</v>
      </c>
      <c r="N37" s="230"/>
    </row>
    <row r="38" spans="2:17" x14ac:dyDescent="0.6">
      <c r="B38" t="s">
        <v>196</v>
      </c>
      <c r="C38" t="s">
        <v>333</v>
      </c>
      <c r="E38" s="155">
        <f>VLOOKUP(C38,[1]Sheet1!$B$2:$I$39,4,0)</f>
        <v>3000000</v>
      </c>
      <c r="F38" t="s">
        <v>334</v>
      </c>
      <c r="J38" s="233">
        <v>46013</v>
      </c>
      <c r="L38" s="119">
        <f>VLOOKUP(C38,[1]Sheet1!$B$2:$I$39,7,0)</f>
        <v>0</v>
      </c>
      <c r="M38" s="119">
        <f>VLOOKUP(C38,[1]Sheet1!$B$2:$I$39,8,0)</f>
        <v>0</v>
      </c>
      <c r="N38" s="230"/>
    </row>
    <row r="39" spans="2:17" x14ac:dyDescent="0.6">
      <c r="B39" t="s">
        <v>198</v>
      </c>
      <c r="C39" t="s">
        <v>71</v>
      </c>
      <c r="E39" s="155">
        <f>VLOOKUP(C39,[1]Sheet1!$B$2:$I$39,4,0)</f>
        <v>3300000</v>
      </c>
      <c r="F39" t="s">
        <v>387</v>
      </c>
      <c r="J39" s="243">
        <v>46001</v>
      </c>
      <c r="L39" s="119">
        <f>VLOOKUP(C39,[1]Sheet1!$B$2:$I$39,7,0)</f>
        <v>0</v>
      </c>
      <c r="M39" s="119" t="str">
        <f>VLOOKUP(C39,[1]Sheet1!$B$2:$I$39,8,0)</f>
        <v>0.5추가</v>
      </c>
      <c r="N39" s="230"/>
    </row>
    <row r="40" spans="2:17" x14ac:dyDescent="0.6">
      <c r="C40" t="s">
        <v>419</v>
      </c>
      <c r="E40" s="155">
        <f>VLOOKUP(C40,[1]Sheet1!$B$2:$I$39,4,0)</f>
        <v>3000000</v>
      </c>
      <c r="F40" t="str">
        <f>VLOOKUP(C40,[1]Sheet1!$B$2:$I$39,5,0)</f>
        <v>950526-2401425</v>
      </c>
      <c r="J40" s="119">
        <v>46023</v>
      </c>
      <c r="L40" s="119">
        <f>VLOOKUP(C40,[1]Sheet1!$B$2:$I$39,7,0)</f>
        <v>0</v>
      </c>
      <c r="M40" s="119">
        <f>VLOOKUP(C40,[1]Sheet1!$B$2:$I$39,8,0)</f>
        <v>0</v>
      </c>
    </row>
    <row r="41" spans="2:17" x14ac:dyDescent="0.6">
      <c r="B41" t="s">
        <v>195</v>
      </c>
      <c r="C41" t="s">
        <v>420</v>
      </c>
      <c r="E41" s="155">
        <f>VLOOKUP(C41,[1]Sheet1!$B$2:$I$39,4,0)</f>
        <v>3300000</v>
      </c>
      <c r="F41" t="str">
        <f>VLOOKUP(C41,[1]Sheet1!$B$2:$I$39,5,0)</f>
        <v>860414-1156218</v>
      </c>
      <c r="J41" s="119">
        <v>46028</v>
      </c>
      <c r="L41" s="119">
        <f>VLOOKUP(C41,[1]Sheet1!$B$2:$I$39,7,0)</f>
        <v>0</v>
      </c>
      <c r="M41" s="119">
        <f>VLOOKUP(C41,[1]Sheet1!$B$2:$I$39,8,0)</f>
        <v>0</v>
      </c>
    </row>
    <row r="42" spans="2:17" x14ac:dyDescent="0.6">
      <c r="B42" t="s">
        <v>195</v>
      </c>
      <c r="C42" t="s">
        <v>421</v>
      </c>
      <c r="E42" s="155">
        <f>VLOOKUP(C42,[1]Sheet1!$B$2:$I$39,4,0)</f>
        <v>3300000</v>
      </c>
      <c r="F42" t="str">
        <f>VLOOKUP(C42,[1]Sheet1!$B$2:$I$39,5,0)</f>
        <v>880916-1063617</v>
      </c>
      <c r="J42" s="119">
        <v>46035</v>
      </c>
      <c r="L42" s="119">
        <f>VLOOKUP(C42,[1]Sheet1!$B$2:$I$39,7,0)</f>
        <v>0</v>
      </c>
      <c r="M42" s="119">
        <f>VLOOKUP(C42,[1]Sheet1!$B$2:$I$39,8,0)</f>
        <v>0</v>
      </c>
    </row>
  </sheetData>
  <mergeCells count="1">
    <mergeCell ref="B2:J2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0D03-DC49-4CDD-B79C-A95CF2794359}">
  <sheetPr codeName="Sheet10"/>
  <dimension ref="C4:K43"/>
  <sheetViews>
    <sheetView topLeftCell="B1" zoomScale="70" zoomScaleNormal="70" workbookViewId="0">
      <selection activeCell="M35" sqref="M35"/>
    </sheetView>
  </sheetViews>
  <sheetFormatPr defaultRowHeight="16.899999999999999" x14ac:dyDescent="0.6"/>
  <cols>
    <col min="4" max="4" width="9" customWidth="1"/>
    <col min="5" max="6" width="20" customWidth="1"/>
    <col min="7" max="7" width="9" customWidth="1"/>
    <col min="8" max="8" width="10.6875" customWidth="1"/>
    <col min="9" max="9" width="17.875" bestFit="1" customWidth="1"/>
    <col min="10" max="10" width="9" customWidth="1"/>
  </cols>
  <sheetData>
    <row r="4" spans="3:11" x14ac:dyDescent="0.6">
      <c r="C4" s="164" t="s">
        <v>173</v>
      </c>
      <c r="D4" s="162" t="s">
        <v>174</v>
      </c>
      <c r="E4" s="161" t="s">
        <v>175</v>
      </c>
      <c r="F4" s="162" t="s">
        <v>176</v>
      </c>
      <c r="G4" s="162" t="s">
        <v>177</v>
      </c>
      <c r="H4" s="161" t="s">
        <v>178</v>
      </c>
      <c r="I4" s="161" t="s">
        <v>179</v>
      </c>
    </row>
    <row r="5" spans="3:11" x14ac:dyDescent="0.6">
      <c r="C5" s="66" t="s">
        <v>236</v>
      </c>
      <c r="D5" s="171"/>
      <c r="E5" s="174"/>
      <c r="F5" s="66"/>
      <c r="G5" s="172"/>
      <c r="H5" s="66">
        <v>1046500</v>
      </c>
      <c r="I5" s="66" t="s">
        <v>237</v>
      </c>
      <c r="J5" s="173"/>
      <c r="K5" s="174" t="str">
        <f>VLOOKUP(C5,임금대장!$B$45:$B$115,1,0)</f>
        <v>홍이준</v>
      </c>
    </row>
    <row r="6" spans="3:11" x14ac:dyDescent="0.6">
      <c r="C6" s="175" t="s">
        <v>269</v>
      </c>
      <c r="D6" s="176"/>
      <c r="E6" s="174"/>
      <c r="F6" s="175"/>
      <c r="G6" s="177"/>
      <c r="H6" s="175">
        <v>1092000</v>
      </c>
      <c r="I6" s="175" t="s">
        <v>271</v>
      </c>
      <c r="J6" s="173"/>
      <c r="K6" s="174" t="str">
        <f>VLOOKUP(C6,임금대장!$B$45:$B$115,1,0)</f>
        <v>박경찬</v>
      </c>
    </row>
    <row r="7" spans="3:11" x14ac:dyDescent="0.6">
      <c r="C7" s="66" t="s">
        <v>409</v>
      </c>
      <c r="D7" s="171"/>
      <c r="E7" s="174"/>
      <c r="F7" s="66"/>
      <c r="G7" s="172"/>
      <c r="H7" s="66">
        <v>949000</v>
      </c>
      <c r="I7" s="66" t="s">
        <v>400</v>
      </c>
      <c r="J7" s="173"/>
      <c r="K7" s="174" t="str">
        <f>VLOOKUP(C7,임금대장!$B$45:$B$115,1,0)</f>
        <v>최예림</v>
      </c>
    </row>
    <row r="8" spans="3:11" x14ac:dyDescent="0.6">
      <c r="C8" s="66" t="s">
        <v>250</v>
      </c>
      <c r="D8" s="171"/>
      <c r="E8" s="174"/>
      <c r="F8" s="66"/>
      <c r="G8" s="172"/>
      <c r="H8" s="66">
        <v>2450500</v>
      </c>
      <c r="I8" s="66" t="s">
        <v>251</v>
      </c>
      <c r="J8" s="173"/>
      <c r="K8" s="174" t="str">
        <f>VLOOKUP(C8,임금대장!$B$45:$B$115,1,0)</f>
        <v>박대순</v>
      </c>
    </row>
    <row r="9" spans="3:11" x14ac:dyDescent="0.6">
      <c r="C9" s="66" t="s">
        <v>330</v>
      </c>
      <c r="D9" s="171"/>
      <c r="E9" s="174"/>
      <c r="F9" s="66"/>
      <c r="G9" s="172"/>
      <c r="H9" s="66">
        <v>1644500</v>
      </c>
      <c r="I9" s="66" t="s">
        <v>376</v>
      </c>
      <c r="J9" s="173"/>
      <c r="K9" s="174" t="str">
        <f>VLOOKUP(C9,임금대장!$B$45:$B$115,1,0)</f>
        <v>김민준</v>
      </c>
    </row>
    <row r="10" spans="3:11" x14ac:dyDescent="0.6">
      <c r="C10" s="66" t="s">
        <v>308</v>
      </c>
      <c r="D10" s="171"/>
      <c r="E10" s="174"/>
      <c r="F10" s="66"/>
      <c r="G10" s="172"/>
      <c r="H10" s="66">
        <v>2418000</v>
      </c>
      <c r="I10" s="66" t="s">
        <v>307</v>
      </c>
      <c r="J10" s="173"/>
      <c r="K10" s="174" t="str">
        <f>VLOOKUP(C10,임금대장!$B$45:$B$115,1,0)</f>
        <v>방창배</v>
      </c>
    </row>
    <row r="11" spans="3:11" x14ac:dyDescent="0.6">
      <c r="C11" s="66" t="s">
        <v>253</v>
      </c>
      <c r="D11" s="171"/>
      <c r="E11" s="174"/>
      <c r="F11" s="66"/>
      <c r="G11" s="172"/>
      <c r="H11" s="66">
        <v>1768000</v>
      </c>
      <c r="I11" s="66" t="s">
        <v>254</v>
      </c>
      <c r="J11" s="173"/>
      <c r="K11" s="174" t="str">
        <f>VLOOKUP(C11,임금대장!$B$45:$B$115,1,0)</f>
        <v>주혜원</v>
      </c>
    </row>
    <row r="12" spans="3:11" x14ac:dyDescent="0.6">
      <c r="C12" s="66" t="s">
        <v>315</v>
      </c>
      <c r="D12" s="171"/>
      <c r="E12" s="174"/>
      <c r="F12" s="66"/>
      <c r="G12" s="172"/>
      <c r="H12" s="66">
        <v>1722500</v>
      </c>
      <c r="I12" s="66" t="s">
        <v>317</v>
      </c>
      <c r="J12" s="173"/>
      <c r="K12" s="174" t="str">
        <f>VLOOKUP(C12,임금대장!$B$45:$B$115,1,0)</f>
        <v>김철우</v>
      </c>
    </row>
    <row r="13" spans="3:11" x14ac:dyDescent="0.6">
      <c r="C13" s="66" t="s">
        <v>286</v>
      </c>
      <c r="D13" s="171"/>
      <c r="E13" s="174"/>
      <c r="F13" s="66"/>
      <c r="G13" s="172"/>
      <c r="H13" s="66">
        <v>1508000</v>
      </c>
      <c r="I13" s="66" t="s">
        <v>377</v>
      </c>
      <c r="J13" s="173"/>
      <c r="K13" s="174" t="str">
        <f>VLOOKUP(C13,임금대장!$B$45:$B$115,1,0)</f>
        <v>김수연</v>
      </c>
    </row>
    <row r="14" spans="3:11" x14ac:dyDescent="0.6">
      <c r="C14" s="180" t="s">
        <v>339</v>
      </c>
      <c r="D14" s="171"/>
      <c r="E14" s="179"/>
      <c r="F14" s="66"/>
      <c r="G14" s="172"/>
      <c r="H14" s="66">
        <v>2060500</v>
      </c>
      <c r="I14" s="66" t="s">
        <v>343</v>
      </c>
      <c r="J14" s="179"/>
      <c r="K14" s="174" t="str">
        <f>VLOOKUP(C14,임금대장!$B$45:$B$115,1,0)</f>
        <v>서진우</v>
      </c>
    </row>
    <row r="15" spans="3:11" x14ac:dyDescent="0.6">
      <c r="C15" s="66" t="s">
        <v>340</v>
      </c>
      <c r="D15" s="171"/>
      <c r="E15" s="179"/>
      <c r="F15" s="66"/>
      <c r="G15" s="172"/>
      <c r="H15" s="66">
        <v>409500</v>
      </c>
      <c r="I15" s="66" t="s">
        <v>344</v>
      </c>
      <c r="J15" s="179"/>
      <c r="K15" s="174" t="str">
        <f>VLOOKUP(C15,임금대장!$B$45:$B$115,1,0)</f>
        <v>윤동현</v>
      </c>
    </row>
    <row r="16" spans="3:11" x14ac:dyDescent="0.6">
      <c r="C16" s="66" t="s">
        <v>410</v>
      </c>
      <c r="D16" s="171"/>
      <c r="E16" s="179"/>
      <c r="F16" s="66"/>
      <c r="G16" s="172"/>
      <c r="H16" s="66">
        <v>1755000</v>
      </c>
      <c r="I16" s="66" t="s">
        <v>401</v>
      </c>
      <c r="J16" s="179"/>
      <c r="K16" s="174" t="str">
        <f>VLOOKUP(C16,임금대장!$B$45:$B$115,1,0)</f>
        <v>김정진</v>
      </c>
    </row>
    <row r="17" spans="3:11" x14ac:dyDescent="0.6">
      <c r="C17" t="s">
        <v>411</v>
      </c>
      <c r="H17">
        <v>786500</v>
      </c>
      <c r="I17" t="s">
        <v>402</v>
      </c>
      <c r="K17" s="174" t="str">
        <f>VLOOKUP(C17,임금대장!$B$45:$B$115,1,0)</f>
        <v>황수아</v>
      </c>
    </row>
    <row r="18" spans="3:11" x14ac:dyDescent="0.6">
      <c r="C18" t="s">
        <v>341</v>
      </c>
      <c r="H18">
        <v>2002000</v>
      </c>
      <c r="I18" t="s">
        <v>345</v>
      </c>
      <c r="K18" s="174" t="str">
        <f>VLOOKUP(C18,임금대장!$B$45:$B$115,1,0)</f>
        <v>김동현</v>
      </c>
    </row>
    <row r="19" spans="3:11" x14ac:dyDescent="0.6">
      <c r="C19" t="s">
        <v>342</v>
      </c>
      <c r="H19">
        <v>1729000</v>
      </c>
      <c r="I19" t="s">
        <v>346</v>
      </c>
      <c r="K19" s="174" t="str">
        <f>VLOOKUP(C19,임금대장!$B$45:$B$115,1,0)</f>
        <v>이태현</v>
      </c>
    </row>
    <row r="20" spans="3:11" x14ac:dyDescent="0.6">
      <c r="C20" t="s">
        <v>412</v>
      </c>
      <c r="H20">
        <v>643500</v>
      </c>
      <c r="I20" t="s">
        <v>403</v>
      </c>
      <c r="K20" s="174" t="str">
        <f>VLOOKUP(C20,임금대장!$B$45:$B$115,1,0)</f>
        <v>주희연</v>
      </c>
    </row>
    <row r="21" spans="3:11" x14ac:dyDescent="0.6">
      <c r="C21" t="s">
        <v>388</v>
      </c>
      <c r="H21">
        <v>1358500</v>
      </c>
      <c r="I21" t="s">
        <v>391</v>
      </c>
      <c r="K21" s="174" t="str">
        <f>VLOOKUP(C21,임금대장!$B$45:$B$115,1,0)</f>
        <v>김서연</v>
      </c>
    </row>
    <row r="22" spans="3:11" x14ac:dyDescent="0.6">
      <c r="C22" t="s">
        <v>365</v>
      </c>
      <c r="H22">
        <v>1794000</v>
      </c>
      <c r="I22" t="s">
        <v>366</v>
      </c>
      <c r="K22" s="174" t="str">
        <f>VLOOKUP(C22,임금대장!$B$45:$B$115,1,0)</f>
        <v>권은주</v>
      </c>
    </row>
    <row r="23" spans="3:11" x14ac:dyDescent="0.6">
      <c r="C23" t="s">
        <v>413</v>
      </c>
      <c r="H23">
        <v>1521000</v>
      </c>
      <c r="I23" t="s">
        <v>392</v>
      </c>
      <c r="K23" s="174" t="str">
        <f>VLOOKUP(C23,임금대장!$B$45:$B$115,1,0)</f>
        <v>박경원</v>
      </c>
    </row>
    <row r="24" spans="3:11" x14ac:dyDescent="0.6">
      <c r="C24" s="180" t="s">
        <v>389</v>
      </c>
      <c r="D24" s="178"/>
      <c r="E24" s="174"/>
      <c r="F24" s="178"/>
      <c r="G24" s="172"/>
      <c r="H24" s="178">
        <v>1287000</v>
      </c>
      <c r="I24" s="178" t="s">
        <v>393</v>
      </c>
      <c r="J24" s="173"/>
      <c r="K24" s="174" t="str">
        <f>VLOOKUP(C24,임금대장!$B$45:$B$115,1,0)</f>
        <v>이혜원</v>
      </c>
    </row>
    <row r="25" spans="3:11" x14ac:dyDescent="0.6">
      <c r="C25" t="s">
        <v>263</v>
      </c>
      <c r="H25">
        <v>1638000</v>
      </c>
      <c r="I25" t="s">
        <v>264</v>
      </c>
      <c r="K25" s="174" t="str">
        <f>VLOOKUP(C25,임금대장!$B$45:$B$115,1,0)</f>
        <v>이다온</v>
      </c>
    </row>
    <row r="26" spans="3:11" x14ac:dyDescent="0.6">
      <c r="C26" t="s">
        <v>265</v>
      </c>
      <c r="H26">
        <v>533000</v>
      </c>
      <c r="I26" t="s">
        <v>267</v>
      </c>
      <c r="K26" s="174" t="str">
        <f>VLOOKUP(C26,임금대장!$B$45:$B$115,1,0)</f>
        <v>강준은</v>
      </c>
    </row>
    <row r="27" spans="3:11" x14ac:dyDescent="0.6">
      <c r="C27" t="s">
        <v>38</v>
      </c>
      <c r="H27">
        <v>1755000</v>
      </c>
      <c r="I27" t="s">
        <v>180</v>
      </c>
      <c r="K27" s="174" t="str">
        <f>VLOOKUP(C27,임금대장!$B$45:$B$115,1,0)</f>
        <v>문서연</v>
      </c>
    </row>
    <row r="28" spans="3:11" x14ac:dyDescent="0.6">
      <c r="C28" t="s">
        <v>285</v>
      </c>
      <c r="H28">
        <v>1469000</v>
      </c>
      <c r="I28" t="s">
        <v>288</v>
      </c>
      <c r="K28" s="174" t="str">
        <f>VLOOKUP(C28,임금대장!$B$45:$B$115,1,0)</f>
        <v>정영수</v>
      </c>
    </row>
    <row r="29" spans="3:11" x14ac:dyDescent="0.6">
      <c r="C29" t="s">
        <v>181</v>
      </c>
      <c r="H29">
        <v>1521000</v>
      </c>
      <c r="I29" t="s">
        <v>182</v>
      </c>
      <c r="K29" s="174" t="str">
        <f>VLOOKUP(C29,임금대장!$B$45:$B$115,1,0)</f>
        <v>이윤서</v>
      </c>
    </row>
    <row r="30" spans="3:11" x14ac:dyDescent="0.6">
      <c r="C30" t="s">
        <v>310</v>
      </c>
      <c r="H30">
        <v>988000</v>
      </c>
      <c r="I30" t="s">
        <v>312</v>
      </c>
      <c r="K30" s="174" t="str">
        <f>VLOOKUP(C30,임금대장!$B$45:$B$115,1,0)</f>
        <v>이강욱</v>
      </c>
    </row>
    <row r="31" spans="3:11" x14ac:dyDescent="0.6">
      <c r="C31" t="s">
        <v>243</v>
      </c>
      <c r="H31">
        <v>734500</v>
      </c>
      <c r="I31" t="s">
        <v>244</v>
      </c>
      <c r="K31" s="174" t="str">
        <f>VLOOKUP(C31,임금대장!$B$45:$B$115,1,0)</f>
        <v>김아영</v>
      </c>
    </row>
    <row r="32" spans="3:11" x14ac:dyDescent="0.6">
      <c r="C32" t="s">
        <v>309</v>
      </c>
      <c r="H32">
        <v>1267500</v>
      </c>
      <c r="I32" t="s">
        <v>311</v>
      </c>
      <c r="K32" s="174" t="str">
        <f>VLOOKUP(C32,임금대장!$B$45:$B$115,1,0)</f>
        <v>이민성</v>
      </c>
    </row>
    <row r="33" spans="3:11" x14ac:dyDescent="0.6">
      <c r="C33" t="s">
        <v>277</v>
      </c>
      <c r="H33">
        <v>299000</v>
      </c>
      <c r="I33" t="s">
        <v>278</v>
      </c>
      <c r="K33" s="174" t="str">
        <f>VLOOKUP(C33,임금대장!$B$45:$B$115,1,0)</f>
        <v>김소연</v>
      </c>
    </row>
    <row r="34" spans="3:11" x14ac:dyDescent="0.6">
      <c r="C34" t="s">
        <v>296</v>
      </c>
      <c r="H34">
        <v>1423500</v>
      </c>
      <c r="I34" t="s">
        <v>298</v>
      </c>
      <c r="K34" s="174" t="str">
        <f>VLOOKUP(C34,임금대장!$B$45:$B$115,1,0)</f>
        <v>최지훈</v>
      </c>
    </row>
    <row r="35" spans="3:11" x14ac:dyDescent="0.6">
      <c r="C35" t="s">
        <v>354</v>
      </c>
      <c r="H35">
        <v>1488500</v>
      </c>
      <c r="I35" t="s">
        <v>356</v>
      </c>
      <c r="K35" s="174" t="str">
        <f>VLOOKUP(C35,임금대장!$B$45:$B$115,1,0)</f>
        <v>함석형</v>
      </c>
    </row>
    <row r="36" spans="3:11" x14ac:dyDescent="0.6">
      <c r="C36" t="s">
        <v>355</v>
      </c>
      <c r="H36">
        <v>78000</v>
      </c>
      <c r="I36" t="s">
        <v>357</v>
      </c>
      <c r="K36" s="174" t="str">
        <f>VLOOKUP(C36,임금대장!$B$45:$B$115,1,0)</f>
        <v>윤서진</v>
      </c>
    </row>
    <row r="37" spans="3:11" x14ac:dyDescent="0.6">
      <c r="C37" t="s">
        <v>375</v>
      </c>
      <c r="H37">
        <v>1514500</v>
      </c>
      <c r="I37" t="s">
        <v>378</v>
      </c>
      <c r="K37" s="174" t="str">
        <f>VLOOKUP(C37,임금대장!$B$45:$B$115,1,0)</f>
        <v>한재승</v>
      </c>
    </row>
    <row r="38" spans="3:11" x14ac:dyDescent="0.6">
      <c r="C38" t="s">
        <v>390</v>
      </c>
      <c r="H38">
        <v>754000</v>
      </c>
      <c r="I38" t="s">
        <v>394</v>
      </c>
      <c r="K38" s="174" t="str">
        <f>VLOOKUP(C38,임금대장!$B$45:$B$115,1,0)</f>
        <v>김영신</v>
      </c>
    </row>
    <row r="39" spans="3:11" x14ac:dyDescent="0.6">
      <c r="C39" t="s">
        <v>414</v>
      </c>
      <c r="H39">
        <v>812500</v>
      </c>
      <c r="I39" t="s">
        <v>404</v>
      </c>
      <c r="K39" s="174" t="str">
        <f>VLOOKUP(C39,임금대장!$B$45:$B$115,1,0)</f>
        <v>김준하</v>
      </c>
    </row>
    <row r="40" spans="3:11" x14ac:dyDescent="0.6">
      <c r="C40" t="s">
        <v>415</v>
      </c>
      <c r="H40">
        <v>741000</v>
      </c>
      <c r="I40" t="s">
        <v>405</v>
      </c>
      <c r="K40" s="174" t="str">
        <f>VLOOKUP(C40,임금대장!$B$45:$B$115,1,0)</f>
        <v>김태민</v>
      </c>
    </row>
    <row r="41" spans="3:11" x14ac:dyDescent="0.6">
      <c r="C41" t="s">
        <v>416</v>
      </c>
      <c r="H41">
        <v>299000</v>
      </c>
      <c r="I41" t="s">
        <v>406</v>
      </c>
      <c r="K41" s="174" t="str">
        <f>VLOOKUP(C41,임금대장!$B$45:$B$115,1,0)</f>
        <v>장민호</v>
      </c>
    </row>
    <row r="42" spans="3:11" x14ac:dyDescent="0.6">
      <c r="C42" t="s">
        <v>417</v>
      </c>
      <c r="H42">
        <v>702000</v>
      </c>
      <c r="I42" t="s">
        <v>407</v>
      </c>
      <c r="K42" s="174" t="str">
        <f>VLOOKUP(C42,임금대장!$B$45:$B$115,1,0)</f>
        <v>백준희</v>
      </c>
    </row>
    <row r="43" spans="3:11" x14ac:dyDescent="0.6">
      <c r="C43" t="s">
        <v>418</v>
      </c>
      <c r="H43">
        <v>1872000</v>
      </c>
      <c r="I43" t="s">
        <v>408</v>
      </c>
      <c r="K43" s="174" t="str">
        <f>VLOOKUP(C43,임금대장!$B$45:$B$115,1,0)</f>
        <v>이현석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7B4413C6F2E804A8D613C3A85634CBE" ma:contentTypeVersion="14" ma:contentTypeDescription="새 문서를 만듭니다." ma:contentTypeScope="" ma:versionID="0d8a869d00afe72175b0d920782de266">
  <xsd:schema xmlns:xsd="http://www.w3.org/2001/XMLSchema" xmlns:xs="http://www.w3.org/2001/XMLSchema" xmlns:p="http://schemas.microsoft.com/office/2006/metadata/properties" xmlns:ns3="8b112786-6cf2-4c53-bd4b-1f2249061cd9" targetNamespace="http://schemas.microsoft.com/office/2006/metadata/properties" ma:root="true" ma:fieldsID="7dab78ae17a694e027077eb3bdea1b12" ns3:_="">
    <xsd:import namespace="8b112786-6cf2-4c53-bd4b-1f2249061c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12786-6cf2-4c53-bd4b-1f2249061c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112786-6cf2-4c53-bd4b-1f2249061cd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4C13BF-7E23-49BB-9702-8365989EEB2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b112786-6cf2-4c53-bd4b-1f2249061cd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348472-1639-4F1A-955D-DA821778138A}">
  <ds:schemaRefs>
    <ds:schemaRef ds:uri="http://schemas.microsoft.com/office/2006/metadata/properties"/>
    <ds:schemaRef ds:uri="http://www.w3.org/2000/xmlns/"/>
    <ds:schemaRef ds:uri="8b112786-6cf2-4c53-bd4b-1f2249061cd9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46034DF-1127-40F9-BB21-DD7E957BD5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6</vt:i4>
      </vt:variant>
    </vt:vector>
  </HeadingPairs>
  <TitlesOfParts>
    <vt:vector size="16" baseType="lpstr">
      <vt:lpstr>세액표(1202)</vt:lpstr>
      <vt:lpstr>임금대장</vt:lpstr>
      <vt:lpstr>직원급여</vt:lpstr>
      <vt:lpstr>일용</vt:lpstr>
      <vt:lpstr>사업소득지급대장</vt:lpstr>
      <vt:lpstr>명세서</vt:lpstr>
      <vt:lpstr>임금대장(파트)</vt:lpstr>
      <vt:lpstr>명세서 (파트)</vt:lpstr>
      <vt:lpstr>정직원 (2)</vt:lpstr>
      <vt:lpstr>파트</vt:lpstr>
      <vt:lpstr>명세서!Print_Area</vt:lpstr>
      <vt:lpstr>'명세서 (파트)'!Print_Area</vt:lpstr>
      <vt:lpstr>사업소득지급대장!Print_Area</vt:lpstr>
      <vt:lpstr>임금대장!Print_Area</vt:lpstr>
      <vt:lpstr>'임금대장(파트)'!Print_Area</vt:lpstr>
      <vt:lpstr>'세액표(1202)'!Print_Titles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jaehong seo</cp:lastModifiedBy>
  <cp:revision/>
  <cp:lastPrinted>2026-01-22T05:19:41Z</cp:lastPrinted>
  <dcterms:created xsi:type="dcterms:W3CDTF">2016-06-03T02:17:20Z</dcterms:created>
  <dcterms:modified xsi:type="dcterms:W3CDTF">2026-01-30T15:56:53Z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0x01010037B4413C6F2E804A8D613C3A85634CBE</vt:lpwstr>
  </property>
</Properties>
</file>